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9E01DAB-AA96-44BD-9224-E836EF36183F}" xr6:coauthVersionLast="36" xr6:coauthVersionMax="47" xr10:uidLastSave="{00000000-0000-0000-0000-000000000000}"/>
  <bookViews>
    <workbookView xWindow="0" yWindow="0" windowWidth="23040" windowHeight="9060" firstSheet="2" activeTab="4" xr2:uid="{97D67C44-085B-4B27-BD0B-6B3741AF75F8}"/>
  </bookViews>
  <sheets>
    <sheet name="RAW_DATA" sheetId="55" r:id="rId1"/>
    <sheet name="REPORT" sheetId="30" r:id="rId2"/>
    <sheet name="Master Table" sheetId="1" r:id="rId3"/>
    <sheet name="Pivot" sheetId="49" r:id="rId4"/>
    <sheet name="DASHBOARD" sheetId="5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 a="1"/>
  <c r="C3" i="1" s="1"/>
  <c r="C2" i="1" a="1"/>
  <c r="C2" i="1" s="1"/>
  <c r="C4" i="1" a="1"/>
  <c r="C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B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2" i="1" a="1"/>
  <c r="M2" i="1" s="1"/>
  <c r="F2" i="1" a="1"/>
  <c r="F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2" i="1" a="1"/>
  <c r="G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D3" i="1" a="1"/>
  <c r="D3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2" i="1" a="1"/>
  <c r="D2" i="1" s="1"/>
  <c r="C144" i="1" a="1"/>
  <c r="C144" i="1" s="1"/>
  <c r="A189" i="1"/>
  <c r="B189" i="1"/>
  <c r="C189" i="1" a="1"/>
  <c r="C189" i="1" s="1"/>
  <c r="E189" i="1"/>
  <c r="A3" i="1"/>
  <c r="B3" i="1"/>
  <c r="A4" i="1"/>
  <c r="B4" i="1"/>
  <c r="A5" i="1"/>
  <c r="B5" i="1"/>
  <c r="A6" i="1"/>
  <c r="B6" i="1"/>
  <c r="A7" i="1"/>
  <c r="B7" i="1"/>
  <c r="A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C25" i="1" a="1"/>
  <c r="C25" i="1" s="1"/>
  <c r="A26" i="1"/>
  <c r="B26" i="1"/>
  <c r="C26" i="1" a="1"/>
  <c r="C26" i="1" s="1"/>
  <c r="E26" i="1"/>
  <c r="A27" i="1"/>
  <c r="B27" i="1"/>
  <c r="C27" i="1" a="1"/>
  <c r="C27" i="1" s="1"/>
  <c r="E27" i="1"/>
  <c r="A28" i="1"/>
  <c r="B28" i="1"/>
  <c r="C28" i="1" a="1"/>
  <c r="C28" i="1" s="1"/>
  <c r="E28" i="1"/>
  <c r="A29" i="1"/>
  <c r="B29" i="1"/>
  <c r="C29" i="1" a="1"/>
  <c r="C29" i="1" s="1"/>
  <c r="E29" i="1"/>
  <c r="A30" i="1"/>
  <c r="B30" i="1"/>
  <c r="C30" i="1" a="1"/>
  <c r="C30" i="1" s="1"/>
  <c r="E30" i="1"/>
  <c r="A31" i="1"/>
  <c r="B31" i="1"/>
  <c r="C31" i="1" a="1"/>
  <c r="C31" i="1" s="1"/>
  <c r="E31" i="1"/>
  <c r="A32" i="1"/>
  <c r="B32" i="1"/>
  <c r="C32" i="1" a="1"/>
  <c r="C32" i="1" s="1"/>
  <c r="E32" i="1"/>
  <c r="A33" i="1"/>
  <c r="B33" i="1"/>
  <c r="C33" i="1" a="1"/>
  <c r="C33" i="1" s="1"/>
  <c r="E33" i="1"/>
  <c r="A34" i="1"/>
  <c r="B34" i="1"/>
  <c r="C34" i="1" a="1"/>
  <c r="C34" i="1" s="1"/>
  <c r="E34" i="1"/>
  <c r="A35" i="1"/>
  <c r="B35" i="1"/>
  <c r="C35" i="1" a="1"/>
  <c r="C35" i="1" s="1"/>
  <c r="E35" i="1"/>
  <c r="A36" i="1"/>
  <c r="B36" i="1"/>
  <c r="C36" i="1" a="1"/>
  <c r="C36" i="1" s="1"/>
  <c r="E36" i="1"/>
  <c r="A37" i="1"/>
  <c r="B37" i="1"/>
  <c r="C37" i="1" a="1"/>
  <c r="C37" i="1" s="1"/>
  <c r="E37" i="1"/>
  <c r="A38" i="1"/>
  <c r="B38" i="1"/>
  <c r="C38" i="1" a="1"/>
  <c r="C38" i="1" s="1"/>
  <c r="E38" i="1"/>
  <c r="A39" i="1"/>
  <c r="B39" i="1"/>
  <c r="C39" i="1" a="1"/>
  <c r="C39" i="1" s="1"/>
  <c r="E39" i="1"/>
  <c r="A40" i="1"/>
  <c r="B40" i="1"/>
  <c r="C40" i="1" a="1"/>
  <c r="C40" i="1" s="1"/>
  <c r="E40" i="1"/>
  <c r="A41" i="1"/>
  <c r="B41" i="1"/>
  <c r="C41" i="1" a="1"/>
  <c r="C41" i="1" s="1"/>
  <c r="E41" i="1"/>
  <c r="A42" i="1"/>
  <c r="B42" i="1"/>
  <c r="C42" i="1" a="1"/>
  <c r="C42" i="1" s="1"/>
  <c r="E42" i="1"/>
  <c r="A43" i="1"/>
  <c r="B43" i="1"/>
  <c r="C43" i="1" a="1"/>
  <c r="C43" i="1" s="1"/>
  <c r="E43" i="1"/>
  <c r="A44" i="1"/>
  <c r="B44" i="1"/>
  <c r="C44" i="1" a="1"/>
  <c r="C44" i="1" s="1"/>
  <c r="E44" i="1"/>
  <c r="A45" i="1"/>
  <c r="B45" i="1"/>
  <c r="C45" i="1" a="1"/>
  <c r="C45" i="1" s="1"/>
  <c r="E45" i="1"/>
  <c r="A46" i="1"/>
  <c r="B46" i="1"/>
  <c r="C46" i="1" a="1"/>
  <c r="C46" i="1" s="1"/>
  <c r="E46" i="1"/>
  <c r="A47" i="1"/>
  <c r="B47" i="1"/>
  <c r="C47" i="1" a="1"/>
  <c r="C47" i="1" s="1"/>
  <c r="E47" i="1"/>
  <c r="A48" i="1"/>
  <c r="B48" i="1"/>
  <c r="C48" i="1" a="1"/>
  <c r="C48" i="1" s="1"/>
  <c r="E48" i="1"/>
  <c r="A49" i="1"/>
  <c r="B49" i="1"/>
  <c r="C49" i="1" a="1"/>
  <c r="C49" i="1" s="1"/>
  <c r="E49" i="1"/>
  <c r="A50" i="1"/>
  <c r="B50" i="1"/>
  <c r="C50" i="1" a="1"/>
  <c r="C50" i="1" s="1"/>
  <c r="E50" i="1"/>
  <c r="A51" i="1"/>
  <c r="B51" i="1"/>
  <c r="C51" i="1" a="1"/>
  <c r="C51" i="1" s="1"/>
  <c r="E51" i="1"/>
  <c r="A52" i="1"/>
  <c r="B52" i="1"/>
  <c r="C52" i="1" a="1"/>
  <c r="C52" i="1" s="1"/>
  <c r="E52" i="1"/>
  <c r="A53" i="1"/>
  <c r="B53" i="1"/>
  <c r="C53" i="1" a="1"/>
  <c r="C53" i="1" s="1"/>
  <c r="E53" i="1"/>
  <c r="A54" i="1"/>
  <c r="B54" i="1"/>
  <c r="C54" i="1" a="1"/>
  <c r="C54" i="1" s="1"/>
  <c r="E54" i="1"/>
  <c r="A55" i="1"/>
  <c r="B55" i="1"/>
  <c r="C55" i="1" a="1"/>
  <c r="C55" i="1" s="1"/>
  <c r="E55" i="1"/>
  <c r="A56" i="1"/>
  <c r="B56" i="1"/>
  <c r="C56" i="1" a="1"/>
  <c r="C56" i="1" s="1"/>
  <c r="E56" i="1"/>
  <c r="A57" i="1"/>
  <c r="B57" i="1"/>
  <c r="C57" i="1" a="1"/>
  <c r="C57" i="1" s="1"/>
  <c r="E57" i="1"/>
  <c r="A58" i="1"/>
  <c r="B58" i="1"/>
  <c r="C58" i="1" a="1"/>
  <c r="C58" i="1" s="1"/>
  <c r="E58" i="1"/>
  <c r="A59" i="1"/>
  <c r="B59" i="1"/>
  <c r="C59" i="1" a="1"/>
  <c r="C59" i="1" s="1"/>
  <c r="E59" i="1"/>
  <c r="A60" i="1"/>
  <c r="B60" i="1"/>
  <c r="C60" i="1" a="1"/>
  <c r="C60" i="1" s="1"/>
  <c r="E60" i="1"/>
  <c r="A61" i="1"/>
  <c r="B61" i="1"/>
  <c r="C61" i="1" a="1"/>
  <c r="C61" i="1" s="1"/>
  <c r="E61" i="1"/>
  <c r="A62" i="1"/>
  <c r="B62" i="1"/>
  <c r="C62" i="1" a="1"/>
  <c r="C62" i="1" s="1"/>
  <c r="E62" i="1"/>
  <c r="A63" i="1"/>
  <c r="B63" i="1"/>
  <c r="C63" i="1" a="1"/>
  <c r="C63" i="1" s="1"/>
  <c r="E63" i="1"/>
  <c r="A64" i="1"/>
  <c r="B64" i="1"/>
  <c r="C64" i="1" a="1"/>
  <c r="C64" i="1" s="1"/>
  <c r="E64" i="1"/>
  <c r="A65" i="1"/>
  <c r="B65" i="1"/>
  <c r="C65" i="1" a="1"/>
  <c r="C65" i="1" s="1"/>
  <c r="E65" i="1"/>
  <c r="A66" i="1"/>
  <c r="B66" i="1"/>
  <c r="C66" i="1" a="1"/>
  <c r="C66" i="1" s="1"/>
  <c r="E66" i="1"/>
  <c r="A67" i="1"/>
  <c r="B67" i="1"/>
  <c r="C67" i="1" a="1"/>
  <c r="C67" i="1" s="1"/>
  <c r="E67" i="1"/>
  <c r="A68" i="1"/>
  <c r="B68" i="1"/>
  <c r="C68" i="1" a="1"/>
  <c r="C68" i="1" s="1"/>
  <c r="E68" i="1"/>
  <c r="A69" i="1"/>
  <c r="B69" i="1"/>
  <c r="C69" i="1" a="1"/>
  <c r="C69" i="1" s="1"/>
  <c r="E69" i="1"/>
  <c r="A70" i="1"/>
  <c r="B70" i="1"/>
  <c r="C70" i="1" a="1"/>
  <c r="C70" i="1" s="1"/>
  <c r="E70" i="1"/>
  <c r="A71" i="1"/>
  <c r="B71" i="1"/>
  <c r="C71" i="1" a="1"/>
  <c r="C71" i="1" s="1"/>
  <c r="E71" i="1"/>
  <c r="A72" i="1"/>
  <c r="B72" i="1"/>
  <c r="C72" i="1" a="1"/>
  <c r="C72" i="1" s="1"/>
  <c r="E72" i="1"/>
  <c r="A73" i="1"/>
  <c r="B73" i="1"/>
  <c r="C73" i="1" a="1"/>
  <c r="C73" i="1" s="1"/>
  <c r="E73" i="1"/>
  <c r="A74" i="1"/>
  <c r="B74" i="1"/>
  <c r="C74" i="1" a="1"/>
  <c r="C74" i="1" s="1"/>
  <c r="E74" i="1"/>
  <c r="A75" i="1"/>
  <c r="B75" i="1"/>
  <c r="C75" i="1" a="1"/>
  <c r="C75" i="1" s="1"/>
  <c r="E75" i="1"/>
  <c r="A76" i="1"/>
  <c r="B76" i="1"/>
  <c r="C76" i="1" a="1"/>
  <c r="C76" i="1" s="1"/>
  <c r="E76" i="1"/>
  <c r="A77" i="1"/>
  <c r="B77" i="1"/>
  <c r="C77" i="1" a="1"/>
  <c r="C77" i="1" s="1"/>
  <c r="E77" i="1"/>
  <c r="A78" i="1"/>
  <c r="B78" i="1"/>
  <c r="C78" i="1" a="1"/>
  <c r="C78" i="1" s="1"/>
  <c r="E78" i="1"/>
  <c r="A79" i="1"/>
  <c r="B79" i="1"/>
  <c r="C79" i="1" a="1"/>
  <c r="C79" i="1" s="1"/>
  <c r="E79" i="1"/>
  <c r="A80" i="1"/>
  <c r="B80" i="1"/>
  <c r="C80" i="1" a="1"/>
  <c r="C80" i="1" s="1"/>
  <c r="E80" i="1"/>
  <c r="A81" i="1"/>
  <c r="B81" i="1"/>
  <c r="C81" i="1" a="1"/>
  <c r="C81" i="1" s="1"/>
  <c r="E81" i="1"/>
  <c r="A82" i="1"/>
  <c r="B82" i="1"/>
  <c r="C82" i="1" a="1"/>
  <c r="C82" i="1" s="1"/>
  <c r="E82" i="1"/>
  <c r="A83" i="1"/>
  <c r="B83" i="1"/>
  <c r="C83" i="1" a="1"/>
  <c r="C83" i="1" s="1"/>
  <c r="E83" i="1"/>
  <c r="A84" i="1"/>
  <c r="B84" i="1"/>
  <c r="C84" i="1" a="1"/>
  <c r="C84" i="1" s="1"/>
  <c r="E84" i="1"/>
  <c r="A85" i="1"/>
  <c r="B85" i="1"/>
  <c r="C85" i="1" a="1"/>
  <c r="C85" i="1" s="1"/>
  <c r="E85" i="1"/>
  <c r="A86" i="1"/>
  <c r="B86" i="1"/>
  <c r="C86" i="1" a="1"/>
  <c r="C86" i="1" s="1"/>
  <c r="E86" i="1"/>
  <c r="A87" i="1"/>
  <c r="B87" i="1"/>
  <c r="C87" i="1" a="1"/>
  <c r="C87" i="1" s="1"/>
  <c r="E87" i="1"/>
  <c r="A88" i="1"/>
  <c r="B88" i="1"/>
  <c r="C88" i="1" a="1"/>
  <c r="C88" i="1" s="1"/>
  <c r="E88" i="1"/>
  <c r="A89" i="1"/>
  <c r="B89" i="1"/>
  <c r="C89" i="1" a="1"/>
  <c r="C89" i="1" s="1"/>
  <c r="E89" i="1"/>
  <c r="A90" i="1"/>
  <c r="B90" i="1"/>
  <c r="C90" i="1" a="1"/>
  <c r="C90" i="1" s="1"/>
  <c r="E90" i="1"/>
  <c r="A91" i="1"/>
  <c r="B91" i="1"/>
  <c r="C91" i="1" a="1"/>
  <c r="C91" i="1" s="1"/>
  <c r="E91" i="1"/>
  <c r="A92" i="1"/>
  <c r="B92" i="1"/>
  <c r="C92" i="1" a="1"/>
  <c r="C92" i="1" s="1"/>
  <c r="E92" i="1"/>
  <c r="A93" i="1"/>
  <c r="B93" i="1"/>
  <c r="C93" i="1" a="1"/>
  <c r="C93" i="1" s="1"/>
  <c r="E93" i="1"/>
  <c r="A94" i="1"/>
  <c r="B94" i="1"/>
  <c r="C94" i="1" a="1"/>
  <c r="C94" i="1" s="1"/>
  <c r="E94" i="1"/>
  <c r="A95" i="1"/>
  <c r="B95" i="1"/>
  <c r="C95" i="1" a="1"/>
  <c r="C95" i="1" s="1"/>
  <c r="E95" i="1"/>
  <c r="A96" i="1"/>
  <c r="B96" i="1"/>
  <c r="C96" i="1" a="1"/>
  <c r="C96" i="1" s="1"/>
  <c r="E96" i="1"/>
  <c r="A97" i="1"/>
  <c r="B97" i="1"/>
  <c r="C97" i="1" a="1"/>
  <c r="C97" i="1" s="1"/>
  <c r="E97" i="1"/>
  <c r="A98" i="1"/>
  <c r="B98" i="1"/>
  <c r="C98" i="1" a="1"/>
  <c r="C98" i="1" s="1"/>
  <c r="E98" i="1"/>
  <c r="A99" i="1"/>
  <c r="B99" i="1"/>
  <c r="C99" i="1" a="1"/>
  <c r="C99" i="1" s="1"/>
  <c r="E99" i="1"/>
  <c r="A100" i="1"/>
  <c r="B100" i="1"/>
  <c r="C100" i="1" a="1"/>
  <c r="C100" i="1" s="1"/>
  <c r="E100" i="1"/>
  <c r="A101" i="1"/>
  <c r="B101" i="1"/>
  <c r="C101" i="1" a="1"/>
  <c r="C101" i="1" s="1"/>
  <c r="E101" i="1"/>
  <c r="A102" i="1"/>
  <c r="B102" i="1"/>
  <c r="C102" i="1" a="1"/>
  <c r="C102" i="1" s="1"/>
  <c r="E102" i="1"/>
  <c r="A103" i="1"/>
  <c r="B103" i="1"/>
  <c r="C103" i="1" a="1"/>
  <c r="C103" i="1" s="1"/>
  <c r="E103" i="1"/>
  <c r="A104" i="1"/>
  <c r="B104" i="1"/>
  <c r="C104" i="1" a="1"/>
  <c r="C104" i="1" s="1"/>
  <c r="E104" i="1"/>
  <c r="A105" i="1"/>
  <c r="B105" i="1"/>
  <c r="C105" i="1" a="1"/>
  <c r="C105" i="1" s="1"/>
  <c r="E105" i="1"/>
  <c r="A106" i="1"/>
  <c r="B106" i="1"/>
  <c r="C106" i="1" a="1"/>
  <c r="C106" i="1" s="1"/>
  <c r="E106" i="1"/>
  <c r="A107" i="1"/>
  <c r="B107" i="1"/>
  <c r="C107" i="1" a="1"/>
  <c r="C107" i="1" s="1"/>
  <c r="E107" i="1"/>
  <c r="A108" i="1"/>
  <c r="B108" i="1"/>
  <c r="C108" i="1" a="1"/>
  <c r="C108" i="1" s="1"/>
  <c r="E108" i="1"/>
  <c r="A109" i="1"/>
  <c r="B109" i="1"/>
  <c r="C109" i="1" a="1"/>
  <c r="C109" i="1" s="1"/>
  <c r="E109" i="1"/>
  <c r="A110" i="1"/>
  <c r="B110" i="1"/>
  <c r="C110" i="1" a="1"/>
  <c r="C110" i="1" s="1"/>
  <c r="E110" i="1"/>
  <c r="A111" i="1"/>
  <c r="B111" i="1"/>
  <c r="C111" i="1" a="1"/>
  <c r="C111" i="1" s="1"/>
  <c r="E111" i="1"/>
  <c r="A112" i="1"/>
  <c r="B112" i="1"/>
  <c r="C112" i="1" a="1"/>
  <c r="C112" i="1" s="1"/>
  <c r="E112" i="1"/>
  <c r="A113" i="1"/>
  <c r="B113" i="1"/>
  <c r="C113" i="1" a="1"/>
  <c r="C113" i="1" s="1"/>
  <c r="E113" i="1"/>
  <c r="A114" i="1"/>
  <c r="B114" i="1"/>
  <c r="C114" i="1" a="1"/>
  <c r="C114" i="1" s="1"/>
  <c r="E114" i="1"/>
  <c r="A115" i="1"/>
  <c r="B115" i="1"/>
  <c r="C115" i="1" a="1"/>
  <c r="C115" i="1" s="1"/>
  <c r="E115" i="1"/>
  <c r="A116" i="1"/>
  <c r="B116" i="1"/>
  <c r="C116" i="1" a="1"/>
  <c r="C116" i="1" s="1"/>
  <c r="E116" i="1"/>
  <c r="A117" i="1"/>
  <c r="B117" i="1"/>
  <c r="C117" i="1" a="1"/>
  <c r="C117" i="1" s="1"/>
  <c r="E117" i="1"/>
  <c r="A118" i="1"/>
  <c r="B118" i="1"/>
  <c r="C118" i="1" a="1"/>
  <c r="C118" i="1" s="1"/>
  <c r="E118" i="1"/>
  <c r="A119" i="1"/>
  <c r="B119" i="1"/>
  <c r="C119" i="1" a="1"/>
  <c r="C119" i="1" s="1"/>
  <c r="E119" i="1"/>
  <c r="A120" i="1"/>
  <c r="B120" i="1"/>
  <c r="C120" i="1" a="1"/>
  <c r="C120" i="1" s="1"/>
  <c r="E120" i="1"/>
  <c r="A121" i="1"/>
  <c r="B121" i="1"/>
  <c r="C121" i="1" a="1"/>
  <c r="C121" i="1" s="1"/>
  <c r="E121" i="1"/>
  <c r="A122" i="1"/>
  <c r="B122" i="1"/>
  <c r="C122" i="1" a="1"/>
  <c r="C122" i="1" s="1"/>
  <c r="E122" i="1"/>
  <c r="A123" i="1"/>
  <c r="B123" i="1"/>
  <c r="C123" i="1" a="1"/>
  <c r="C123" i="1" s="1"/>
  <c r="E123" i="1"/>
  <c r="A124" i="1"/>
  <c r="B124" i="1"/>
  <c r="C124" i="1" a="1"/>
  <c r="C124" i="1" s="1"/>
  <c r="E124" i="1"/>
  <c r="A125" i="1"/>
  <c r="B125" i="1"/>
  <c r="C125" i="1" a="1"/>
  <c r="C125" i="1" s="1"/>
  <c r="E125" i="1"/>
  <c r="A126" i="1"/>
  <c r="B126" i="1"/>
  <c r="C126" i="1" a="1"/>
  <c r="C126" i="1" s="1"/>
  <c r="E126" i="1"/>
  <c r="A127" i="1"/>
  <c r="B127" i="1"/>
  <c r="C127" i="1" a="1"/>
  <c r="C127" i="1" s="1"/>
  <c r="E127" i="1"/>
  <c r="A128" i="1"/>
  <c r="B128" i="1"/>
  <c r="C128" i="1" a="1"/>
  <c r="C128" i="1" s="1"/>
  <c r="E128" i="1"/>
  <c r="A129" i="1"/>
  <c r="B129" i="1"/>
  <c r="C129" i="1" a="1"/>
  <c r="C129" i="1" s="1"/>
  <c r="E129" i="1"/>
  <c r="A130" i="1"/>
  <c r="B130" i="1"/>
  <c r="C130" i="1" a="1"/>
  <c r="C130" i="1" s="1"/>
  <c r="E130" i="1"/>
  <c r="A131" i="1"/>
  <c r="B131" i="1"/>
  <c r="C131" i="1" a="1"/>
  <c r="C131" i="1" s="1"/>
  <c r="E131" i="1"/>
  <c r="A132" i="1"/>
  <c r="B132" i="1"/>
  <c r="C132" i="1" a="1"/>
  <c r="C132" i="1" s="1"/>
  <c r="E132" i="1"/>
  <c r="A133" i="1"/>
  <c r="B133" i="1"/>
  <c r="C133" i="1" a="1"/>
  <c r="C133" i="1" s="1"/>
  <c r="E133" i="1"/>
  <c r="A134" i="1"/>
  <c r="B134" i="1"/>
  <c r="C134" i="1" a="1"/>
  <c r="C134" i="1" s="1"/>
  <c r="E134" i="1"/>
  <c r="A135" i="1"/>
  <c r="B135" i="1"/>
  <c r="C135" i="1" a="1"/>
  <c r="C135" i="1" s="1"/>
  <c r="E135" i="1"/>
  <c r="A136" i="1"/>
  <c r="B136" i="1"/>
  <c r="C136" i="1" a="1"/>
  <c r="C136" i="1" s="1"/>
  <c r="E136" i="1"/>
  <c r="A137" i="1"/>
  <c r="B137" i="1"/>
  <c r="C137" i="1" a="1"/>
  <c r="C137" i="1" s="1"/>
  <c r="E137" i="1"/>
  <c r="A138" i="1"/>
  <c r="B138" i="1"/>
  <c r="C138" i="1" a="1"/>
  <c r="C138" i="1" s="1"/>
  <c r="E138" i="1"/>
  <c r="A139" i="1"/>
  <c r="B139" i="1"/>
  <c r="C139" i="1" a="1"/>
  <c r="C139" i="1" s="1"/>
  <c r="E139" i="1"/>
  <c r="A140" i="1"/>
  <c r="B140" i="1"/>
  <c r="C140" i="1" a="1"/>
  <c r="C140" i="1" s="1"/>
  <c r="E140" i="1"/>
  <c r="A141" i="1"/>
  <c r="B141" i="1"/>
  <c r="C141" i="1" a="1"/>
  <c r="C141" i="1" s="1"/>
  <c r="E141" i="1"/>
  <c r="A142" i="1"/>
  <c r="B142" i="1"/>
  <c r="C142" i="1" a="1"/>
  <c r="C142" i="1" s="1"/>
  <c r="E142" i="1"/>
  <c r="A143" i="1"/>
  <c r="B143" i="1"/>
  <c r="C143" i="1" a="1"/>
  <c r="C143" i="1" s="1"/>
  <c r="E143" i="1"/>
  <c r="A144" i="1"/>
  <c r="B144" i="1"/>
  <c r="E144" i="1"/>
  <c r="A145" i="1"/>
  <c r="B145" i="1"/>
  <c r="C145" i="1" a="1"/>
  <c r="C145" i="1" s="1"/>
  <c r="E145" i="1"/>
  <c r="A146" i="1"/>
  <c r="B146" i="1"/>
  <c r="C146" i="1" a="1"/>
  <c r="C146" i="1" s="1"/>
  <c r="E146" i="1"/>
  <c r="A147" i="1"/>
  <c r="B147" i="1"/>
  <c r="C147" i="1" a="1"/>
  <c r="C147" i="1" s="1"/>
  <c r="E147" i="1"/>
  <c r="A148" i="1"/>
  <c r="B148" i="1"/>
  <c r="C148" i="1" a="1"/>
  <c r="C148" i="1" s="1"/>
  <c r="E148" i="1"/>
  <c r="A149" i="1"/>
  <c r="B149" i="1"/>
  <c r="C149" i="1" a="1"/>
  <c r="C149" i="1" s="1"/>
  <c r="E149" i="1"/>
  <c r="A150" i="1"/>
  <c r="B150" i="1"/>
  <c r="C150" i="1" a="1"/>
  <c r="C150" i="1" s="1"/>
  <c r="E150" i="1"/>
  <c r="A151" i="1"/>
  <c r="B151" i="1"/>
  <c r="C151" i="1" a="1"/>
  <c r="C151" i="1" s="1"/>
  <c r="E151" i="1"/>
  <c r="A152" i="1"/>
  <c r="B152" i="1"/>
  <c r="C152" i="1" a="1"/>
  <c r="C152" i="1" s="1"/>
  <c r="E152" i="1"/>
  <c r="A153" i="1"/>
  <c r="B153" i="1"/>
  <c r="C153" i="1" a="1"/>
  <c r="C153" i="1" s="1"/>
  <c r="E153" i="1"/>
  <c r="A154" i="1"/>
  <c r="B154" i="1"/>
  <c r="C154" i="1" a="1"/>
  <c r="C154" i="1" s="1"/>
  <c r="E154" i="1"/>
  <c r="A155" i="1"/>
  <c r="B155" i="1"/>
  <c r="C155" i="1" a="1"/>
  <c r="C155" i="1" s="1"/>
  <c r="E155" i="1"/>
  <c r="A156" i="1"/>
  <c r="B156" i="1"/>
  <c r="C156" i="1" a="1"/>
  <c r="C156" i="1" s="1"/>
  <c r="E156" i="1"/>
  <c r="A157" i="1"/>
  <c r="B157" i="1"/>
  <c r="C157" i="1" a="1"/>
  <c r="C157" i="1" s="1"/>
  <c r="E157" i="1"/>
  <c r="A158" i="1"/>
  <c r="B158" i="1"/>
  <c r="C158" i="1" a="1"/>
  <c r="C158" i="1" s="1"/>
  <c r="E158" i="1"/>
  <c r="A159" i="1"/>
  <c r="B159" i="1"/>
  <c r="C159" i="1" a="1"/>
  <c r="C159" i="1" s="1"/>
  <c r="E159" i="1"/>
  <c r="A160" i="1"/>
  <c r="B160" i="1"/>
  <c r="C160" i="1" a="1"/>
  <c r="C160" i="1" s="1"/>
  <c r="E160" i="1"/>
  <c r="A161" i="1"/>
  <c r="B161" i="1"/>
  <c r="C161" i="1" a="1"/>
  <c r="C161" i="1" s="1"/>
  <c r="E161" i="1"/>
  <c r="A162" i="1"/>
  <c r="B162" i="1"/>
  <c r="C162" i="1" a="1"/>
  <c r="C162" i="1" s="1"/>
  <c r="E162" i="1"/>
  <c r="A163" i="1"/>
  <c r="B163" i="1"/>
  <c r="C163" i="1" a="1"/>
  <c r="C163" i="1" s="1"/>
  <c r="E163" i="1"/>
  <c r="A164" i="1"/>
  <c r="B164" i="1"/>
  <c r="C164" i="1" a="1"/>
  <c r="C164" i="1" s="1"/>
  <c r="E164" i="1"/>
  <c r="A165" i="1"/>
  <c r="B165" i="1"/>
  <c r="C165" i="1" a="1"/>
  <c r="C165" i="1" s="1"/>
  <c r="E165" i="1"/>
  <c r="A166" i="1"/>
  <c r="B166" i="1"/>
  <c r="C166" i="1" a="1"/>
  <c r="C166" i="1" s="1"/>
  <c r="E166" i="1"/>
  <c r="A167" i="1"/>
  <c r="B167" i="1"/>
  <c r="C167" i="1" a="1"/>
  <c r="C167" i="1" s="1"/>
  <c r="E167" i="1"/>
  <c r="A168" i="1"/>
  <c r="B168" i="1"/>
  <c r="C168" i="1" a="1"/>
  <c r="C168" i="1" s="1"/>
  <c r="E168" i="1"/>
  <c r="A169" i="1"/>
  <c r="B169" i="1"/>
  <c r="C169" i="1" a="1"/>
  <c r="C169" i="1" s="1"/>
  <c r="E169" i="1"/>
  <c r="A170" i="1"/>
  <c r="B170" i="1"/>
  <c r="C170" i="1" a="1"/>
  <c r="C170" i="1" s="1"/>
  <c r="E170" i="1"/>
  <c r="A171" i="1"/>
  <c r="B171" i="1"/>
  <c r="C171" i="1" a="1"/>
  <c r="C171" i="1" s="1"/>
  <c r="E171" i="1"/>
  <c r="A172" i="1"/>
  <c r="B172" i="1"/>
  <c r="C172" i="1" a="1"/>
  <c r="C172" i="1" s="1"/>
  <c r="E172" i="1"/>
  <c r="A173" i="1"/>
  <c r="B173" i="1"/>
  <c r="C173" i="1" a="1"/>
  <c r="C173" i="1" s="1"/>
  <c r="E173" i="1"/>
  <c r="A174" i="1"/>
  <c r="B174" i="1"/>
  <c r="C174" i="1" a="1"/>
  <c r="C174" i="1" s="1"/>
  <c r="E174" i="1"/>
  <c r="A175" i="1"/>
  <c r="B175" i="1"/>
  <c r="C175" i="1" a="1"/>
  <c r="C175" i="1" s="1"/>
  <c r="E175" i="1"/>
  <c r="A176" i="1"/>
  <c r="B176" i="1"/>
  <c r="C176" i="1" a="1"/>
  <c r="C176" i="1" s="1"/>
  <c r="E176" i="1"/>
  <c r="A177" i="1"/>
  <c r="B177" i="1"/>
  <c r="C177" i="1" a="1"/>
  <c r="C177" i="1" s="1"/>
  <c r="E177" i="1"/>
  <c r="A178" i="1"/>
  <c r="B178" i="1"/>
  <c r="C178" i="1" a="1"/>
  <c r="C178" i="1" s="1"/>
  <c r="E178" i="1"/>
  <c r="A179" i="1"/>
  <c r="B179" i="1"/>
  <c r="C179" i="1" a="1"/>
  <c r="C179" i="1" s="1"/>
  <c r="E179" i="1"/>
  <c r="A180" i="1"/>
  <c r="B180" i="1"/>
  <c r="C180" i="1" a="1"/>
  <c r="C180" i="1" s="1"/>
  <c r="E180" i="1"/>
  <c r="A181" i="1"/>
  <c r="B181" i="1"/>
  <c r="C181" i="1" a="1"/>
  <c r="C181" i="1" s="1"/>
  <c r="E181" i="1"/>
  <c r="A182" i="1"/>
  <c r="B182" i="1"/>
  <c r="C182" i="1" a="1"/>
  <c r="C182" i="1" s="1"/>
  <c r="E182" i="1"/>
  <c r="A183" i="1"/>
  <c r="B183" i="1"/>
  <c r="C183" i="1" a="1"/>
  <c r="C183" i="1" s="1"/>
  <c r="E183" i="1"/>
  <c r="A184" i="1"/>
  <c r="B184" i="1"/>
  <c r="C184" i="1" a="1"/>
  <c r="C184" i="1" s="1"/>
  <c r="E184" i="1"/>
  <c r="A185" i="1"/>
  <c r="B185" i="1"/>
  <c r="C185" i="1" a="1"/>
  <c r="C185" i="1" s="1"/>
  <c r="E185" i="1"/>
  <c r="A186" i="1"/>
  <c r="B186" i="1"/>
  <c r="C186" i="1" a="1"/>
  <c r="C186" i="1" s="1"/>
  <c r="E186" i="1"/>
  <c r="A187" i="1"/>
  <c r="B187" i="1"/>
  <c r="C187" i="1" a="1"/>
  <c r="C187" i="1" s="1"/>
  <c r="E187" i="1"/>
  <c r="A188" i="1"/>
  <c r="B188" i="1"/>
  <c r="C188" i="1" a="1"/>
  <c r="C188" i="1" s="1"/>
  <c r="E188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2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B2" i="1"/>
  <c r="A2" i="1"/>
  <c r="I794" i="1" l="1"/>
  <c r="K794" i="1" s="1"/>
  <c r="L794" i="1" s="1"/>
  <c r="I778" i="1"/>
  <c r="K778" i="1" s="1"/>
  <c r="L778" i="1" s="1"/>
  <c r="I770" i="1"/>
  <c r="K770" i="1" s="1"/>
  <c r="L770" i="1" s="1"/>
  <c r="I762" i="1"/>
  <c r="K762" i="1" s="1"/>
  <c r="L762" i="1" s="1"/>
  <c r="I754" i="1"/>
  <c r="K754" i="1" s="1"/>
  <c r="L754" i="1" s="1"/>
  <c r="I746" i="1"/>
  <c r="K746" i="1" s="1"/>
  <c r="L746" i="1" s="1"/>
  <c r="I722" i="1"/>
  <c r="K722" i="1" s="1"/>
  <c r="L722" i="1" s="1"/>
  <c r="I682" i="1"/>
  <c r="K682" i="1" s="1"/>
  <c r="L682" i="1" s="1"/>
  <c r="I578" i="1"/>
  <c r="K578" i="1" s="1"/>
  <c r="L578" i="1" s="1"/>
  <c r="I450" i="1"/>
  <c r="K450" i="1" s="1"/>
  <c r="L450" i="1" s="1"/>
  <c r="I386" i="1"/>
  <c r="K386" i="1" s="1"/>
  <c r="L386" i="1" s="1"/>
  <c r="I322" i="1"/>
  <c r="K322" i="1" s="1"/>
  <c r="L322" i="1" s="1"/>
  <c r="I258" i="1"/>
  <c r="K258" i="1" s="1"/>
  <c r="L258" i="1" s="1"/>
  <c r="I130" i="1"/>
  <c r="K130" i="1" s="1"/>
  <c r="L130" i="1" s="1"/>
  <c r="I66" i="1"/>
  <c r="K66" i="1" s="1"/>
  <c r="L66" i="1" s="1"/>
  <c r="I643" i="1"/>
  <c r="K643" i="1" s="1"/>
  <c r="L643" i="1" s="1"/>
  <c r="I602" i="1"/>
  <c r="K602" i="1" s="1"/>
  <c r="L602" i="1" s="1"/>
  <c r="I714" i="1"/>
  <c r="K714" i="1" s="1"/>
  <c r="L714" i="1" s="1"/>
  <c r="I666" i="1"/>
  <c r="K666" i="1" s="1"/>
  <c r="L666" i="1" s="1"/>
  <c r="I690" i="1"/>
  <c r="K690" i="1" s="1"/>
  <c r="L690" i="1" s="1"/>
  <c r="I738" i="1"/>
  <c r="K738" i="1" s="1"/>
  <c r="L738" i="1" s="1"/>
  <c r="I621" i="1"/>
  <c r="K621" i="1" s="1"/>
  <c r="L621" i="1" s="1"/>
  <c r="I786" i="1"/>
  <c r="K786" i="1" s="1"/>
  <c r="L786" i="1" s="1"/>
  <c r="I730" i="1"/>
  <c r="K730" i="1" s="1"/>
  <c r="L730" i="1" s="1"/>
  <c r="I706" i="1"/>
  <c r="K706" i="1" s="1"/>
  <c r="L706" i="1" s="1"/>
  <c r="I698" i="1"/>
  <c r="K698" i="1" s="1"/>
  <c r="L698" i="1" s="1"/>
  <c r="I514" i="1"/>
  <c r="K514" i="1" s="1"/>
  <c r="L514" i="1" s="1"/>
  <c r="I194" i="1"/>
  <c r="K194" i="1" s="1"/>
  <c r="L194" i="1" s="1"/>
  <c r="I114" i="1"/>
  <c r="K114" i="1" s="1"/>
  <c r="L114" i="1" s="1"/>
  <c r="I106" i="1"/>
  <c r="K106" i="1" s="1"/>
  <c r="L106" i="1" s="1"/>
  <c r="I50" i="1"/>
  <c r="K50" i="1" s="1"/>
  <c r="L50" i="1" s="1"/>
  <c r="I34" i="1"/>
  <c r="K34" i="1" s="1"/>
  <c r="L34" i="1" s="1"/>
  <c r="I18" i="1"/>
  <c r="K18" i="1" s="1"/>
  <c r="L18" i="1" s="1"/>
  <c r="I10" i="1"/>
  <c r="K10" i="1" s="1"/>
  <c r="L10" i="1" s="1"/>
  <c r="I796" i="1"/>
  <c r="K796" i="1" s="1"/>
  <c r="L796" i="1" s="1"/>
  <c r="I788" i="1"/>
  <c r="K788" i="1" s="1"/>
  <c r="L788" i="1" s="1"/>
  <c r="I780" i="1"/>
  <c r="K780" i="1" s="1"/>
  <c r="L780" i="1" s="1"/>
  <c r="I772" i="1"/>
  <c r="K772" i="1" s="1"/>
  <c r="L772" i="1" s="1"/>
  <c r="I764" i="1"/>
  <c r="K764" i="1" s="1"/>
  <c r="L764" i="1" s="1"/>
  <c r="I756" i="1"/>
  <c r="K756" i="1" s="1"/>
  <c r="L756" i="1" s="1"/>
  <c r="I748" i="1"/>
  <c r="K748" i="1" s="1"/>
  <c r="L748" i="1" s="1"/>
  <c r="I740" i="1"/>
  <c r="K740" i="1" s="1"/>
  <c r="L740" i="1" s="1"/>
  <c r="I732" i="1"/>
  <c r="K732" i="1" s="1"/>
  <c r="L732" i="1" s="1"/>
  <c r="I724" i="1"/>
  <c r="K724" i="1" s="1"/>
  <c r="L724" i="1" s="1"/>
  <c r="I716" i="1"/>
  <c r="K716" i="1" s="1"/>
  <c r="L716" i="1" s="1"/>
  <c r="I708" i="1"/>
  <c r="K708" i="1" s="1"/>
  <c r="L708" i="1" s="1"/>
  <c r="I700" i="1"/>
  <c r="K700" i="1" s="1"/>
  <c r="L700" i="1" s="1"/>
  <c r="I692" i="1"/>
  <c r="K692" i="1" s="1"/>
  <c r="L692" i="1" s="1"/>
  <c r="I684" i="1"/>
  <c r="K684" i="1" s="1"/>
  <c r="L684" i="1" s="1"/>
  <c r="I795" i="1"/>
  <c r="K795" i="1" s="1"/>
  <c r="L795" i="1" s="1"/>
  <c r="I787" i="1"/>
  <c r="K787" i="1" s="1"/>
  <c r="L787" i="1" s="1"/>
  <c r="I779" i="1"/>
  <c r="K779" i="1" s="1"/>
  <c r="L779" i="1" s="1"/>
  <c r="I771" i="1"/>
  <c r="K771" i="1" s="1"/>
  <c r="L771" i="1" s="1"/>
  <c r="I763" i="1"/>
  <c r="K763" i="1" s="1"/>
  <c r="L763" i="1" s="1"/>
  <c r="I755" i="1"/>
  <c r="K755" i="1" s="1"/>
  <c r="L755" i="1" s="1"/>
  <c r="I747" i="1"/>
  <c r="K747" i="1" s="1"/>
  <c r="L747" i="1" s="1"/>
  <c r="I739" i="1"/>
  <c r="K739" i="1" s="1"/>
  <c r="L739" i="1" s="1"/>
  <c r="I731" i="1"/>
  <c r="K731" i="1" s="1"/>
  <c r="L731" i="1" s="1"/>
  <c r="I723" i="1"/>
  <c r="K723" i="1" s="1"/>
  <c r="L723" i="1" s="1"/>
  <c r="I715" i="1"/>
  <c r="K715" i="1" s="1"/>
  <c r="L715" i="1" s="1"/>
  <c r="I707" i="1"/>
  <c r="K707" i="1" s="1"/>
  <c r="L707" i="1" s="1"/>
  <c r="I699" i="1"/>
  <c r="K699" i="1" s="1"/>
  <c r="L699" i="1" s="1"/>
  <c r="I691" i="1"/>
  <c r="K691" i="1" s="1"/>
  <c r="L691" i="1" s="1"/>
  <c r="I683" i="1"/>
  <c r="K683" i="1" s="1"/>
  <c r="L683" i="1" s="1"/>
  <c r="I675" i="1"/>
  <c r="K675" i="1" s="1"/>
  <c r="L675" i="1" s="1"/>
  <c r="I667" i="1"/>
  <c r="K667" i="1" s="1"/>
  <c r="L667" i="1" s="1"/>
  <c r="I659" i="1"/>
  <c r="K659" i="1" s="1"/>
  <c r="L659" i="1" s="1"/>
  <c r="I651" i="1"/>
  <c r="K651" i="1" s="1"/>
  <c r="L651" i="1" s="1"/>
  <c r="I635" i="1"/>
  <c r="K635" i="1" s="1"/>
  <c r="L635" i="1" s="1"/>
  <c r="I627" i="1"/>
  <c r="K627" i="1" s="1"/>
  <c r="L627" i="1" s="1"/>
  <c r="I619" i="1"/>
  <c r="K619" i="1" s="1"/>
  <c r="L619" i="1" s="1"/>
  <c r="I611" i="1"/>
  <c r="K611" i="1" s="1"/>
  <c r="L611" i="1" s="1"/>
  <c r="I603" i="1"/>
  <c r="K603" i="1" s="1"/>
  <c r="L603" i="1" s="1"/>
  <c r="I595" i="1"/>
  <c r="K595" i="1" s="1"/>
  <c r="L595" i="1" s="1"/>
  <c r="I587" i="1"/>
  <c r="K587" i="1" s="1"/>
  <c r="L587" i="1" s="1"/>
  <c r="I579" i="1"/>
  <c r="K579" i="1" s="1"/>
  <c r="L579" i="1" s="1"/>
  <c r="I674" i="1"/>
  <c r="K674" i="1" s="1"/>
  <c r="L674" i="1" s="1"/>
  <c r="I658" i="1"/>
  <c r="K658" i="1" s="1"/>
  <c r="L658" i="1" s="1"/>
  <c r="I650" i="1"/>
  <c r="K650" i="1" s="1"/>
  <c r="L650" i="1" s="1"/>
  <c r="I642" i="1"/>
  <c r="K642" i="1" s="1"/>
  <c r="L642" i="1" s="1"/>
  <c r="I634" i="1"/>
  <c r="K634" i="1" s="1"/>
  <c r="L634" i="1" s="1"/>
  <c r="I626" i="1"/>
  <c r="K626" i="1" s="1"/>
  <c r="L626" i="1" s="1"/>
  <c r="I618" i="1"/>
  <c r="K618" i="1" s="1"/>
  <c r="L618" i="1" s="1"/>
  <c r="I610" i="1"/>
  <c r="K610" i="1" s="1"/>
  <c r="L610" i="1" s="1"/>
  <c r="I594" i="1"/>
  <c r="K594" i="1" s="1"/>
  <c r="L594" i="1" s="1"/>
  <c r="I586" i="1"/>
  <c r="K586" i="1" s="1"/>
  <c r="L586" i="1" s="1"/>
  <c r="I570" i="1"/>
  <c r="K570" i="1" s="1"/>
  <c r="L570" i="1" s="1"/>
  <c r="I562" i="1"/>
  <c r="K562" i="1" s="1"/>
  <c r="L562" i="1" s="1"/>
  <c r="I554" i="1"/>
  <c r="K554" i="1" s="1"/>
  <c r="L554" i="1" s="1"/>
  <c r="I546" i="1"/>
  <c r="K546" i="1" s="1"/>
  <c r="L546" i="1" s="1"/>
  <c r="I538" i="1"/>
  <c r="K538" i="1" s="1"/>
  <c r="L538" i="1" s="1"/>
  <c r="I530" i="1"/>
  <c r="K530" i="1" s="1"/>
  <c r="L530" i="1" s="1"/>
  <c r="I522" i="1"/>
  <c r="K522" i="1" s="1"/>
  <c r="L522" i="1" s="1"/>
  <c r="I506" i="1"/>
  <c r="K506" i="1" s="1"/>
  <c r="L506" i="1" s="1"/>
  <c r="I498" i="1"/>
  <c r="K498" i="1" s="1"/>
  <c r="L498" i="1" s="1"/>
  <c r="I490" i="1"/>
  <c r="K490" i="1" s="1"/>
  <c r="L490" i="1" s="1"/>
  <c r="I482" i="1"/>
  <c r="K482" i="1" s="1"/>
  <c r="L482" i="1" s="1"/>
  <c r="I474" i="1"/>
  <c r="K474" i="1" s="1"/>
  <c r="L474" i="1" s="1"/>
  <c r="I466" i="1"/>
  <c r="K466" i="1" s="1"/>
  <c r="L466" i="1" s="1"/>
  <c r="I458" i="1"/>
  <c r="K458" i="1" s="1"/>
  <c r="L458" i="1" s="1"/>
  <c r="I442" i="1"/>
  <c r="K442" i="1" s="1"/>
  <c r="L442" i="1" s="1"/>
  <c r="I434" i="1"/>
  <c r="K434" i="1" s="1"/>
  <c r="L434" i="1" s="1"/>
  <c r="I426" i="1"/>
  <c r="K426" i="1" s="1"/>
  <c r="L426" i="1" s="1"/>
  <c r="I418" i="1"/>
  <c r="K418" i="1" s="1"/>
  <c r="L418" i="1" s="1"/>
  <c r="I410" i="1"/>
  <c r="K410" i="1" s="1"/>
  <c r="L410" i="1" s="1"/>
  <c r="I402" i="1"/>
  <c r="K402" i="1" s="1"/>
  <c r="L402" i="1" s="1"/>
  <c r="I394" i="1"/>
  <c r="K394" i="1" s="1"/>
  <c r="L394" i="1" s="1"/>
  <c r="I378" i="1"/>
  <c r="K378" i="1" s="1"/>
  <c r="L378" i="1" s="1"/>
  <c r="I370" i="1"/>
  <c r="K370" i="1" s="1"/>
  <c r="L370" i="1" s="1"/>
  <c r="I362" i="1"/>
  <c r="K362" i="1" s="1"/>
  <c r="L362" i="1" s="1"/>
  <c r="I354" i="1"/>
  <c r="K354" i="1" s="1"/>
  <c r="L354" i="1" s="1"/>
  <c r="I346" i="1"/>
  <c r="K346" i="1" s="1"/>
  <c r="L346" i="1" s="1"/>
  <c r="I338" i="1"/>
  <c r="K338" i="1" s="1"/>
  <c r="L338" i="1" s="1"/>
  <c r="I330" i="1"/>
  <c r="K330" i="1" s="1"/>
  <c r="L330" i="1" s="1"/>
  <c r="I314" i="1"/>
  <c r="K314" i="1" s="1"/>
  <c r="L314" i="1" s="1"/>
  <c r="I306" i="1"/>
  <c r="K306" i="1" s="1"/>
  <c r="L306" i="1" s="1"/>
  <c r="I298" i="1"/>
  <c r="K298" i="1" s="1"/>
  <c r="L298" i="1" s="1"/>
  <c r="I290" i="1"/>
  <c r="K290" i="1" s="1"/>
  <c r="L290" i="1" s="1"/>
  <c r="I282" i="1"/>
  <c r="K282" i="1" s="1"/>
  <c r="L282" i="1" s="1"/>
  <c r="I274" i="1"/>
  <c r="K274" i="1" s="1"/>
  <c r="L274" i="1" s="1"/>
  <c r="I266" i="1"/>
  <c r="K266" i="1" s="1"/>
  <c r="L266" i="1" s="1"/>
  <c r="I250" i="1"/>
  <c r="K250" i="1" s="1"/>
  <c r="L250" i="1" s="1"/>
  <c r="I242" i="1"/>
  <c r="K242" i="1" s="1"/>
  <c r="L242" i="1" s="1"/>
  <c r="I234" i="1"/>
  <c r="K234" i="1" s="1"/>
  <c r="L234" i="1" s="1"/>
  <c r="I226" i="1"/>
  <c r="K226" i="1" s="1"/>
  <c r="L226" i="1" s="1"/>
  <c r="I218" i="1"/>
  <c r="K218" i="1" s="1"/>
  <c r="L218" i="1" s="1"/>
  <c r="I210" i="1"/>
  <c r="K210" i="1" s="1"/>
  <c r="L210" i="1" s="1"/>
  <c r="I202" i="1"/>
  <c r="K202" i="1" s="1"/>
  <c r="L202" i="1" s="1"/>
  <c r="I186" i="1"/>
  <c r="K186" i="1" s="1"/>
  <c r="L186" i="1" s="1"/>
  <c r="I178" i="1"/>
  <c r="K178" i="1" s="1"/>
  <c r="L178" i="1" s="1"/>
  <c r="I170" i="1"/>
  <c r="K170" i="1" s="1"/>
  <c r="L170" i="1" s="1"/>
  <c r="I162" i="1"/>
  <c r="K162" i="1" s="1"/>
  <c r="L162" i="1" s="1"/>
  <c r="I154" i="1"/>
  <c r="K154" i="1" s="1"/>
  <c r="L154" i="1" s="1"/>
  <c r="I146" i="1"/>
  <c r="K146" i="1" s="1"/>
  <c r="L146" i="1" s="1"/>
  <c r="I138" i="1"/>
  <c r="K138" i="1" s="1"/>
  <c r="L138" i="1" s="1"/>
  <c r="I122" i="1"/>
  <c r="K122" i="1" s="1"/>
  <c r="L122" i="1" s="1"/>
  <c r="I98" i="1"/>
  <c r="K98" i="1" s="1"/>
  <c r="L98" i="1" s="1"/>
  <c r="I90" i="1"/>
  <c r="K90" i="1" s="1"/>
  <c r="L90" i="1" s="1"/>
  <c r="I82" i="1"/>
  <c r="K82" i="1" s="1"/>
  <c r="L82" i="1" s="1"/>
  <c r="I74" i="1"/>
  <c r="K74" i="1" s="1"/>
  <c r="L74" i="1" s="1"/>
  <c r="I58" i="1"/>
  <c r="K58" i="1" s="1"/>
  <c r="L58" i="1" s="1"/>
  <c r="I42" i="1"/>
  <c r="K42" i="1" s="1"/>
  <c r="L42" i="1" s="1"/>
  <c r="I793" i="1"/>
  <c r="K793" i="1" s="1"/>
  <c r="L793" i="1" s="1"/>
  <c r="I785" i="1"/>
  <c r="K785" i="1" s="1"/>
  <c r="L785" i="1" s="1"/>
  <c r="I777" i="1"/>
  <c r="K777" i="1" s="1"/>
  <c r="L777" i="1" s="1"/>
  <c r="I769" i="1"/>
  <c r="K769" i="1" s="1"/>
  <c r="L769" i="1" s="1"/>
  <c r="I761" i="1"/>
  <c r="K761" i="1" s="1"/>
  <c r="L761" i="1" s="1"/>
  <c r="I753" i="1"/>
  <c r="K753" i="1" s="1"/>
  <c r="L753" i="1" s="1"/>
  <c r="I745" i="1"/>
  <c r="K745" i="1" s="1"/>
  <c r="L745" i="1" s="1"/>
  <c r="I737" i="1"/>
  <c r="K737" i="1" s="1"/>
  <c r="L737" i="1" s="1"/>
  <c r="I729" i="1"/>
  <c r="K729" i="1" s="1"/>
  <c r="L729" i="1" s="1"/>
  <c r="I721" i="1"/>
  <c r="K721" i="1" s="1"/>
  <c r="L721" i="1" s="1"/>
  <c r="I713" i="1"/>
  <c r="K713" i="1" s="1"/>
  <c r="L713" i="1" s="1"/>
  <c r="I705" i="1"/>
  <c r="K705" i="1" s="1"/>
  <c r="L705" i="1" s="1"/>
  <c r="I697" i="1"/>
  <c r="K697" i="1" s="1"/>
  <c r="L697" i="1" s="1"/>
  <c r="I689" i="1"/>
  <c r="K689" i="1" s="1"/>
  <c r="L689" i="1" s="1"/>
  <c r="I792" i="1"/>
  <c r="K792" i="1" s="1"/>
  <c r="L792" i="1" s="1"/>
  <c r="I784" i="1"/>
  <c r="K784" i="1" s="1"/>
  <c r="L784" i="1" s="1"/>
  <c r="I776" i="1"/>
  <c r="K776" i="1" s="1"/>
  <c r="L776" i="1" s="1"/>
  <c r="I768" i="1"/>
  <c r="K768" i="1" s="1"/>
  <c r="L768" i="1" s="1"/>
  <c r="I760" i="1"/>
  <c r="K760" i="1" s="1"/>
  <c r="L760" i="1" s="1"/>
  <c r="I752" i="1"/>
  <c r="K752" i="1" s="1"/>
  <c r="L752" i="1" s="1"/>
  <c r="I744" i="1"/>
  <c r="K744" i="1" s="1"/>
  <c r="L744" i="1" s="1"/>
  <c r="I736" i="1"/>
  <c r="K736" i="1" s="1"/>
  <c r="L736" i="1" s="1"/>
  <c r="I728" i="1"/>
  <c r="K728" i="1" s="1"/>
  <c r="L728" i="1" s="1"/>
  <c r="I720" i="1"/>
  <c r="K720" i="1" s="1"/>
  <c r="L720" i="1" s="1"/>
  <c r="I712" i="1"/>
  <c r="K712" i="1" s="1"/>
  <c r="L712" i="1" s="1"/>
  <c r="I704" i="1"/>
  <c r="K704" i="1" s="1"/>
  <c r="L704" i="1" s="1"/>
  <c r="I696" i="1"/>
  <c r="K696" i="1" s="1"/>
  <c r="L696" i="1" s="1"/>
  <c r="I688" i="1"/>
  <c r="K688" i="1" s="1"/>
  <c r="L688" i="1" s="1"/>
  <c r="I680" i="1"/>
  <c r="K680" i="1" s="1"/>
  <c r="L680" i="1" s="1"/>
  <c r="I672" i="1"/>
  <c r="K672" i="1" s="1"/>
  <c r="L672" i="1" s="1"/>
  <c r="I664" i="1"/>
  <c r="K664" i="1" s="1"/>
  <c r="L664" i="1" s="1"/>
  <c r="I656" i="1"/>
  <c r="K656" i="1" s="1"/>
  <c r="L656" i="1" s="1"/>
  <c r="I648" i="1"/>
  <c r="K648" i="1" s="1"/>
  <c r="L648" i="1" s="1"/>
  <c r="I640" i="1"/>
  <c r="K640" i="1" s="1"/>
  <c r="L640" i="1" s="1"/>
  <c r="I632" i="1"/>
  <c r="K632" i="1" s="1"/>
  <c r="L632" i="1" s="1"/>
  <c r="I624" i="1"/>
  <c r="K624" i="1" s="1"/>
  <c r="L624" i="1" s="1"/>
  <c r="I616" i="1"/>
  <c r="K616" i="1" s="1"/>
  <c r="L616" i="1" s="1"/>
  <c r="I608" i="1"/>
  <c r="K608" i="1" s="1"/>
  <c r="L608" i="1" s="1"/>
  <c r="I600" i="1"/>
  <c r="K600" i="1" s="1"/>
  <c r="L600" i="1" s="1"/>
  <c r="I592" i="1"/>
  <c r="K592" i="1" s="1"/>
  <c r="L592" i="1" s="1"/>
  <c r="I584" i="1"/>
  <c r="K584" i="1" s="1"/>
  <c r="L584" i="1" s="1"/>
  <c r="I576" i="1"/>
  <c r="K576" i="1" s="1"/>
  <c r="L576" i="1" s="1"/>
  <c r="I568" i="1"/>
  <c r="K568" i="1" s="1"/>
  <c r="L568" i="1" s="1"/>
  <c r="I560" i="1"/>
  <c r="K560" i="1" s="1"/>
  <c r="L560" i="1" s="1"/>
  <c r="I552" i="1"/>
  <c r="K552" i="1" s="1"/>
  <c r="L552" i="1" s="1"/>
  <c r="I544" i="1"/>
  <c r="K544" i="1" s="1"/>
  <c r="L544" i="1" s="1"/>
  <c r="I536" i="1"/>
  <c r="K536" i="1" s="1"/>
  <c r="L536" i="1" s="1"/>
  <c r="I528" i="1"/>
  <c r="K528" i="1" s="1"/>
  <c r="L528" i="1" s="1"/>
  <c r="I520" i="1"/>
  <c r="K520" i="1" s="1"/>
  <c r="L520" i="1" s="1"/>
  <c r="I512" i="1"/>
  <c r="K512" i="1" s="1"/>
  <c r="L512" i="1" s="1"/>
  <c r="I504" i="1"/>
  <c r="K504" i="1" s="1"/>
  <c r="L504" i="1" s="1"/>
  <c r="I496" i="1"/>
  <c r="K496" i="1" s="1"/>
  <c r="L496" i="1" s="1"/>
  <c r="I488" i="1"/>
  <c r="K488" i="1" s="1"/>
  <c r="L488" i="1" s="1"/>
  <c r="I480" i="1"/>
  <c r="K480" i="1" s="1"/>
  <c r="L480" i="1" s="1"/>
  <c r="I472" i="1"/>
  <c r="K472" i="1" s="1"/>
  <c r="L472" i="1" s="1"/>
  <c r="I464" i="1"/>
  <c r="K464" i="1" s="1"/>
  <c r="L464" i="1" s="1"/>
  <c r="I456" i="1"/>
  <c r="K456" i="1" s="1"/>
  <c r="L456" i="1" s="1"/>
  <c r="I791" i="1"/>
  <c r="K791" i="1" s="1"/>
  <c r="L791" i="1" s="1"/>
  <c r="I783" i="1"/>
  <c r="K783" i="1" s="1"/>
  <c r="L783" i="1" s="1"/>
  <c r="I775" i="1"/>
  <c r="K775" i="1" s="1"/>
  <c r="L775" i="1" s="1"/>
  <c r="I767" i="1"/>
  <c r="K767" i="1" s="1"/>
  <c r="L767" i="1" s="1"/>
  <c r="I759" i="1"/>
  <c r="K759" i="1" s="1"/>
  <c r="L759" i="1" s="1"/>
  <c r="I751" i="1"/>
  <c r="K751" i="1" s="1"/>
  <c r="L751" i="1" s="1"/>
  <c r="I743" i="1"/>
  <c r="K743" i="1" s="1"/>
  <c r="L743" i="1" s="1"/>
  <c r="I735" i="1"/>
  <c r="K735" i="1" s="1"/>
  <c r="L735" i="1" s="1"/>
  <c r="I727" i="1"/>
  <c r="K727" i="1" s="1"/>
  <c r="L727" i="1" s="1"/>
  <c r="I719" i="1"/>
  <c r="K719" i="1" s="1"/>
  <c r="L719" i="1" s="1"/>
  <c r="I711" i="1"/>
  <c r="K711" i="1" s="1"/>
  <c r="L711" i="1" s="1"/>
  <c r="I703" i="1"/>
  <c r="K703" i="1" s="1"/>
  <c r="L703" i="1" s="1"/>
  <c r="I695" i="1"/>
  <c r="K695" i="1" s="1"/>
  <c r="L695" i="1" s="1"/>
  <c r="I687" i="1"/>
  <c r="K687" i="1" s="1"/>
  <c r="L687" i="1" s="1"/>
  <c r="I679" i="1"/>
  <c r="K679" i="1" s="1"/>
  <c r="L679" i="1" s="1"/>
  <c r="I671" i="1"/>
  <c r="K671" i="1" s="1"/>
  <c r="L671" i="1" s="1"/>
  <c r="I2" i="1"/>
  <c r="K2" i="1" s="1"/>
  <c r="L2" i="1" s="1"/>
  <c r="I790" i="1"/>
  <c r="K790" i="1" s="1"/>
  <c r="L790" i="1" s="1"/>
  <c r="I782" i="1"/>
  <c r="K782" i="1" s="1"/>
  <c r="L782" i="1" s="1"/>
  <c r="I774" i="1"/>
  <c r="K774" i="1" s="1"/>
  <c r="L774" i="1" s="1"/>
  <c r="I766" i="1"/>
  <c r="K766" i="1" s="1"/>
  <c r="L766" i="1" s="1"/>
  <c r="I758" i="1"/>
  <c r="K758" i="1" s="1"/>
  <c r="L758" i="1" s="1"/>
  <c r="I750" i="1"/>
  <c r="K750" i="1" s="1"/>
  <c r="L750" i="1" s="1"/>
  <c r="I742" i="1"/>
  <c r="K742" i="1" s="1"/>
  <c r="L742" i="1" s="1"/>
  <c r="I734" i="1"/>
  <c r="K734" i="1" s="1"/>
  <c r="L734" i="1" s="1"/>
  <c r="I726" i="1"/>
  <c r="K726" i="1" s="1"/>
  <c r="L726" i="1" s="1"/>
  <c r="I718" i="1"/>
  <c r="K718" i="1" s="1"/>
  <c r="L718" i="1" s="1"/>
  <c r="I710" i="1"/>
  <c r="K710" i="1" s="1"/>
  <c r="L710" i="1" s="1"/>
  <c r="I702" i="1"/>
  <c r="K702" i="1" s="1"/>
  <c r="L702" i="1" s="1"/>
  <c r="I694" i="1"/>
  <c r="K694" i="1" s="1"/>
  <c r="L694" i="1" s="1"/>
  <c r="I686" i="1"/>
  <c r="K686" i="1" s="1"/>
  <c r="L686" i="1" s="1"/>
  <c r="I678" i="1"/>
  <c r="K678" i="1" s="1"/>
  <c r="L678" i="1" s="1"/>
  <c r="I670" i="1"/>
  <c r="K670" i="1" s="1"/>
  <c r="L670" i="1" s="1"/>
  <c r="I662" i="1"/>
  <c r="K662" i="1" s="1"/>
  <c r="L662" i="1" s="1"/>
  <c r="I654" i="1"/>
  <c r="K654" i="1" s="1"/>
  <c r="L654" i="1" s="1"/>
  <c r="I646" i="1"/>
  <c r="K646" i="1" s="1"/>
  <c r="L646" i="1" s="1"/>
  <c r="I638" i="1"/>
  <c r="K638" i="1" s="1"/>
  <c r="L638" i="1" s="1"/>
  <c r="I630" i="1"/>
  <c r="K630" i="1" s="1"/>
  <c r="L630" i="1" s="1"/>
  <c r="I622" i="1"/>
  <c r="K622" i="1" s="1"/>
  <c r="L622" i="1" s="1"/>
  <c r="I614" i="1"/>
  <c r="K614" i="1" s="1"/>
  <c r="L614" i="1" s="1"/>
  <c r="I606" i="1"/>
  <c r="K606" i="1" s="1"/>
  <c r="L606" i="1" s="1"/>
  <c r="I598" i="1"/>
  <c r="K598" i="1" s="1"/>
  <c r="L598" i="1" s="1"/>
  <c r="I590" i="1"/>
  <c r="K590" i="1" s="1"/>
  <c r="L590" i="1" s="1"/>
  <c r="I582" i="1"/>
  <c r="K582" i="1" s="1"/>
  <c r="L582" i="1" s="1"/>
  <c r="I574" i="1"/>
  <c r="K574" i="1" s="1"/>
  <c r="L574" i="1" s="1"/>
  <c r="I566" i="1"/>
  <c r="K566" i="1" s="1"/>
  <c r="L566" i="1" s="1"/>
  <c r="I558" i="1"/>
  <c r="K558" i="1" s="1"/>
  <c r="L558" i="1" s="1"/>
  <c r="I550" i="1"/>
  <c r="K550" i="1" s="1"/>
  <c r="L550" i="1" s="1"/>
  <c r="I542" i="1"/>
  <c r="K542" i="1" s="1"/>
  <c r="L542" i="1" s="1"/>
  <c r="I534" i="1"/>
  <c r="K534" i="1" s="1"/>
  <c r="L534" i="1" s="1"/>
  <c r="I526" i="1"/>
  <c r="K526" i="1" s="1"/>
  <c r="L526" i="1" s="1"/>
  <c r="I518" i="1"/>
  <c r="K518" i="1" s="1"/>
  <c r="L518" i="1" s="1"/>
  <c r="I510" i="1"/>
  <c r="K510" i="1" s="1"/>
  <c r="L510" i="1" s="1"/>
  <c r="I502" i="1"/>
  <c r="K502" i="1" s="1"/>
  <c r="L502" i="1" s="1"/>
  <c r="I494" i="1"/>
  <c r="K494" i="1" s="1"/>
  <c r="L494" i="1" s="1"/>
  <c r="I486" i="1"/>
  <c r="K486" i="1" s="1"/>
  <c r="L486" i="1" s="1"/>
  <c r="I478" i="1"/>
  <c r="K478" i="1" s="1"/>
  <c r="L478" i="1" s="1"/>
  <c r="I470" i="1"/>
  <c r="K470" i="1" s="1"/>
  <c r="L470" i="1" s="1"/>
  <c r="I462" i="1"/>
  <c r="K462" i="1" s="1"/>
  <c r="L462" i="1" s="1"/>
  <c r="I454" i="1"/>
  <c r="K454" i="1" s="1"/>
  <c r="L454" i="1" s="1"/>
  <c r="I797" i="1"/>
  <c r="K797" i="1" s="1"/>
  <c r="L797" i="1" s="1"/>
  <c r="I789" i="1"/>
  <c r="K789" i="1" s="1"/>
  <c r="L789" i="1" s="1"/>
  <c r="I781" i="1"/>
  <c r="K781" i="1" s="1"/>
  <c r="L781" i="1" s="1"/>
  <c r="I773" i="1"/>
  <c r="K773" i="1" s="1"/>
  <c r="L773" i="1" s="1"/>
  <c r="I765" i="1"/>
  <c r="K765" i="1" s="1"/>
  <c r="L765" i="1" s="1"/>
  <c r="I757" i="1"/>
  <c r="K757" i="1" s="1"/>
  <c r="L757" i="1" s="1"/>
  <c r="I749" i="1"/>
  <c r="K749" i="1" s="1"/>
  <c r="L749" i="1" s="1"/>
  <c r="I741" i="1"/>
  <c r="K741" i="1" s="1"/>
  <c r="L741" i="1" s="1"/>
  <c r="I733" i="1"/>
  <c r="K733" i="1" s="1"/>
  <c r="L733" i="1" s="1"/>
  <c r="I725" i="1"/>
  <c r="K725" i="1" s="1"/>
  <c r="L725" i="1" s="1"/>
  <c r="I717" i="1"/>
  <c r="K717" i="1" s="1"/>
  <c r="L717" i="1" s="1"/>
  <c r="I709" i="1"/>
  <c r="K709" i="1" s="1"/>
  <c r="L709" i="1" s="1"/>
  <c r="I701" i="1"/>
  <c r="K701" i="1" s="1"/>
  <c r="L701" i="1" s="1"/>
  <c r="I693" i="1"/>
  <c r="K693" i="1" s="1"/>
  <c r="L693" i="1" s="1"/>
  <c r="I685" i="1"/>
  <c r="K685" i="1" s="1"/>
  <c r="L685" i="1" s="1"/>
  <c r="I677" i="1"/>
  <c r="K677" i="1" s="1"/>
  <c r="L677" i="1" s="1"/>
  <c r="I669" i="1"/>
  <c r="K669" i="1" s="1"/>
  <c r="L669" i="1" s="1"/>
  <c r="I661" i="1"/>
  <c r="K661" i="1" s="1"/>
  <c r="L661" i="1" s="1"/>
  <c r="I653" i="1"/>
  <c r="K653" i="1" s="1"/>
  <c r="L653" i="1" s="1"/>
  <c r="I645" i="1"/>
  <c r="K645" i="1" s="1"/>
  <c r="L645" i="1" s="1"/>
  <c r="I637" i="1"/>
  <c r="K637" i="1" s="1"/>
  <c r="L637" i="1" s="1"/>
  <c r="I629" i="1"/>
  <c r="K629" i="1" s="1"/>
  <c r="L629" i="1" s="1"/>
  <c r="I613" i="1"/>
  <c r="K613" i="1" s="1"/>
  <c r="L613" i="1" s="1"/>
  <c r="I605" i="1"/>
  <c r="K605" i="1" s="1"/>
  <c r="L605" i="1" s="1"/>
  <c r="I597" i="1"/>
  <c r="K597" i="1" s="1"/>
  <c r="L597" i="1" s="1"/>
  <c r="I589" i="1"/>
  <c r="K589" i="1" s="1"/>
  <c r="L589" i="1" s="1"/>
  <c r="I581" i="1"/>
  <c r="K581" i="1" s="1"/>
  <c r="L581" i="1" s="1"/>
  <c r="I573" i="1"/>
  <c r="K573" i="1" s="1"/>
  <c r="L573" i="1" s="1"/>
  <c r="I565" i="1"/>
  <c r="K565" i="1" s="1"/>
  <c r="L565" i="1" s="1"/>
  <c r="I557" i="1"/>
  <c r="K557" i="1" s="1"/>
  <c r="L557" i="1" s="1"/>
  <c r="I549" i="1"/>
  <c r="K549" i="1" s="1"/>
  <c r="L549" i="1" s="1"/>
  <c r="I541" i="1"/>
  <c r="K541" i="1" s="1"/>
  <c r="L541" i="1" s="1"/>
  <c r="I533" i="1"/>
  <c r="K533" i="1" s="1"/>
  <c r="L533" i="1" s="1"/>
  <c r="I525" i="1"/>
  <c r="K525" i="1" s="1"/>
  <c r="L525" i="1" s="1"/>
  <c r="I517" i="1"/>
  <c r="K517" i="1" s="1"/>
  <c r="L517" i="1" s="1"/>
  <c r="I509" i="1"/>
  <c r="K509" i="1" s="1"/>
  <c r="L509" i="1" s="1"/>
  <c r="I501" i="1"/>
  <c r="K501" i="1" s="1"/>
  <c r="L501" i="1" s="1"/>
  <c r="I493" i="1"/>
  <c r="K493" i="1" s="1"/>
  <c r="L493" i="1" s="1"/>
  <c r="I485" i="1"/>
  <c r="K485" i="1" s="1"/>
  <c r="L485" i="1" s="1"/>
  <c r="I477" i="1"/>
  <c r="K477" i="1" s="1"/>
  <c r="L477" i="1" s="1"/>
  <c r="I469" i="1"/>
  <c r="K469" i="1" s="1"/>
  <c r="L469" i="1" s="1"/>
  <c r="I461" i="1"/>
  <c r="K461" i="1" s="1"/>
  <c r="L461" i="1" s="1"/>
  <c r="I453" i="1"/>
  <c r="K453" i="1" s="1"/>
  <c r="L453" i="1" s="1"/>
  <c r="I445" i="1"/>
  <c r="K445" i="1" s="1"/>
  <c r="L445" i="1" s="1"/>
  <c r="I437" i="1"/>
  <c r="K437" i="1" s="1"/>
  <c r="L437" i="1" s="1"/>
  <c r="I429" i="1"/>
  <c r="K429" i="1" s="1"/>
  <c r="L429" i="1" s="1"/>
  <c r="I421" i="1"/>
  <c r="K421" i="1" s="1"/>
  <c r="L421" i="1" s="1"/>
  <c r="I413" i="1"/>
  <c r="K413" i="1" s="1"/>
  <c r="L413" i="1" s="1"/>
  <c r="I405" i="1"/>
  <c r="K405" i="1" s="1"/>
  <c r="L405" i="1" s="1"/>
  <c r="I397" i="1"/>
  <c r="K397" i="1" s="1"/>
  <c r="L397" i="1" s="1"/>
  <c r="I389" i="1"/>
  <c r="K389" i="1" s="1"/>
  <c r="L389" i="1" s="1"/>
  <c r="I381" i="1"/>
  <c r="K381" i="1" s="1"/>
  <c r="L381" i="1" s="1"/>
  <c r="I373" i="1"/>
  <c r="K373" i="1" s="1"/>
  <c r="L373" i="1" s="1"/>
  <c r="I365" i="1"/>
  <c r="K365" i="1" s="1"/>
  <c r="L365" i="1" s="1"/>
  <c r="I357" i="1"/>
  <c r="K357" i="1" s="1"/>
  <c r="L357" i="1" s="1"/>
  <c r="I349" i="1"/>
  <c r="K349" i="1" s="1"/>
  <c r="L349" i="1" s="1"/>
  <c r="I341" i="1"/>
  <c r="K341" i="1" s="1"/>
  <c r="L341" i="1" s="1"/>
  <c r="I333" i="1"/>
  <c r="K333" i="1" s="1"/>
  <c r="L333" i="1" s="1"/>
  <c r="I325" i="1"/>
  <c r="K325" i="1" s="1"/>
  <c r="L325" i="1" s="1"/>
  <c r="I317" i="1"/>
  <c r="K317" i="1" s="1"/>
  <c r="L317" i="1" s="1"/>
  <c r="I309" i="1"/>
  <c r="K309" i="1" s="1"/>
  <c r="L309" i="1" s="1"/>
  <c r="I301" i="1"/>
  <c r="K301" i="1" s="1"/>
  <c r="L301" i="1" s="1"/>
  <c r="I293" i="1"/>
  <c r="K293" i="1" s="1"/>
  <c r="L293" i="1" s="1"/>
  <c r="I285" i="1"/>
  <c r="K285" i="1" s="1"/>
  <c r="L285" i="1" s="1"/>
  <c r="I277" i="1"/>
  <c r="K277" i="1" s="1"/>
  <c r="L277" i="1" s="1"/>
  <c r="I269" i="1"/>
  <c r="K269" i="1" s="1"/>
  <c r="L269" i="1" s="1"/>
  <c r="I261" i="1"/>
  <c r="K261" i="1" s="1"/>
  <c r="L261" i="1" s="1"/>
  <c r="I253" i="1"/>
  <c r="K253" i="1" s="1"/>
  <c r="L253" i="1" s="1"/>
  <c r="I245" i="1"/>
  <c r="K245" i="1" s="1"/>
  <c r="L245" i="1" s="1"/>
  <c r="I237" i="1"/>
  <c r="K237" i="1" s="1"/>
  <c r="L237" i="1" s="1"/>
  <c r="I229" i="1"/>
  <c r="K229" i="1" s="1"/>
  <c r="L229" i="1" s="1"/>
  <c r="I221" i="1"/>
  <c r="K221" i="1" s="1"/>
  <c r="L221" i="1" s="1"/>
  <c r="I213" i="1"/>
  <c r="K213" i="1" s="1"/>
  <c r="L213" i="1" s="1"/>
  <c r="I205" i="1"/>
  <c r="K205" i="1" s="1"/>
  <c r="L205" i="1" s="1"/>
  <c r="I197" i="1"/>
  <c r="K197" i="1" s="1"/>
  <c r="L197" i="1" s="1"/>
  <c r="I189" i="1"/>
  <c r="K189" i="1" s="1"/>
  <c r="L189" i="1" s="1"/>
  <c r="I181" i="1"/>
  <c r="K181" i="1" s="1"/>
  <c r="L181" i="1" s="1"/>
  <c r="I173" i="1"/>
  <c r="K173" i="1" s="1"/>
  <c r="L173" i="1" s="1"/>
  <c r="I165" i="1"/>
  <c r="K165" i="1" s="1"/>
  <c r="L165" i="1" s="1"/>
  <c r="I157" i="1"/>
  <c r="K157" i="1" s="1"/>
  <c r="L157" i="1" s="1"/>
  <c r="I149" i="1"/>
  <c r="K149" i="1" s="1"/>
  <c r="L149" i="1" s="1"/>
  <c r="I141" i="1"/>
  <c r="K141" i="1" s="1"/>
  <c r="L141" i="1" s="1"/>
  <c r="I133" i="1"/>
  <c r="K133" i="1" s="1"/>
  <c r="L133" i="1" s="1"/>
  <c r="I125" i="1"/>
  <c r="K125" i="1" s="1"/>
  <c r="L125" i="1" s="1"/>
  <c r="I117" i="1"/>
  <c r="K117" i="1" s="1"/>
  <c r="L117" i="1" s="1"/>
  <c r="I109" i="1"/>
  <c r="K109" i="1" s="1"/>
  <c r="L109" i="1" s="1"/>
  <c r="I101" i="1"/>
  <c r="K101" i="1" s="1"/>
  <c r="L101" i="1" s="1"/>
  <c r="I93" i="1"/>
  <c r="K93" i="1" s="1"/>
  <c r="L93" i="1" s="1"/>
  <c r="I85" i="1"/>
  <c r="K85" i="1" s="1"/>
  <c r="L85" i="1" s="1"/>
  <c r="I77" i="1"/>
  <c r="K77" i="1" s="1"/>
  <c r="L77" i="1" s="1"/>
  <c r="I69" i="1"/>
  <c r="K69" i="1" s="1"/>
  <c r="L69" i="1" s="1"/>
  <c r="I61" i="1"/>
  <c r="K61" i="1" s="1"/>
  <c r="L61" i="1" s="1"/>
  <c r="I53" i="1"/>
  <c r="K53" i="1" s="1"/>
  <c r="L53" i="1" s="1"/>
  <c r="I45" i="1"/>
  <c r="K45" i="1" s="1"/>
  <c r="L45" i="1" s="1"/>
  <c r="I37" i="1"/>
  <c r="K37" i="1" s="1"/>
  <c r="L37" i="1" s="1"/>
  <c r="I29" i="1"/>
  <c r="K29" i="1" s="1"/>
  <c r="L29" i="1" s="1"/>
  <c r="I21" i="1"/>
  <c r="K21" i="1" s="1"/>
  <c r="L21" i="1" s="1"/>
  <c r="I13" i="1"/>
  <c r="K13" i="1" s="1"/>
  <c r="L13" i="1" s="1"/>
  <c r="I5" i="1"/>
  <c r="K5" i="1" s="1"/>
  <c r="L5" i="1" s="1"/>
  <c r="I676" i="1"/>
  <c r="K676" i="1" s="1"/>
  <c r="L676" i="1" s="1"/>
  <c r="I668" i="1"/>
  <c r="K668" i="1" s="1"/>
  <c r="L668" i="1" s="1"/>
  <c r="I660" i="1"/>
  <c r="K660" i="1" s="1"/>
  <c r="L660" i="1" s="1"/>
  <c r="I652" i="1"/>
  <c r="K652" i="1" s="1"/>
  <c r="L652" i="1" s="1"/>
  <c r="I644" i="1"/>
  <c r="K644" i="1" s="1"/>
  <c r="L644" i="1" s="1"/>
  <c r="I636" i="1"/>
  <c r="K636" i="1" s="1"/>
  <c r="L636" i="1" s="1"/>
  <c r="I628" i="1"/>
  <c r="K628" i="1" s="1"/>
  <c r="L628" i="1" s="1"/>
  <c r="I620" i="1"/>
  <c r="K620" i="1" s="1"/>
  <c r="L620" i="1" s="1"/>
  <c r="I612" i="1"/>
  <c r="K612" i="1" s="1"/>
  <c r="L612" i="1" s="1"/>
  <c r="I604" i="1"/>
  <c r="K604" i="1" s="1"/>
  <c r="L604" i="1" s="1"/>
  <c r="I596" i="1"/>
  <c r="K596" i="1" s="1"/>
  <c r="L596" i="1" s="1"/>
  <c r="I588" i="1"/>
  <c r="K588" i="1" s="1"/>
  <c r="L588" i="1" s="1"/>
  <c r="I580" i="1"/>
  <c r="K580" i="1" s="1"/>
  <c r="L580" i="1" s="1"/>
  <c r="I572" i="1"/>
  <c r="K572" i="1" s="1"/>
  <c r="L572" i="1" s="1"/>
  <c r="I564" i="1"/>
  <c r="K564" i="1" s="1"/>
  <c r="L564" i="1" s="1"/>
  <c r="I556" i="1"/>
  <c r="K556" i="1" s="1"/>
  <c r="L556" i="1" s="1"/>
  <c r="I548" i="1"/>
  <c r="K548" i="1" s="1"/>
  <c r="L548" i="1" s="1"/>
  <c r="I540" i="1"/>
  <c r="K540" i="1" s="1"/>
  <c r="L540" i="1" s="1"/>
  <c r="I532" i="1"/>
  <c r="K532" i="1" s="1"/>
  <c r="L532" i="1" s="1"/>
  <c r="I524" i="1"/>
  <c r="K524" i="1" s="1"/>
  <c r="L524" i="1" s="1"/>
  <c r="I516" i="1"/>
  <c r="K516" i="1" s="1"/>
  <c r="L516" i="1" s="1"/>
  <c r="I508" i="1"/>
  <c r="K508" i="1" s="1"/>
  <c r="L508" i="1" s="1"/>
  <c r="I500" i="1"/>
  <c r="K500" i="1" s="1"/>
  <c r="L500" i="1" s="1"/>
  <c r="I492" i="1"/>
  <c r="K492" i="1" s="1"/>
  <c r="L492" i="1" s="1"/>
  <c r="I484" i="1"/>
  <c r="K484" i="1" s="1"/>
  <c r="L484" i="1" s="1"/>
  <c r="I476" i="1"/>
  <c r="K476" i="1" s="1"/>
  <c r="L476" i="1" s="1"/>
  <c r="I468" i="1"/>
  <c r="K468" i="1" s="1"/>
  <c r="L468" i="1" s="1"/>
  <c r="I460" i="1"/>
  <c r="K460" i="1" s="1"/>
  <c r="L460" i="1" s="1"/>
  <c r="I452" i="1"/>
  <c r="K452" i="1" s="1"/>
  <c r="L452" i="1" s="1"/>
  <c r="I444" i="1"/>
  <c r="K444" i="1" s="1"/>
  <c r="L444" i="1" s="1"/>
  <c r="I436" i="1"/>
  <c r="K436" i="1" s="1"/>
  <c r="L436" i="1" s="1"/>
  <c r="I428" i="1"/>
  <c r="K428" i="1" s="1"/>
  <c r="L428" i="1" s="1"/>
  <c r="I420" i="1"/>
  <c r="K420" i="1" s="1"/>
  <c r="L420" i="1" s="1"/>
  <c r="I412" i="1"/>
  <c r="K412" i="1" s="1"/>
  <c r="L412" i="1" s="1"/>
  <c r="I404" i="1"/>
  <c r="K404" i="1" s="1"/>
  <c r="L404" i="1" s="1"/>
  <c r="I396" i="1"/>
  <c r="K396" i="1" s="1"/>
  <c r="L396" i="1" s="1"/>
  <c r="I388" i="1"/>
  <c r="K388" i="1" s="1"/>
  <c r="L388" i="1" s="1"/>
  <c r="I380" i="1"/>
  <c r="K380" i="1" s="1"/>
  <c r="L380" i="1" s="1"/>
  <c r="I372" i="1"/>
  <c r="K372" i="1" s="1"/>
  <c r="L372" i="1" s="1"/>
  <c r="I364" i="1"/>
  <c r="K364" i="1" s="1"/>
  <c r="L364" i="1" s="1"/>
  <c r="I356" i="1"/>
  <c r="K356" i="1" s="1"/>
  <c r="L356" i="1" s="1"/>
  <c r="I348" i="1"/>
  <c r="K348" i="1" s="1"/>
  <c r="L348" i="1" s="1"/>
  <c r="I340" i="1"/>
  <c r="K340" i="1" s="1"/>
  <c r="L340" i="1" s="1"/>
  <c r="I332" i="1"/>
  <c r="K332" i="1" s="1"/>
  <c r="L332" i="1" s="1"/>
  <c r="I324" i="1"/>
  <c r="K324" i="1" s="1"/>
  <c r="L324" i="1" s="1"/>
  <c r="I316" i="1"/>
  <c r="K316" i="1" s="1"/>
  <c r="L316" i="1" s="1"/>
  <c r="I308" i="1"/>
  <c r="K308" i="1" s="1"/>
  <c r="L308" i="1" s="1"/>
  <c r="I300" i="1"/>
  <c r="K300" i="1" s="1"/>
  <c r="L300" i="1" s="1"/>
  <c r="I292" i="1"/>
  <c r="K292" i="1" s="1"/>
  <c r="L292" i="1" s="1"/>
  <c r="I284" i="1"/>
  <c r="K284" i="1" s="1"/>
  <c r="L284" i="1" s="1"/>
  <c r="I276" i="1"/>
  <c r="K276" i="1" s="1"/>
  <c r="L276" i="1" s="1"/>
  <c r="I268" i="1"/>
  <c r="K268" i="1" s="1"/>
  <c r="L268" i="1" s="1"/>
  <c r="I260" i="1"/>
  <c r="K260" i="1" s="1"/>
  <c r="L260" i="1" s="1"/>
  <c r="I252" i="1"/>
  <c r="K252" i="1" s="1"/>
  <c r="L252" i="1" s="1"/>
  <c r="I244" i="1"/>
  <c r="K244" i="1" s="1"/>
  <c r="L244" i="1" s="1"/>
  <c r="I236" i="1"/>
  <c r="K236" i="1" s="1"/>
  <c r="L236" i="1" s="1"/>
  <c r="I228" i="1"/>
  <c r="K228" i="1" s="1"/>
  <c r="L228" i="1" s="1"/>
  <c r="I220" i="1"/>
  <c r="K220" i="1" s="1"/>
  <c r="L220" i="1" s="1"/>
  <c r="I212" i="1"/>
  <c r="K212" i="1" s="1"/>
  <c r="L212" i="1" s="1"/>
  <c r="I204" i="1"/>
  <c r="K204" i="1" s="1"/>
  <c r="L204" i="1" s="1"/>
  <c r="I196" i="1"/>
  <c r="K196" i="1" s="1"/>
  <c r="L196" i="1" s="1"/>
  <c r="I188" i="1"/>
  <c r="K188" i="1" s="1"/>
  <c r="L188" i="1" s="1"/>
  <c r="I180" i="1"/>
  <c r="K180" i="1" s="1"/>
  <c r="L180" i="1" s="1"/>
  <c r="I172" i="1"/>
  <c r="K172" i="1" s="1"/>
  <c r="L172" i="1" s="1"/>
  <c r="I164" i="1"/>
  <c r="K164" i="1" s="1"/>
  <c r="L164" i="1" s="1"/>
  <c r="I156" i="1"/>
  <c r="K156" i="1" s="1"/>
  <c r="L156" i="1" s="1"/>
  <c r="I148" i="1"/>
  <c r="K148" i="1" s="1"/>
  <c r="L148" i="1" s="1"/>
  <c r="I140" i="1"/>
  <c r="K140" i="1" s="1"/>
  <c r="L140" i="1" s="1"/>
  <c r="I132" i="1"/>
  <c r="K132" i="1" s="1"/>
  <c r="L132" i="1" s="1"/>
  <c r="I124" i="1"/>
  <c r="K124" i="1" s="1"/>
  <c r="L124" i="1" s="1"/>
  <c r="I116" i="1"/>
  <c r="K116" i="1" s="1"/>
  <c r="L116" i="1" s="1"/>
  <c r="I108" i="1"/>
  <c r="K108" i="1" s="1"/>
  <c r="L108" i="1" s="1"/>
  <c r="I100" i="1"/>
  <c r="K100" i="1" s="1"/>
  <c r="L100" i="1" s="1"/>
  <c r="I92" i="1"/>
  <c r="K92" i="1" s="1"/>
  <c r="L92" i="1" s="1"/>
  <c r="I84" i="1"/>
  <c r="K84" i="1" s="1"/>
  <c r="L84" i="1" s="1"/>
  <c r="I76" i="1"/>
  <c r="K76" i="1" s="1"/>
  <c r="L76" i="1" s="1"/>
  <c r="I68" i="1"/>
  <c r="K68" i="1" s="1"/>
  <c r="L68" i="1" s="1"/>
  <c r="I60" i="1"/>
  <c r="K60" i="1" s="1"/>
  <c r="L60" i="1" s="1"/>
  <c r="I52" i="1"/>
  <c r="K52" i="1" s="1"/>
  <c r="L52" i="1" s="1"/>
  <c r="I44" i="1"/>
  <c r="K44" i="1" s="1"/>
  <c r="L44" i="1" s="1"/>
  <c r="I36" i="1"/>
  <c r="K36" i="1" s="1"/>
  <c r="L36" i="1" s="1"/>
  <c r="I28" i="1"/>
  <c r="K28" i="1" s="1"/>
  <c r="L28" i="1" s="1"/>
  <c r="I20" i="1"/>
  <c r="K20" i="1" s="1"/>
  <c r="L20" i="1" s="1"/>
  <c r="I12" i="1"/>
  <c r="K12" i="1" s="1"/>
  <c r="L12" i="1" s="1"/>
  <c r="I4" i="1"/>
  <c r="K4" i="1" s="1"/>
  <c r="L4" i="1" s="1"/>
  <c r="I571" i="1"/>
  <c r="K571" i="1" s="1"/>
  <c r="L571" i="1" s="1"/>
  <c r="I563" i="1"/>
  <c r="K563" i="1" s="1"/>
  <c r="L563" i="1" s="1"/>
  <c r="I555" i="1"/>
  <c r="K555" i="1" s="1"/>
  <c r="L555" i="1" s="1"/>
  <c r="I547" i="1"/>
  <c r="K547" i="1" s="1"/>
  <c r="L547" i="1" s="1"/>
  <c r="I539" i="1"/>
  <c r="K539" i="1" s="1"/>
  <c r="L539" i="1" s="1"/>
  <c r="I531" i="1"/>
  <c r="K531" i="1" s="1"/>
  <c r="L531" i="1" s="1"/>
  <c r="I523" i="1"/>
  <c r="K523" i="1" s="1"/>
  <c r="L523" i="1" s="1"/>
  <c r="I515" i="1"/>
  <c r="K515" i="1" s="1"/>
  <c r="L515" i="1" s="1"/>
  <c r="I507" i="1"/>
  <c r="K507" i="1" s="1"/>
  <c r="L507" i="1" s="1"/>
  <c r="I499" i="1"/>
  <c r="K499" i="1" s="1"/>
  <c r="L499" i="1" s="1"/>
  <c r="I491" i="1"/>
  <c r="K491" i="1" s="1"/>
  <c r="L491" i="1" s="1"/>
  <c r="I483" i="1"/>
  <c r="K483" i="1" s="1"/>
  <c r="L483" i="1" s="1"/>
  <c r="I475" i="1"/>
  <c r="K475" i="1" s="1"/>
  <c r="L475" i="1" s="1"/>
  <c r="I467" i="1"/>
  <c r="K467" i="1" s="1"/>
  <c r="L467" i="1" s="1"/>
  <c r="I459" i="1"/>
  <c r="K459" i="1" s="1"/>
  <c r="L459" i="1" s="1"/>
  <c r="I451" i="1"/>
  <c r="K451" i="1" s="1"/>
  <c r="L451" i="1" s="1"/>
  <c r="I443" i="1"/>
  <c r="K443" i="1" s="1"/>
  <c r="L443" i="1" s="1"/>
  <c r="I435" i="1"/>
  <c r="K435" i="1" s="1"/>
  <c r="L435" i="1" s="1"/>
  <c r="I427" i="1"/>
  <c r="K427" i="1" s="1"/>
  <c r="L427" i="1" s="1"/>
  <c r="I419" i="1"/>
  <c r="K419" i="1" s="1"/>
  <c r="L419" i="1" s="1"/>
  <c r="I411" i="1"/>
  <c r="K411" i="1" s="1"/>
  <c r="L411" i="1" s="1"/>
  <c r="I403" i="1"/>
  <c r="K403" i="1" s="1"/>
  <c r="L403" i="1" s="1"/>
  <c r="I395" i="1"/>
  <c r="K395" i="1" s="1"/>
  <c r="L395" i="1" s="1"/>
  <c r="I387" i="1"/>
  <c r="K387" i="1" s="1"/>
  <c r="L387" i="1" s="1"/>
  <c r="I379" i="1"/>
  <c r="K379" i="1" s="1"/>
  <c r="L379" i="1" s="1"/>
  <c r="I371" i="1"/>
  <c r="K371" i="1" s="1"/>
  <c r="L371" i="1" s="1"/>
  <c r="I363" i="1"/>
  <c r="K363" i="1" s="1"/>
  <c r="L363" i="1" s="1"/>
  <c r="I355" i="1"/>
  <c r="K355" i="1" s="1"/>
  <c r="L355" i="1" s="1"/>
  <c r="I347" i="1"/>
  <c r="K347" i="1" s="1"/>
  <c r="L347" i="1" s="1"/>
  <c r="I339" i="1"/>
  <c r="K339" i="1" s="1"/>
  <c r="L339" i="1" s="1"/>
  <c r="I331" i="1"/>
  <c r="K331" i="1" s="1"/>
  <c r="L331" i="1" s="1"/>
  <c r="I323" i="1"/>
  <c r="K323" i="1" s="1"/>
  <c r="L323" i="1" s="1"/>
  <c r="I315" i="1"/>
  <c r="K315" i="1" s="1"/>
  <c r="L315" i="1" s="1"/>
  <c r="I307" i="1"/>
  <c r="K307" i="1" s="1"/>
  <c r="L307" i="1" s="1"/>
  <c r="I299" i="1"/>
  <c r="K299" i="1" s="1"/>
  <c r="L299" i="1" s="1"/>
  <c r="I291" i="1"/>
  <c r="K291" i="1" s="1"/>
  <c r="L291" i="1" s="1"/>
  <c r="I283" i="1"/>
  <c r="K283" i="1" s="1"/>
  <c r="L283" i="1" s="1"/>
  <c r="I275" i="1"/>
  <c r="K275" i="1" s="1"/>
  <c r="L275" i="1" s="1"/>
  <c r="I267" i="1"/>
  <c r="K267" i="1" s="1"/>
  <c r="L267" i="1" s="1"/>
  <c r="I259" i="1"/>
  <c r="K259" i="1" s="1"/>
  <c r="L259" i="1" s="1"/>
  <c r="I251" i="1"/>
  <c r="K251" i="1" s="1"/>
  <c r="L251" i="1" s="1"/>
  <c r="I243" i="1"/>
  <c r="K243" i="1" s="1"/>
  <c r="L243" i="1" s="1"/>
  <c r="I235" i="1"/>
  <c r="K235" i="1" s="1"/>
  <c r="L235" i="1" s="1"/>
  <c r="I227" i="1"/>
  <c r="K227" i="1" s="1"/>
  <c r="L227" i="1" s="1"/>
  <c r="I219" i="1"/>
  <c r="K219" i="1" s="1"/>
  <c r="L219" i="1" s="1"/>
  <c r="I211" i="1"/>
  <c r="K211" i="1" s="1"/>
  <c r="L211" i="1" s="1"/>
  <c r="I203" i="1"/>
  <c r="K203" i="1" s="1"/>
  <c r="L203" i="1" s="1"/>
  <c r="I195" i="1"/>
  <c r="K195" i="1" s="1"/>
  <c r="L195" i="1" s="1"/>
  <c r="I187" i="1"/>
  <c r="K187" i="1" s="1"/>
  <c r="L187" i="1" s="1"/>
  <c r="I179" i="1"/>
  <c r="K179" i="1" s="1"/>
  <c r="L179" i="1" s="1"/>
  <c r="I171" i="1"/>
  <c r="K171" i="1" s="1"/>
  <c r="L171" i="1" s="1"/>
  <c r="I163" i="1"/>
  <c r="K163" i="1" s="1"/>
  <c r="L163" i="1" s="1"/>
  <c r="I155" i="1"/>
  <c r="K155" i="1" s="1"/>
  <c r="L155" i="1" s="1"/>
  <c r="I147" i="1"/>
  <c r="K147" i="1" s="1"/>
  <c r="L147" i="1" s="1"/>
  <c r="I139" i="1"/>
  <c r="K139" i="1" s="1"/>
  <c r="L139" i="1" s="1"/>
  <c r="I131" i="1"/>
  <c r="K131" i="1" s="1"/>
  <c r="L131" i="1" s="1"/>
  <c r="I123" i="1"/>
  <c r="K123" i="1" s="1"/>
  <c r="L123" i="1" s="1"/>
  <c r="I115" i="1"/>
  <c r="K115" i="1" s="1"/>
  <c r="L115" i="1" s="1"/>
  <c r="I107" i="1"/>
  <c r="K107" i="1" s="1"/>
  <c r="L107" i="1" s="1"/>
  <c r="I99" i="1"/>
  <c r="K99" i="1" s="1"/>
  <c r="L99" i="1" s="1"/>
  <c r="I91" i="1"/>
  <c r="K91" i="1" s="1"/>
  <c r="L91" i="1" s="1"/>
  <c r="I83" i="1"/>
  <c r="K83" i="1" s="1"/>
  <c r="L83" i="1" s="1"/>
  <c r="I75" i="1"/>
  <c r="K75" i="1" s="1"/>
  <c r="L75" i="1" s="1"/>
  <c r="I67" i="1"/>
  <c r="K67" i="1" s="1"/>
  <c r="L67" i="1" s="1"/>
  <c r="I59" i="1"/>
  <c r="K59" i="1" s="1"/>
  <c r="L59" i="1" s="1"/>
  <c r="I51" i="1"/>
  <c r="K51" i="1" s="1"/>
  <c r="L51" i="1" s="1"/>
  <c r="I43" i="1"/>
  <c r="K43" i="1" s="1"/>
  <c r="L43" i="1" s="1"/>
  <c r="I35" i="1"/>
  <c r="K35" i="1" s="1"/>
  <c r="L35" i="1" s="1"/>
  <c r="I27" i="1"/>
  <c r="K27" i="1" s="1"/>
  <c r="L27" i="1" s="1"/>
  <c r="I19" i="1"/>
  <c r="K19" i="1" s="1"/>
  <c r="L19" i="1" s="1"/>
  <c r="I11" i="1"/>
  <c r="K11" i="1" s="1"/>
  <c r="L11" i="1" s="1"/>
  <c r="I3" i="1"/>
  <c r="K3" i="1" s="1"/>
  <c r="L3" i="1" s="1"/>
  <c r="I681" i="1"/>
  <c r="K681" i="1" s="1"/>
  <c r="L681" i="1" s="1"/>
  <c r="I673" i="1"/>
  <c r="K673" i="1" s="1"/>
  <c r="L673" i="1" s="1"/>
  <c r="I665" i="1"/>
  <c r="K665" i="1" s="1"/>
  <c r="L665" i="1" s="1"/>
  <c r="I657" i="1"/>
  <c r="K657" i="1" s="1"/>
  <c r="L657" i="1" s="1"/>
  <c r="I649" i="1"/>
  <c r="K649" i="1" s="1"/>
  <c r="L649" i="1" s="1"/>
  <c r="I641" i="1"/>
  <c r="K641" i="1" s="1"/>
  <c r="L641" i="1" s="1"/>
  <c r="I633" i="1"/>
  <c r="K633" i="1" s="1"/>
  <c r="L633" i="1" s="1"/>
  <c r="I625" i="1"/>
  <c r="K625" i="1" s="1"/>
  <c r="L625" i="1" s="1"/>
  <c r="I617" i="1"/>
  <c r="K617" i="1" s="1"/>
  <c r="L617" i="1" s="1"/>
  <c r="I609" i="1"/>
  <c r="K609" i="1" s="1"/>
  <c r="L609" i="1" s="1"/>
  <c r="I601" i="1"/>
  <c r="K601" i="1" s="1"/>
  <c r="L601" i="1" s="1"/>
  <c r="I593" i="1"/>
  <c r="K593" i="1" s="1"/>
  <c r="L593" i="1" s="1"/>
  <c r="I585" i="1"/>
  <c r="K585" i="1" s="1"/>
  <c r="L585" i="1" s="1"/>
  <c r="I577" i="1"/>
  <c r="K577" i="1" s="1"/>
  <c r="L577" i="1" s="1"/>
  <c r="I569" i="1"/>
  <c r="K569" i="1" s="1"/>
  <c r="L569" i="1" s="1"/>
  <c r="I561" i="1"/>
  <c r="K561" i="1" s="1"/>
  <c r="L561" i="1" s="1"/>
  <c r="I553" i="1"/>
  <c r="K553" i="1" s="1"/>
  <c r="L553" i="1" s="1"/>
  <c r="I545" i="1"/>
  <c r="K545" i="1" s="1"/>
  <c r="L545" i="1" s="1"/>
  <c r="I537" i="1"/>
  <c r="K537" i="1" s="1"/>
  <c r="L537" i="1" s="1"/>
  <c r="I529" i="1"/>
  <c r="K529" i="1" s="1"/>
  <c r="L529" i="1" s="1"/>
  <c r="I521" i="1"/>
  <c r="K521" i="1" s="1"/>
  <c r="L521" i="1" s="1"/>
  <c r="I513" i="1"/>
  <c r="K513" i="1" s="1"/>
  <c r="L513" i="1" s="1"/>
  <c r="I505" i="1"/>
  <c r="K505" i="1" s="1"/>
  <c r="L505" i="1" s="1"/>
  <c r="I497" i="1"/>
  <c r="K497" i="1" s="1"/>
  <c r="L497" i="1" s="1"/>
  <c r="I489" i="1"/>
  <c r="K489" i="1" s="1"/>
  <c r="L489" i="1" s="1"/>
  <c r="I481" i="1"/>
  <c r="K481" i="1" s="1"/>
  <c r="L481" i="1" s="1"/>
  <c r="I473" i="1"/>
  <c r="K473" i="1" s="1"/>
  <c r="L473" i="1" s="1"/>
  <c r="I465" i="1"/>
  <c r="K465" i="1" s="1"/>
  <c r="L465" i="1" s="1"/>
  <c r="I457" i="1"/>
  <c r="K457" i="1" s="1"/>
  <c r="L457" i="1" s="1"/>
  <c r="I449" i="1"/>
  <c r="K449" i="1" s="1"/>
  <c r="L449" i="1" s="1"/>
  <c r="I441" i="1"/>
  <c r="K441" i="1" s="1"/>
  <c r="L441" i="1" s="1"/>
  <c r="I433" i="1"/>
  <c r="K433" i="1" s="1"/>
  <c r="L433" i="1" s="1"/>
  <c r="I425" i="1"/>
  <c r="K425" i="1" s="1"/>
  <c r="L425" i="1" s="1"/>
  <c r="I417" i="1"/>
  <c r="K417" i="1" s="1"/>
  <c r="L417" i="1" s="1"/>
  <c r="I409" i="1"/>
  <c r="K409" i="1" s="1"/>
  <c r="L409" i="1" s="1"/>
  <c r="I401" i="1"/>
  <c r="K401" i="1" s="1"/>
  <c r="L401" i="1" s="1"/>
  <c r="I393" i="1"/>
  <c r="K393" i="1" s="1"/>
  <c r="L393" i="1" s="1"/>
  <c r="I385" i="1"/>
  <c r="K385" i="1" s="1"/>
  <c r="L385" i="1" s="1"/>
  <c r="I377" i="1"/>
  <c r="K377" i="1" s="1"/>
  <c r="L377" i="1" s="1"/>
  <c r="I369" i="1"/>
  <c r="K369" i="1" s="1"/>
  <c r="L369" i="1" s="1"/>
  <c r="I361" i="1"/>
  <c r="K361" i="1" s="1"/>
  <c r="L361" i="1" s="1"/>
  <c r="I353" i="1"/>
  <c r="K353" i="1" s="1"/>
  <c r="L353" i="1" s="1"/>
  <c r="I345" i="1"/>
  <c r="K345" i="1" s="1"/>
  <c r="L345" i="1" s="1"/>
  <c r="I337" i="1"/>
  <c r="K337" i="1" s="1"/>
  <c r="L337" i="1" s="1"/>
  <c r="I329" i="1"/>
  <c r="K329" i="1" s="1"/>
  <c r="L329" i="1" s="1"/>
  <c r="I321" i="1"/>
  <c r="K321" i="1" s="1"/>
  <c r="L321" i="1" s="1"/>
  <c r="I313" i="1"/>
  <c r="K313" i="1" s="1"/>
  <c r="L313" i="1" s="1"/>
  <c r="I305" i="1"/>
  <c r="K305" i="1" s="1"/>
  <c r="L305" i="1" s="1"/>
  <c r="I297" i="1"/>
  <c r="K297" i="1" s="1"/>
  <c r="L297" i="1" s="1"/>
  <c r="I289" i="1"/>
  <c r="K289" i="1" s="1"/>
  <c r="L289" i="1" s="1"/>
  <c r="I281" i="1"/>
  <c r="K281" i="1" s="1"/>
  <c r="L281" i="1" s="1"/>
  <c r="I273" i="1"/>
  <c r="K273" i="1" s="1"/>
  <c r="L273" i="1" s="1"/>
  <c r="I265" i="1"/>
  <c r="K265" i="1" s="1"/>
  <c r="L265" i="1" s="1"/>
  <c r="I257" i="1"/>
  <c r="K257" i="1" s="1"/>
  <c r="L257" i="1" s="1"/>
  <c r="I249" i="1"/>
  <c r="K249" i="1" s="1"/>
  <c r="L249" i="1" s="1"/>
  <c r="I241" i="1"/>
  <c r="K241" i="1" s="1"/>
  <c r="L241" i="1" s="1"/>
  <c r="I233" i="1"/>
  <c r="K233" i="1" s="1"/>
  <c r="L233" i="1" s="1"/>
  <c r="I225" i="1"/>
  <c r="K225" i="1" s="1"/>
  <c r="L225" i="1" s="1"/>
  <c r="I217" i="1"/>
  <c r="K217" i="1" s="1"/>
  <c r="L217" i="1" s="1"/>
  <c r="I209" i="1"/>
  <c r="K209" i="1" s="1"/>
  <c r="L209" i="1" s="1"/>
  <c r="I201" i="1"/>
  <c r="K201" i="1" s="1"/>
  <c r="L201" i="1" s="1"/>
  <c r="I193" i="1"/>
  <c r="K193" i="1" s="1"/>
  <c r="L193" i="1" s="1"/>
  <c r="I185" i="1"/>
  <c r="K185" i="1" s="1"/>
  <c r="L185" i="1" s="1"/>
  <c r="I177" i="1"/>
  <c r="K177" i="1" s="1"/>
  <c r="L177" i="1" s="1"/>
  <c r="I169" i="1"/>
  <c r="K169" i="1" s="1"/>
  <c r="L169" i="1" s="1"/>
  <c r="I161" i="1"/>
  <c r="K161" i="1" s="1"/>
  <c r="L161" i="1" s="1"/>
  <c r="I153" i="1"/>
  <c r="K153" i="1" s="1"/>
  <c r="L153" i="1" s="1"/>
  <c r="I145" i="1"/>
  <c r="K145" i="1" s="1"/>
  <c r="L145" i="1" s="1"/>
  <c r="I137" i="1"/>
  <c r="K137" i="1" s="1"/>
  <c r="L137" i="1" s="1"/>
  <c r="I129" i="1"/>
  <c r="K129" i="1" s="1"/>
  <c r="L129" i="1" s="1"/>
  <c r="I121" i="1"/>
  <c r="K121" i="1" s="1"/>
  <c r="L121" i="1" s="1"/>
  <c r="I113" i="1"/>
  <c r="K113" i="1" s="1"/>
  <c r="L113" i="1" s="1"/>
  <c r="I105" i="1"/>
  <c r="K105" i="1" s="1"/>
  <c r="L105" i="1" s="1"/>
  <c r="I97" i="1"/>
  <c r="K97" i="1" s="1"/>
  <c r="L97" i="1" s="1"/>
  <c r="I89" i="1"/>
  <c r="K89" i="1" s="1"/>
  <c r="L89" i="1" s="1"/>
  <c r="I81" i="1"/>
  <c r="K81" i="1" s="1"/>
  <c r="L81" i="1" s="1"/>
  <c r="I73" i="1"/>
  <c r="K73" i="1" s="1"/>
  <c r="L73" i="1" s="1"/>
  <c r="I65" i="1"/>
  <c r="K65" i="1" s="1"/>
  <c r="L65" i="1" s="1"/>
  <c r="I57" i="1"/>
  <c r="K57" i="1" s="1"/>
  <c r="L57" i="1" s="1"/>
  <c r="I49" i="1"/>
  <c r="K49" i="1" s="1"/>
  <c r="L49" i="1" s="1"/>
  <c r="I41" i="1"/>
  <c r="K41" i="1" s="1"/>
  <c r="L41" i="1" s="1"/>
  <c r="I33" i="1"/>
  <c r="K33" i="1" s="1"/>
  <c r="L33" i="1" s="1"/>
  <c r="I25" i="1"/>
  <c r="K25" i="1" s="1"/>
  <c r="L25" i="1" s="1"/>
  <c r="I17" i="1"/>
  <c r="K17" i="1" s="1"/>
  <c r="L17" i="1" s="1"/>
  <c r="I9" i="1"/>
  <c r="K9" i="1" s="1"/>
  <c r="L9" i="1" s="1"/>
  <c r="I448" i="1"/>
  <c r="K448" i="1" s="1"/>
  <c r="L448" i="1" s="1"/>
  <c r="I440" i="1"/>
  <c r="K440" i="1" s="1"/>
  <c r="L440" i="1" s="1"/>
  <c r="I432" i="1"/>
  <c r="K432" i="1" s="1"/>
  <c r="L432" i="1" s="1"/>
  <c r="I424" i="1"/>
  <c r="K424" i="1" s="1"/>
  <c r="L424" i="1" s="1"/>
  <c r="I416" i="1"/>
  <c r="K416" i="1" s="1"/>
  <c r="L416" i="1" s="1"/>
  <c r="I408" i="1"/>
  <c r="K408" i="1" s="1"/>
  <c r="L408" i="1" s="1"/>
  <c r="I400" i="1"/>
  <c r="K400" i="1" s="1"/>
  <c r="L400" i="1" s="1"/>
  <c r="I392" i="1"/>
  <c r="K392" i="1" s="1"/>
  <c r="L392" i="1" s="1"/>
  <c r="I384" i="1"/>
  <c r="K384" i="1" s="1"/>
  <c r="L384" i="1" s="1"/>
  <c r="I376" i="1"/>
  <c r="K376" i="1" s="1"/>
  <c r="L376" i="1" s="1"/>
  <c r="I368" i="1"/>
  <c r="K368" i="1" s="1"/>
  <c r="L368" i="1" s="1"/>
  <c r="I360" i="1"/>
  <c r="K360" i="1" s="1"/>
  <c r="L360" i="1" s="1"/>
  <c r="I352" i="1"/>
  <c r="K352" i="1" s="1"/>
  <c r="L352" i="1" s="1"/>
  <c r="I344" i="1"/>
  <c r="K344" i="1" s="1"/>
  <c r="L344" i="1" s="1"/>
  <c r="I336" i="1"/>
  <c r="K336" i="1" s="1"/>
  <c r="L336" i="1" s="1"/>
  <c r="I328" i="1"/>
  <c r="K328" i="1" s="1"/>
  <c r="L328" i="1" s="1"/>
  <c r="I320" i="1"/>
  <c r="K320" i="1" s="1"/>
  <c r="L320" i="1" s="1"/>
  <c r="I312" i="1"/>
  <c r="K312" i="1" s="1"/>
  <c r="L312" i="1" s="1"/>
  <c r="I304" i="1"/>
  <c r="K304" i="1" s="1"/>
  <c r="L304" i="1" s="1"/>
  <c r="I296" i="1"/>
  <c r="K296" i="1" s="1"/>
  <c r="L296" i="1" s="1"/>
  <c r="I288" i="1"/>
  <c r="K288" i="1" s="1"/>
  <c r="L288" i="1" s="1"/>
  <c r="I280" i="1"/>
  <c r="K280" i="1" s="1"/>
  <c r="L280" i="1" s="1"/>
  <c r="I272" i="1"/>
  <c r="K272" i="1" s="1"/>
  <c r="L272" i="1" s="1"/>
  <c r="I264" i="1"/>
  <c r="K264" i="1" s="1"/>
  <c r="L264" i="1" s="1"/>
  <c r="I256" i="1"/>
  <c r="K256" i="1" s="1"/>
  <c r="L256" i="1" s="1"/>
  <c r="I248" i="1"/>
  <c r="K248" i="1" s="1"/>
  <c r="L248" i="1" s="1"/>
  <c r="I240" i="1"/>
  <c r="K240" i="1" s="1"/>
  <c r="L240" i="1" s="1"/>
  <c r="I232" i="1"/>
  <c r="K232" i="1" s="1"/>
  <c r="L232" i="1" s="1"/>
  <c r="I224" i="1"/>
  <c r="K224" i="1" s="1"/>
  <c r="L224" i="1" s="1"/>
  <c r="I216" i="1"/>
  <c r="K216" i="1" s="1"/>
  <c r="L216" i="1" s="1"/>
  <c r="I208" i="1"/>
  <c r="K208" i="1" s="1"/>
  <c r="L208" i="1" s="1"/>
  <c r="I200" i="1"/>
  <c r="K200" i="1" s="1"/>
  <c r="L200" i="1" s="1"/>
  <c r="I192" i="1"/>
  <c r="K192" i="1" s="1"/>
  <c r="L192" i="1" s="1"/>
  <c r="I184" i="1"/>
  <c r="K184" i="1" s="1"/>
  <c r="L184" i="1" s="1"/>
  <c r="I176" i="1"/>
  <c r="K176" i="1" s="1"/>
  <c r="L176" i="1" s="1"/>
  <c r="I168" i="1"/>
  <c r="K168" i="1" s="1"/>
  <c r="L168" i="1" s="1"/>
  <c r="I160" i="1"/>
  <c r="K160" i="1" s="1"/>
  <c r="L160" i="1" s="1"/>
  <c r="I152" i="1"/>
  <c r="K152" i="1" s="1"/>
  <c r="L152" i="1" s="1"/>
  <c r="I144" i="1"/>
  <c r="K144" i="1" s="1"/>
  <c r="L144" i="1" s="1"/>
  <c r="I136" i="1"/>
  <c r="K136" i="1" s="1"/>
  <c r="L136" i="1" s="1"/>
  <c r="I128" i="1"/>
  <c r="K128" i="1" s="1"/>
  <c r="L128" i="1" s="1"/>
  <c r="I120" i="1"/>
  <c r="K120" i="1" s="1"/>
  <c r="L120" i="1" s="1"/>
  <c r="I112" i="1"/>
  <c r="K112" i="1" s="1"/>
  <c r="L112" i="1" s="1"/>
  <c r="I104" i="1"/>
  <c r="K104" i="1" s="1"/>
  <c r="L104" i="1" s="1"/>
  <c r="I96" i="1"/>
  <c r="K96" i="1" s="1"/>
  <c r="L96" i="1" s="1"/>
  <c r="I88" i="1"/>
  <c r="K88" i="1" s="1"/>
  <c r="L88" i="1" s="1"/>
  <c r="I80" i="1"/>
  <c r="K80" i="1" s="1"/>
  <c r="L80" i="1" s="1"/>
  <c r="I72" i="1"/>
  <c r="K72" i="1" s="1"/>
  <c r="L72" i="1" s="1"/>
  <c r="I64" i="1"/>
  <c r="K64" i="1" s="1"/>
  <c r="L64" i="1" s="1"/>
  <c r="I56" i="1"/>
  <c r="K56" i="1" s="1"/>
  <c r="L56" i="1" s="1"/>
  <c r="I48" i="1"/>
  <c r="K48" i="1" s="1"/>
  <c r="L48" i="1" s="1"/>
  <c r="I40" i="1"/>
  <c r="K40" i="1" s="1"/>
  <c r="L40" i="1" s="1"/>
  <c r="I32" i="1"/>
  <c r="K32" i="1" s="1"/>
  <c r="L32" i="1" s="1"/>
  <c r="I24" i="1"/>
  <c r="K24" i="1" s="1"/>
  <c r="L24" i="1" s="1"/>
  <c r="I16" i="1"/>
  <c r="K16" i="1" s="1"/>
  <c r="L16" i="1" s="1"/>
  <c r="I8" i="1"/>
  <c r="K8" i="1" s="1"/>
  <c r="L8" i="1" s="1"/>
  <c r="I26" i="1"/>
  <c r="K26" i="1" s="1"/>
  <c r="L26" i="1" s="1"/>
  <c r="I663" i="1"/>
  <c r="K663" i="1" s="1"/>
  <c r="L663" i="1" s="1"/>
  <c r="I655" i="1"/>
  <c r="K655" i="1" s="1"/>
  <c r="L655" i="1" s="1"/>
  <c r="I647" i="1"/>
  <c r="K647" i="1" s="1"/>
  <c r="L647" i="1" s="1"/>
  <c r="I639" i="1"/>
  <c r="K639" i="1" s="1"/>
  <c r="L639" i="1" s="1"/>
  <c r="I631" i="1"/>
  <c r="K631" i="1" s="1"/>
  <c r="L631" i="1" s="1"/>
  <c r="I623" i="1"/>
  <c r="K623" i="1" s="1"/>
  <c r="L623" i="1" s="1"/>
  <c r="I615" i="1"/>
  <c r="K615" i="1" s="1"/>
  <c r="L615" i="1" s="1"/>
  <c r="I607" i="1"/>
  <c r="K607" i="1" s="1"/>
  <c r="L607" i="1" s="1"/>
  <c r="I599" i="1"/>
  <c r="K599" i="1" s="1"/>
  <c r="L599" i="1" s="1"/>
  <c r="I591" i="1"/>
  <c r="K591" i="1" s="1"/>
  <c r="L591" i="1" s="1"/>
  <c r="I583" i="1"/>
  <c r="K583" i="1" s="1"/>
  <c r="L583" i="1" s="1"/>
  <c r="I575" i="1"/>
  <c r="K575" i="1" s="1"/>
  <c r="L575" i="1" s="1"/>
  <c r="I567" i="1"/>
  <c r="K567" i="1" s="1"/>
  <c r="L567" i="1" s="1"/>
  <c r="I559" i="1"/>
  <c r="K559" i="1" s="1"/>
  <c r="L559" i="1" s="1"/>
  <c r="I551" i="1"/>
  <c r="K551" i="1" s="1"/>
  <c r="L551" i="1" s="1"/>
  <c r="I543" i="1"/>
  <c r="K543" i="1" s="1"/>
  <c r="L543" i="1" s="1"/>
  <c r="I535" i="1"/>
  <c r="K535" i="1" s="1"/>
  <c r="L535" i="1" s="1"/>
  <c r="I527" i="1"/>
  <c r="K527" i="1" s="1"/>
  <c r="L527" i="1" s="1"/>
  <c r="I519" i="1"/>
  <c r="K519" i="1" s="1"/>
  <c r="L519" i="1" s="1"/>
  <c r="I511" i="1"/>
  <c r="K511" i="1" s="1"/>
  <c r="L511" i="1" s="1"/>
  <c r="I503" i="1"/>
  <c r="K503" i="1" s="1"/>
  <c r="L503" i="1" s="1"/>
  <c r="I495" i="1"/>
  <c r="K495" i="1" s="1"/>
  <c r="L495" i="1" s="1"/>
  <c r="I487" i="1"/>
  <c r="K487" i="1" s="1"/>
  <c r="L487" i="1" s="1"/>
  <c r="I479" i="1"/>
  <c r="K479" i="1" s="1"/>
  <c r="L479" i="1" s="1"/>
  <c r="I471" i="1"/>
  <c r="K471" i="1" s="1"/>
  <c r="L471" i="1" s="1"/>
  <c r="I463" i="1"/>
  <c r="K463" i="1" s="1"/>
  <c r="L463" i="1" s="1"/>
  <c r="I455" i="1"/>
  <c r="K455" i="1" s="1"/>
  <c r="L455" i="1" s="1"/>
  <c r="I447" i="1"/>
  <c r="K447" i="1" s="1"/>
  <c r="L447" i="1" s="1"/>
  <c r="I439" i="1"/>
  <c r="K439" i="1" s="1"/>
  <c r="L439" i="1" s="1"/>
  <c r="I431" i="1"/>
  <c r="K431" i="1" s="1"/>
  <c r="L431" i="1" s="1"/>
  <c r="I423" i="1"/>
  <c r="K423" i="1" s="1"/>
  <c r="L423" i="1" s="1"/>
  <c r="I415" i="1"/>
  <c r="K415" i="1" s="1"/>
  <c r="L415" i="1" s="1"/>
  <c r="I407" i="1"/>
  <c r="K407" i="1" s="1"/>
  <c r="L407" i="1" s="1"/>
  <c r="I399" i="1"/>
  <c r="K399" i="1" s="1"/>
  <c r="L399" i="1" s="1"/>
  <c r="I391" i="1"/>
  <c r="K391" i="1" s="1"/>
  <c r="L391" i="1" s="1"/>
  <c r="I383" i="1"/>
  <c r="K383" i="1" s="1"/>
  <c r="L383" i="1" s="1"/>
  <c r="I375" i="1"/>
  <c r="K375" i="1" s="1"/>
  <c r="L375" i="1" s="1"/>
  <c r="I367" i="1"/>
  <c r="K367" i="1" s="1"/>
  <c r="L367" i="1" s="1"/>
  <c r="I359" i="1"/>
  <c r="K359" i="1" s="1"/>
  <c r="L359" i="1" s="1"/>
  <c r="I351" i="1"/>
  <c r="K351" i="1" s="1"/>
  <c r="L351" i="1" s="1"/>
  <c r="I343" i="1"/>
  <c r="K343" i="1" s="1"/>
  <c r="L343" i="1" s="1"/>
  <c r="I335" i="1"/>
  <c r="K335" i="1" s="1"/>
  <c r="L335" i="1" s="1"/>
  <c r="I327" i="1"/>
  <c r="K327" i="1" s="1"/>
  <c r="L327" i="1" s="1"/>
  <c r="I319" i="1"/>
  <c r="K319" i="1" s="1"/>
  <c r="L319" i="1" s="1"/>
  <c r="I311" i="1"/>
  <c r="K311" i="1" s="1"/>
  <c r="L311" i="1" s="1"/>
  <c r="I303" i="1"/>
  <c r="K303" i="1" s="1"/>
  <c r="L303" i="1" s="1"/>
  <c r="I295" i="1"/>
  <c r="K295" i="1" s="1"/>
  <c r="L295" i="1" s="1"/>
  <c r="I287" i="1"/>
  <c r="K287" i="1" s="1"/>
  <c r="L287" i="1" s="1"/>
  <c r="I279" i="1"/>
  <c r="K279" i="1" s="1"/>
  <c r="L279" i="1" s="1"/>
  <c r="I271" i="1"/>
  <c r="K271" i="1" s="1"/>
  <c r="L271" i="1" s="1"/>
  <c r="I263" i="1"/>
  <c r="K263" i="1" s="1"/>
  <c r="L263" i="1" s="1"/>
  <c r="I255" i="1"/>
  <c r="K255" i="1" s="1"/>
  <c r="L255" i="1" s="1"/>
  <c r="I247" i="1"/>
  <c r="K247" i="1" s="1"/>
  <c r="L247" i="1" s="1"/>
  <c r="I239" i="1"/>
  <c r="K239" i="1" s="1"/>
  <c r="L239" i="1" s="1"/>
  <c r="I231" i="1"/>
  <c r="K231" i="1" s="1"/>
  <c r="L231" i="1" s="1"/>
  <c r="I223" i="1"/>
  <c r="K223" i="1" s="1"/>
  <c r="L223" i="1" s="1"/>
  <c r="I215" i="1"/>
  <c r="K215" i="1" s="1"/>
  <c r="L215" i="1" s="1"/>
  <c r="I207" i="1"/>
  <c r="K207" i="1" s="1"/>
  <c r="L207" i="1" s="1"/>
  <c r="I199" i="1"/>
  <c r="K199" i="1" s="1"/>
  <c r="L199" i="1" s="1"/>
  <c r="I191" i="1"/>
  <c r="K191" i="1" s="1"/>
  <c r="L191" i="1" s="1"/>
  <c r="I183" i="1"/>
  <c r="K183" i="1" s="1"/>
  <c r="L183" i="1" s="1"/>
  <c r="I175" i="1"/>
  <c r="K175" i="1" s="1"/>
  <c r="L175" i="1" s="1"/>
  <c r="I167" i="1"/>
  <c r="K167" i="1" s="1"/>
  <c r="L167" i="1" s="1"/>
  <c r="I159" i="1"/>
  <c r="K159" i="1" s="1"/>
  <c r="L159" i="1" s="1"/>
  <c r="I151" i="1"/>
  <c r="K151" i="1" s="1"/>
  <c r="L151" i="1" s="1"/>
  <c r="I143" i="1"/>
  <c r="K143" i="1" s="1"/>
  <c r="L143" i="1" s="1"/>
  <c r="I135" i="1"/>
  <c r="K135" i="1" s="1"/>
  <c r="L135" i="1" s="1"/>
  <c r="I127" i="1"/>
  <c r="K127" i="1" s="1"/>
  <c r="L127" i="1" s="1"/>
  <c r="I119" i="1"/>
  <c r="K119" i="1" s="1"/>
  <c r="L119" i="1" s="1"/>
  <c r="I111" i="1"/>
  <c r="K111" i="1" s="1"/>
  <c r="L111" i="1" s="1"/>
  <c r="I103" i="1"/>
  <c r="K103" i="1" s="1"/>
  <c r="L103" i="1" s="1"/>
  <c r="I95" i="1"/>
  <c r="K95" i="1" s="1"/>
  <c r="L95" i="1" s="1"/>
  <c r="I87" i="1"/>
  <c r="K87" i="1" s="1"/>
  <c r="L87" i="1" s="1"/>
  <c r="I79" i="1"/>
  <c r="K79" i="1" s="1"/>
  <c r="L79" i="1" s="1"/>
  <c r="I71" i="1"/>
  <c r="K71" i="1" s="1"/>
  <c r="L71" i="1" s="1"/>
  <c r="I63" i="1"/>
  <c r="K63" i="1" s="1"/>
  <c r="L63" i="1" s="1"/>
  <c r="I55" i="1"/>
  <c r="K55" i="1" s="1"/>
  <c r="L55" i="1" s="1"/>
  <c r="I47" i="1"/>
  <c r="K47" i="1" s="1"/>
  <c r="L47" i="1" s="1"/>
  <c r="I39" i="1"/>
  <c r="K39" i="1" s="1"/>
  <c r="L39" i="1" s="1"/>
  <c r="I31" i="1"/>
  <c r="K31" i="1" s="1"/>
  <c r="L31" i="1" s="1"/>
  <c r="I23" i="1"/>
  <c r="K23" i="1" s="1"/>
  <c r="L23" i="1" s="1"/>
  <c r="I15" i="1"/>
  <c r="K15" i="1" s="1"/>
  <c r="L15" i="1" s="1"/>
  <c r="I7" i="1"/>
  <c r="K7" i="1" s="1"/>
  <c r="L7" i="1" s="1"/>
  <c r="I446" i="1"/>
  <c r="K446" i="1" s="1"/>
  <c r="L446" i="1" s="1"/>
  <c r="I438" i="1"/>
  <c r="K438" i="1" s="1"/>
  <c r="L438" i="1" s="1"/>
  <c r="I430" i="1"/>
  <c r="K430" i="1" s="1"/>
  <c r="L430" i="1" s="1"/>
  <c r="I422" i="1"/>
  <c r="K422" i="1" s="1"/>
  <c r="L422" i="1" s="1"/>
  <c r="I414" i="1"/>
  <c r="K414" i="1" s="1"/>
  <c r="L414" i="1" s="1"/>
  <c r="I406" i="1"/>
  <c r="K406" i="1" s="1"/>
  <c r="L406" i="1" s="1"/>
  <c r="I398" i="1"/>
  <c r="K398" i="1" s="1"/>
  <c r="L398" i="1" s="1"/>
  <c r="I390" i="1"/>
  <c r="K390" i="1" s="1"/>
  <c r="L390" i="1" s="1"/>
  <c r="I382" i="1"/>
  <c r="K382" i="1" s="1"/>
  <c r="L382" i="1" s="1"/>
  <c r="I374" i="1"/>
  <c r="K374" i="1" s="1"/>
  <c r="L374" i="1" s="1"/>
  <c r="I366" i="1"/>
  <c r="K366" i="1" s="1"/>
  <c r="L366" i="1" s="1"/>
  <c r="I358" i="1"/>
  <c r="K358" i="1" s="1"/>
  <c r="L358" i="1" s="1"/>
  <c r="I350" i="1"/>
  <c r="K350" i="1" s="1"/>
  <c r="L350" i="1" s="1"/>
  <c r="I342" i="1"/>
  <c r="K342" i="1" s="1"/>
  <c r="L342" i="1" s="1"/>
  <c r="I334" i="1"/>
  <c r="K334" i="1" s="1"/>
  <c r="L334" i="1" s="1"/>
  <c r="I326" i="1"/>
  <c r="K326" i="1" s="1"/>
  <c r="L326" i="1" s="1"/>
  <c r="I318" i="1"/>
  <c r="K318" i="1" s="1"/>
  <c r="L318" i="1" s="1"/>
  <c r="I310" i="1"/>
  <c r="K310" i="1" s="1"/>
  <c r="L310" i="1" s="1"/>
  <c r="I302" i="1"/>
  <c r="K302" i="1" s="1"/>
  <c r="L302" i="1" s="1"/>
  <c r="I294" i="1"/>
  <c r="K294" i="1" s="1"/>
  <c r="L294" i="1" s="1"/>
  <c r="I286" i="1"/>
  <c r="K286" i="1" s="1"/>
  <c r="L286" i="1" s="1"/>
  <c r="I278" i="1"/>
  <c r="K278" i="1" s="1"/>
  <c r="L278" i="1" s="1"/>
  <c r="I270" i="1"/>
  <c r="K270" i="1" s="1"/>
  <c r="L270" i="1" s="1"/>
  <c r="I262" i="1"/>
  <c r="K262" i="1" s="1"/>
  <c r="L262" i="1" s="1"/>
  <c r="I254" i="1"/>
  <c r="K254" i="1" s="1"/>
  <c r="L254" i="1" s="1"/>
  <c r="I246" i="1"/>
  <c r="K246" i="1" s="1"/>
  <c r="L246" i="1" s="1"/>
  <c r="I238" i="1"/>
  <c r="K238" i="1" s="1"/>
  <c r="L238" i="1" s="1"/>
  <c r="I230" i="1"/>
  <c r="K230" i="1" s="1"/>
  <c r="L230" i="1" s="1"/>
  <c r="I222" i="1"/>
  <c r="K222" i="1" s="1"/>
  <c r="L222" i="1" s="1"/>
  <c r="I214" i="1"/>
  <c r="K214" i="1" s="1"/>
  <c r="L214" i="1" s="1"/>
  <c r="I206" i="1"/>
  <c r="K206" i="1" s="1"/>
  <c r="L206" i="1" s="1"/>
  <c r="I198" i="1"/>
  <c r="K198" i="1" s="1"/>
  <c r="L198" i="1" s="1"/>
  <c r="I190" i="1"/>
  <c r="K190" i="1" s="1"/>
  <c r="L190" i="1" s="1"/>
  <c r="I182" i="1"/>
  <c r="K182" i="1" s="1"/>
  <c r="L182" i="1" s="1"/>
  <c r="I174" i="1"/>
  <c r="K174" i="1" s="1"/>
  <c r="L174" i="1" s="1"/>
  <c r="I166" i="1"/>
  <c r="K166" i="1" s="1"/>
  <c r="L166" i="1" s="1"/>
  <c r="I158" i="1"/>
  <c r="K158" i="1" s="1"/>
  <c r="L158" i="1" s="1"/>
  <c r="I150" i="1"/>
  <c r="K150" i="1" s="1"/>
  <c r="L150" i="1" s="1"/>
  <c r="I142" i="1"/>
  <c r="K142" i="1" s="1"/>
  <c r="L142" i="1" s="1"/>
  <c r="I134" i="1"/>
  <c r="K134" i="1" s="1"/>
  <c r="L134" i="1" s="1"/>
  <c r="I126" i="1"/>
  <c r="K126" i="1" s="1"/>
  <c r="L126" i="1" s="1"/>
  <c r="I118" i="1"/>
  <c r="K118" i="1" s="1"/>
  <c r="L118" i="1" s="1"/>
  <c r="I110" i="1"/>
  <c r="K110" i="1" s="1"/>
  <c r="L110" i="1" s="1"/>
  <c r="I102" i="1"/>
  <c r="K102" i="1" s="1"/>
  <c r="L102" i="1" s="1"/>
  <c r="I94" i="1"/>
  <c r="K94" i="1" s="1"/>
  <c r="L94" i="1" s="1"/>
  <c r="I86" i="1"/>
  <c r="K86" i="1" s="1"/>
  <c r="L86" i="1" s="1"/>
  <c r="I78" i="1"/>
  <c r="K78" i="1" s="1"/>
  <c r="L78" i="1" s="1"/>
  <c r="I70" i="1"/>
  <c r="K70" i="1" s="1"/>
  <c r="L70" i="1" s="1"/>
  <c r="I62" i="1"/>
  <c r="K62" i="1" s="1"/>
  <c r="L62" i="1" s="1"/>
  <c r="I54" i="1"/>
  <c r="K54" i="1" s="1"/>
  <c r="L54" i="1" s="1"/>
  <c r="I46" i="1"/>
  <c r="K46" i="1" s="1"/>
  <c r="L46" i="1" s="1"/>
  <c r="I38" i="1"/>
  <c r="K38" i="1" s="1"/>
  <c r="L38" i="1" s="1"/>
  <c r="I30" i="1"/>
  <c r="K30" i="1" s="1"/>
  <c r="L30" i="1" s="1"/>
  <c r="I22" i="1"/>
  <c r="K22" i="1" s="1"/>
  <c r="L22" i="1" s="1"/>
  <c r="I14" i="1"/>
  <c r="K14" i="1" s="1"/>
  <c r="L14" i="1" s="1"/>
  <c r="I6" i="1"/>
  <c r="K6" i="1" s="1"/>
  <c r="L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<sst xmlns="http://schemas.openxmlformats.org/spreadsheetml/2006/main" count="8262" uniqueCount="905">
  <si>
    <t>Sale_id</t>
  </si>
  <si>
    <t>Date</t>
  </si>
  <si>
    <t xml:space="preserve">Oder_chanel   </t>
  </si>
  <si>
    <t>Americano</t>
  </si>
  <si>
    <t>Latte</t>
  </si>
  <si>
    <t>Cappuccino</t>
  </si>
  <si>
    <t>Mocha</t>
  </si>
  <si>
    <t>Tên</t>
  </si>
  <si>
    <t>Size</t>
  </si>
  <si>
    <t>Staff_id</t>
  </si>
  <si>
    <t>NV10</t>
  </si>
  <si>
    <t>NV11</t>
  </si>
  <si>
    <t>NV12</t>
  </si>
  <si>
    <t>NV1</t>
  </si>
  <si>
    <t>NV2</t>
  </si>
  <si>
    <t>NV3</t>
  </si>
  <si>
    <t>NV4</t>
  </si>
  <si>
    <t>NV5</t>
  </si>
  <si>
    <t>NV6</t>
  </si>
  <si>
    <t>NV7</t>
  </si>
  <si>
    <t>NV8</t>
  </si>
  <si>
    <t>NV9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</si>
  <si>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</si>
  <si>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</si>
  <si>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</si>
  <si>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</si>
  <si>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</si>
  <si>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</si>
  <si>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</si>
  <si>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</si>
  <si>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</si>
  <si>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</si>
  <si>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</si>
  <si>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</si>
  <si>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</si>
  <si>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</si>
  <si>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</si>
  <si>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</si>
  <si>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</si>
  <si>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</si>
  <si>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</si>
  <si>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</si>
  <si>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</si>
  <si>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</si>
  <si>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</si>
  <si>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</si>
  <si>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</si>
  <si>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</si>
  <si>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</si>
  <si>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</si>
  <si>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</si>
  <si>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</si>
  <si>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</si>
  <si>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</si>
  <si>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</si>
  <si>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</si>
  <si>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</si>
  <si>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</si>
  <si>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</si>
  <si>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</si>
  <si>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</si>
  <si>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</si>
  <si>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</si>
  <si>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</si>
  <si>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</si>
  <si>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</si>
  <si>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</si>
  <si>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</si>
  <si>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</si>
  <si>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</si>
  <si>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</si>
  <si>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</si>
  <si>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</si>
  <si>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</si>
  <si>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</si>
  <si>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</si>
  <si>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</si>
  <si>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</si>
  <si>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</si>
  <si>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</si>
  <si>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</si>
  <si>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</si>
  <si>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</si>
  <si>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</si>
  <si>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</si>
  <si>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</si>
  <si>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</si>
  <si>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</si>
  <si>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</si>
  <si>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</si>
  <si>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</si>
  <si>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</si>
  <si>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</si>
  <si>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</si>
  <si>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</si>
  <si>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</si>
  <si>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</si>
  <si>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</si>
  <si>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</si>
  <si>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</si>
  <si>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</si>
  <si>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</si>
  <si>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</si>
  <si>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</si>
  <si>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</si>
  <si>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</si>
  <si>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</si>
  <si>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</si>
  <si>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</si>
  <si>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</si>
  <si>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</si>
  <si>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</si>
  <si>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</si>
  <si>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</si>
  <si>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</si>
  <si>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</si>
  <si>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</si>
  <si>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</si>
  <si>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</si>
  <si>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</si>
  <si>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</si>
  <si>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</si>
  <si>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</si>
  <si>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</si>
  <si>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</si>
  <si>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</si>
  <si>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</si>
  <si>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</si>
  <si>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</si>
  <si>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</si>
  <si>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</si>
  <si>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</si>
  <si>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</si>
  <si>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</si>
  <si>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</si>
  <si>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</si>
  <si>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</si>
  <si>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</si>
  <si>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</si>
  <si>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</si>
  <si>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</si>
  <si>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</si>
  <si>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</si>
  <si>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</si>
  <si>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</si>
  <si>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</si>
  <si>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</si>
  <si>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</si>
  <si>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</si>
  <si>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</si>
  <si>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</si>
  <si>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</si>
  <si>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</si>
  <si>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</si>
  <si>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</si>
  <si>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</si>
  <si>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</si>
  <si>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</si>
  <si>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</si>
  <si>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</si>
  <si>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</si>
  <si>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</si>
  <si>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</si>
  <si>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</si>
  <si>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</si>
  <si>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</si>
  <si>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</si>
  <si>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</si>
  <si>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</si>
  <si>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</si>
  <si>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</si>
  <si>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</si>
  <si>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</si>
  <si>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</si>
  <si>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</si>
  <si>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</si>
  <si>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</si>
  <si>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</si>
  <si>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</si>
  <si>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</si>
  <si>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</si>
  <si>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</si>
  <si>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</si>
  <si>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</si>
  <si>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</si>
  <si>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</si>
  <si>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</si>
  <si>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</si>
  <si>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</si>
  <si>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</si>
  <si>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</si>
  <si>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</si>
  <si>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</si>
  <si>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</si>
  <si>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</si>
  <si>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</si>
  <si>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</si>
  <si>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</si>
  <si>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</si>
  <si>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</si>
  <si>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</si>
  <si>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</si>
  <si>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</si>
  <si>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</si>
  <si>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</si>
  <si>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</si>
  <si>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</si>
  <si>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</si>
  <si>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</si>
  <si>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</si>
  <si>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</si>
  <si>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</si>
  <si>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</si>
  <si>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</si>
  <si>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</si>
  <si>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</si>
  <si>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</si>
  <si>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</si>
  <si>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</si>
  <si>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</si>
  <si>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</si>
  <si>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 xml:space="preserve">Product Name </t>
  </si>
  <si>
    <t>L</t>
  </si>
  <si>
    <t>M</t>
  </si>
  <si>
    <t>S</t>
  </si>
  <si>
    <t>NV13</t>
  </si>
  <si>
    <t>NV14</t>
  </si>
  <si>
    <t>NV15</t>
  </si>
  <si>
    <t>NV16</t>
  </si>
  <si>
    <t>NV17</t>
  </si>
  <si>
    <t>NV18</t>
  </si>
  <si>
    <t>NV19</t>
  </si>
  <si>
    <t>NV20</t>
  </si>
  <si>
    <t>NV21</t>
  </si>
  <si>
    <t>NV22</t>
  </si>
  <si>
    <t>NV23</t>
  </si>
  <si>
    <t>NV24</t>
  </si>
  <si>
    <t>NV25</t>
  </si>
  <si>
    <t>NV26</t>
  </si>
  <si>
    <t>NV27</t>
  </si>
  <si>
    <t>NV28</t>
  </si>
  <si>
    <t>NV29</t>
  </si>
  <si>
    <t>NV30</t>
  </si>
  <si>
    <t>NV31</t>
  </si>
  <si>
    <t>NV32</t>
  </si>
  <si>
    <t>NV33</t>
  </si>
  <si>
    <t>NV34</t>
  </si>
  <si>
    <t>NV35</t>
  </si>
  <si>
    <t>NV36</t>
  </si>
  <si>
    <t>NV37</t>
  </si>
  <si>
    <t>NV38</t>
  </si>
  <si>
    <t>NV39</t>
  </si>
  <si>
    <t>NV40</t>
  </si>
  <si>
    <t>NV41</t>
  </si>
  <si>
    <t>NV42</t>
  </si>
  <si>
    <t>NV43</t>
  </si>
  <si>
    <t>NV44</t>
  </si>
  <si>
    <t>NV45</t>
  </si>
  <si>
    <t>NV46</t>
  </si>
  <si>
    <t>NV47</t>
  </si>
  <si>
    <t>NV48</t>
  </si>
  <si>
    <t>NV49</t>
  </si>
  <si>
    <t>NV50</t>
  </si>
  <si>
    <t>Quantity</t>
  </si>
  <si>
    <t>Original Price Offline</t>
  </si>
  <si>
    <t>Original Price Online</t>
  </si>
  <si>
    <t>Discount Online (%)</t>
  </si>
  <si>
    <t>Applied Price</t>
  </si>
  <si>
    <t>Actual Selling Price</t>
  </si>
  <si>
    <t>Revenue</t>
  </si>
  <si>
    <t>Iced Black Coffee</t>
  </si>
  <si>
    <t xml:space="preserve">Green Tea Freeze </t>
  </si>
  <si>
    <t>Caramel Phin Freeze</t>
  </si>
  <si>
    <t xml:space="preserve">Chocolate Freeze </t>
  </si>
  <si>
    <t>Cookies &amp; Cream</t>
  </si>
  <si>
    <t>Classic Phin Freeze</t>
  </si>
  <si>
    <t xml:space="preserve">Original Price Offline </t>
  </si>
  <si>
    <t>S0001</t>
  </si>
  <si>
    <t>Online</t>
  </si>
  <si>
    <t>Offline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</si>
  <si>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</si>
  <si>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</si>
  <si>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</si>
  <si>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</si>
  <si>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</si>
  <si>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</si>
  <si>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</si>
  <si>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</si>
  <si>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</si>
  <si>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</si>
  <si>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</si>
  <si>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</si>
  <si>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</si>
  <si>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</si>
  <si>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</si>
  <si>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</si>
  <si>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</si>
  <si>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</si>
  <si>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</si>
  <si>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</si>
  <si>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</si>
  <si>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</si>
  <si>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</si>
  <si>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</si>
  <si>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</si>
  <si>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</si>
  <si>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</si>
  <si>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</si>
  <si>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</si>
  <si>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</si>
  <si>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</si>
  <si>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</si>
  <si>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</si>
  <si>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</si>
  <si>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</si>
  <si>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</si>
  <si>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</si>
  <si>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</si>
  <si>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</si>
  <si>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</si>
  <si>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</si>
  <si>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</si>
  <si>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</si>
  <si>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</si>
  <si>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</si>
  <si>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</si>
  <si>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</si>
  <si>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</si>
  <si>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</si>
  <si>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</si>
  <si>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</si>
  <si>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</si>
  <si>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</si>
  <si>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</si>
  <si>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</si>
  <si>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</si>
  <si>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</si>
  <si>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</si>
  <si>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</si>
  <si>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</si>
  <si>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</si>
  <si>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</si>
  <si>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</si>
  <si>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</si>
  <si>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</si>
  <si>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</si>
  <si>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</si>
  <si>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</si>
  <si>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</si>
  <si>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</si>
  <si>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</si>
  <si>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</si>
  <si>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</si>
  <si>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</si>
  <si>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</si>
  <si>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</si>
  <si>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</si>
  <si>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</si>
  <si>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</si>
  <si>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</si>
  <si>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</si>
  <si>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</si>
  <si>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</si>
  <si>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</si>
  <si>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</si>
  <si>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</si>
  <si>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</si>
  <si>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</si>
  <si>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</si>
  <si>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</si>
  <si>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</si>
  <si>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</si>
  <si>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</si>
  <si>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</si>
  <si>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</si>
  <si>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</si>
  <si>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</si>
  <si>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</si>
  <si>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</si>
  <si>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</si>
  <si>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</si>
  <si>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</si>
  <si>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</si>
  <si>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</si>
  <si>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</si>
  <si>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</si>
  <si>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</si>
  <si>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</si>
  <si>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</si>
  <si>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</si>
  <si>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</si>
  <si>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</si>
  <si>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</si>
  <si>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</si>
  <si>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</si>
  <si>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</si>
  <si>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</si>
  <si>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</si>
  <si>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</si>
  <si>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</si>
  <si>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</si>
  <si>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</si>
  <si>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</si>
  <si>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</si>
  <si>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</si>
  <si>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</si>
  <si>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</si>
  <si>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</si>
  <si>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</si>
  <si>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</si>
  <si>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</si>
  <si>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</si>
  <si>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</si>
  <si>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</si>
  <si>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</si>
  <si>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</si>
  <si>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</si>
  <si>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</si>
  <si>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</si>
  <si>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</si>
  <si>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</si>
  <si>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</si>
  <si>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</si>
  <si>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</si>
  <si>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</si>
  <si>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</si>
  <si>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</si>
  <si>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</si>
  <si>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</si>
  <si>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</si>
  <si>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</si>
  <si>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</si>
  <si>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</si>
  <si>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</si>
  <si>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</si>
  <si>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</si>
  <si>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</si>
  <si>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</si>
  <si>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</si>
  <si>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</si>
  <si>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</si>
  <si>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</si>
  <si>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</si>
  <si>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</si>
  <si>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</si>
  <si>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</si>
  <si>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</si>
  <si>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</si>
  <si>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</si>
  <si>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</si>
  <si>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</si>
  <si>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</si>
  <si>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</si>
  <si>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</si>
  <si>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</si>
  <si>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</si>
  <si>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</si>
  <si>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</si>
  <si>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</si>
  <si>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</si>
  <si>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</si>
  <si>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</si>
  <si>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</si>
  <si>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</si>
  <si>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</si>
  <si>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</si>
  <si>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</si>
  <si>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</si>
  <si>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</si>
  <si>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</si>
  <si>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</si>
  <si>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</si>
  <si>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</si>
  <si>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</si>
  <si>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</si>
  <si>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</si>
  <si>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</si>
  <si>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</si>
  <si>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</si>
  <si>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</si>
  <si>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</si>
  <si>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</si>
  <si>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</si>
  <si>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</si>
  <si>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</si>
  <si>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</si>
  <si>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</si>
  <si>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</si>
  <si>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</si>
  <si>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</si>
  <si>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</si>
  <si>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</si>
  <si>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</si>
  <si>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</si>
  <si>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</si>
  <si>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</si>
  <si>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</si>
  <si>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</si>
  <si>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</si>
  <si>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</si>
  <si>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</si>
  <si>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</si>
  <si>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</si>
  <si>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</si>
  <si>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</si>
  <si>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</si>
  <si>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</si>
  <si>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</si>
  <si>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</si>
  <si>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</si>
  <si>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</si>
  <si>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</si>
  <si>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</si>
  <si>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</si>
  <si>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</si>
  <si>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</si>
  <si>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</si>
  <si>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</si>
  <si>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</si>
  <si>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</si>
  <si>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</si>
  <si>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</si>
  <si>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</si>
  <si>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</si>
  <si>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</si>
  <si>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</si>
  <si>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</si>
  <si>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</si>
  <si>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</si>
  <si>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</si>
  <si>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</si>
  <si>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</si>
  <si>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</si>
  <si>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</si>
  <si>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</si>
  <si>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</si>
  <si>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</si>
  <si>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</si>
  <si>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</si>
  <si>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</si>
  <si>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</si>
  <si>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</si>
  <si>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</si>
  <si>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</si>
  <si>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</si>
  <si>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</si>
  <si>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</si>
  <si>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</si>
  <si>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</si>
  <si>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</si>
  <si>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</si>
  <si>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</si>
  <si>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</si>
  <si>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</si>
  <si>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</si>
  <si>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</si>
  <si>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</si>
  <si>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</si>
  <si>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</si>
  <si>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</si>
  <si>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</si>
  <si>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</si>
  <si>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</si>
  <si>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</si>
  <si>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</si>
  <si>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</si>
  <si>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</si>
  <si>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</si>
  <si>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</si>
  <si>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</si>
  <si>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</si>
  <si>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</si>
  <si>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</si>
  <si>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</si>
  <si>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</si>
  <si>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</si>
  <si>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</si>
  <si>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</si>
  <si>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</si>
  <si>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</si>
  <si>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</si>
  <si>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</si>
  <si>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</si>
  <si>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</si>
  <si>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</si>
  <si>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</si>
  <si>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</si>
  <si>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</si>
  <si>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</si>
  <si>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</si>
  <si>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</si>
  <si>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</si>
  <si>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</si>
  <si>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</si>
  <si>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</si>
  <si>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</si>
  <si>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</si>
  <si>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</si>
  <si>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</si>
  <si>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</si>
  <si>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</si>
  <si>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</si>
  <si>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</si>
  <si>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</si>
  <si>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</si>
  <si>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</si>
  <si>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</si>
  <si>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</si>
  <si>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</si>
  <si>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</si>
  <si>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</si>
  <si>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</si>
  <si>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</si>
  <si>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</si>
  <si>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</si>
  <si>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</si>
  <si>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</si>
  <si>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</si>
  <si>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</si>
  <si>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</si>
  <si>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</si>
  <si>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</si>
  <si>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</si>
  <si>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</si>
  <si>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</si>
  <si>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</si>
  <si>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</si>
  <si>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</si>
  <si>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</si>
  <si>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</si>
  <si>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</si>
  <si>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</si>
  <si>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</si>
  <si>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</si>
  <si>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</si>
  <si>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</si>
  <si>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</si>
  <si>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</si>
  <si>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</si>
  <si>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</si>
  <si>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</si>
  <si>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</si>
  <si>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</si>
  <si>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</si>
  <si>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</si>
  <si>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</si>
  <si>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</si>
  <si>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</si>
  <si>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</si>
  <si>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</si>
  <si>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</si>
  <si>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</si>
  <si>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</si>
  <si>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</si>
  <si>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</si>
  <si>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</si>
  <si>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</si>
  <si>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</si>
  <si>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</si>
  <si>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</si>
  <si>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</si>
  <si>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</si>
  <si>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</si>
  <si>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</si>
  <si>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</si>
  <si>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</si>
  <si>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</si>
  <si>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</si>
  <si>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</si>
  <si>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</si>
  <si>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</si>
  <si>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</si>
  <si>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</si>
  <si>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</si>
  <si>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</si>
  <si>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</si>
  <si>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</si>
  <si>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</si>
  <si>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</si>
  <si>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</si>
  <si>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</si>
  <si>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</si>
  <si>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</si>
  <si>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</si>
  <si>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</si>
  <si>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</si>
  <si>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</si>
  <si>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</si>
  <si>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</si>
  <si>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</si>
  <si>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</si>
  <si>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</si>
  <si>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</si>
  <si>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</si>
  <si>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</si>
  <si>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</si>
  <si>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</si>
  <si>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</si>
  <si>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</si>
  <si>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</si>
  <si>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</si>
  <si>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</si>
  <si>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</si>
  <si>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</si>
  <si>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</si>
  <si>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</si>
  <si>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</si>
  <si>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</si>
  <si>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</si>
  <si>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</si>
  <si>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</si>
  <si>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</si>
  <si>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</si>
  <si>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</si>
  <si>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</si>
  <si>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</si>
  <si>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</si>
  <si>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</si>
  <si>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</si>
  <si>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</si>
  <si>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</si>
  <si>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</si>
  <si>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</si>
  <si>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</si>
  <si>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</si>
  <si>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</si>
  <si>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</si>
  <si>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</si>
  <si>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</si>
  <si>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</si>
  <si>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</si>
  <si>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</si>
  <si>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</si>
  <si>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</si>
  <si>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</si>
  <si>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</si>
  <si>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</si>
  <si>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</si>
  <si>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</si>
  <si>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</si>
  <si>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</si>
  <si>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</si>
  <si>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</si>
  <si>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</si>
  <si>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</si>
  <si>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</si>
  <si>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</si>
  <si>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</si>
  <si>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</si>
  <si>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</si>
  <si>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</si>
  <si>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</si>
  <si>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</si>
  <si>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</si>
  <si>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</si>
  <si>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</si>
  <si>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</si>
  <si>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</si>
  <si>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</si>
  <si>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</si>
  <si>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</si>
  <si>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</si>
  <si>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</si>
  <si>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</si>
  <si>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</si>
  <si>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</si>
  <si>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</si>
  <si>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</si>
  <si>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</si>
  <si>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</si>
  <si>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</si>
  <si>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</si>
  <si>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</si>
  <si>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</si>
  <si>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</si>
  <si>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</si>
  <si>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</si>
  <si>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</si>
  <si>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</si>
  <si>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</si>
  <si>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</si>
  <si>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</si>
  <si>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</si>
  <si>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</si>
  <si>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</si>
  <si>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</si>
  <si>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</si>
  <si>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</si>
  <si>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</si>
  <si>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</si>
  <si>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</si>
  <si>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</si>
  <si>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</si>
  <si>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</si>
  <si>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</si>
  <si>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</si>
  <si>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</si>
  <si>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</si>
  <si>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</si>
  <si>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</si>
  <si>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</si>
  <si>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</si>
  <si>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</si>
  <si>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</si>
  <si>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</si>
  <si>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</si>
  <si>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</si>
  <si>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</si>
  <si>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</si>
  <si>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</si>
  <si>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</si>
  <si>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</si>
  <si>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</si>
  <si>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</si>
  <si>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</si>
  <si>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</si>
  <si>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</si>
  <si>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</si>
  <si>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</si>
  <si>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</si>
  <si>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</si>
  <si>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</si>
  <si>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</si>
  <si>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</si>
  <si>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</si>
  <si>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</si>
  <si>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</si>
  <si>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</si>
  <si>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</si>
  <si>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</si>
  <si>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</si>
  <si>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</si>
  <si>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</si>
  <si>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</si>
  <si>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</si>
  <si>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</si>
  <si>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</si>
  <si>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</si>
  <si>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</si>
  <si>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</si>
  <si>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</si>
  <si>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</si>
  <si>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</si>
  <si>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</si>
  <si>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</si>
  <si>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</si>
  <si>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</si>
  <si>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</si>
  <si>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</si>
  <si>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</si>
  <si>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</si>
  <si>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</si>
  <si>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</si>
  <si>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</si>
  <si>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</si>
  <si>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</si>
  <si>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</si>
  <si>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</si>
  <si>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</si>
  <si>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</si>
  <si>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</si>
  <si>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</si>
  <si>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</si>
  <si>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</si>
  <si>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</si>
  <si>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</si>
  <si>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</si>
  <si>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</si>
  <si>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</si>
  <si>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</si>
  <si>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</si>
  <si>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</si>
  <si>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</si>
  <si>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</si>
  <si>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</si>
  <si>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</si>
  <si>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Sum of Revenue</t>
  </si>
  <si>
    <t>Row Labels</t>
  </si>
  <si>
    <t>Grand Total</t>
  </si>
  <si>
    <t>2021</t>
  </si>
  <si>
    <t>2023</t>
  </si>
  <si>
    <t>2022</t>
  </si>
  <si>
    <t>2024</t>
  </si>
  <si>
    <t>Sum of Quantity</t>
  </si>
  <si>
    <t>Qtr1</t>
  </si>
  <si>
    <t>Qtr2</t>
  </si>
  <si>
    <t>Qtr3</t>
  </si>
  <si>
    <t>Qtr4</t>
  </si>
  <si>
    <t>Bảng 1 : Tỷ trọng doanh thu</t>
  </si>
  <si>
    <t>Bảng 2:Tỷ trọng doanh thu</t>
  </si>
  <si>
    <t xml:space="preserve">Bảng 3 :Xu hướng doanh thu theo thời gian </t>
  </si>
  <si>
    <t>Bảng 4:Top Nhân viên Xuất sắc</t>
  </si>
  <si>
    <t>Bảng 5:Tỷ trọng kích cỡ theo sản phẩm</t>
  </si>
  <si>
    <t>Thg1</t>
  </si>
  <si>
    <t>Thg2</t>
  </si>
  <si>
    <t>Thg3</t>
  </si>
  <si>
    <t>Thg4</t>
  </si>
  <si>
    <t>Thg5</t>
  </si>
  <si>
    <t>Thg6</t>
  </si>
  <si>
    <t>Thg7</t>
  </si>
  <si>
    <t>Thg8</t>
  </si>
  <si>
    <t>Thg9</t>
  </si>
  <si>
    <t>Thg10</t>
  </si>
  <si>
    <t>Thg11</t>
  </si>
  <si>
    <t>Thg12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</si>
</sst>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8"/>
      <name val="Calibri"/>
      <family val="2"/>
      <charset val="163"/>
      <scheme val="minor"/>
    </font>
    <font>
      <sz val="11"/>
      <color rgb="FF666666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99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6" fillId="0" borderId="0" xfId="0" applyFont="1"/>
    <xf numFmtId="3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7" fillId="0" borderId="0" xfId="0" applyFont="1"/>
    <xf numFmtId="0" fontId="7" fillId="0" borderId="0" xfId="0" applyFont="1" applyAlignment="1">
      <alignment horizontal="left"/>
    </xf>
    <xf numFmtId="3" fontId="4" fillId="0" borderId="0" xfId="0" applyNumberFormat="1" applyFont="1" applyAlignment="1">
      <alignment horizontal="justify" vertical="center"/>
    </xf>
    <xf numFmtId="0" fontId="0" fillId="0" borderId="0" xfId="0" applyNumberFormat="1"/>
    <xf numFmtId="0" fontId="8" fillId="4" borderId="1" xfId="0" applyFont="1" applyFill="1" applyBorder="1"/>
    <xf numFmtId="0" fontId="8" fillId="4" borderId="2" xfId="0" applyFont="1" applyFill="1" applyBorder="1" applyAlignment="1">
      <alignment horizontal="left"/>
    </xf>
    <xf numFmtId="0" fontId="8" fillId="4" borderId="2" xfId="0" applyNumberFormat="1" applyFont="1" applyFill="1" applyBorder="1"/>
    <xf numFmtId="14" fontId="0" fillId="0" borderId="0" xfId="0" applyNumberFormat="1" applyAlignment="1">
      <alignment horizontal="left" indent="2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sản  phẩm bán chạy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28590077282006415"/>
          <c:w val="0.83129396325459315"/>
          <c:h val="0.319061315252260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Mocha</c:v>
              </c:pt>
              <c:pt idx="1">
                <c:v>Latte</c:v>
              </c:pt>
              <c:pt idx="2">
                <c:v>Iced Black Coffee</c:v>
              </c:pt>
              <c:pt idx="3">
                <c:v>Green Tea Freeze </c:v>
              </c:pt>
              <c:pt idx="4">
                <c:v>Chocolate Freeze </c:v>
              </c:pt>
              <c:pt idx="5">
                <c:v>Cookies &amp; Cream</c:v>
              </c:pt>
              <c:pt idx="6">
                <c:v>Classic Phin Freeze</c:v>
              </c:pt>
              <c:pt idx="7">
                <c:v>Caramel Phin Freeze</c:v>
              </c:pt>
              <c:pt idx="8">
                <c:v>Cappuccino</c:v>
              </c:pt>
              <c:pt idx="9">
                <c:v>Americano</c:v>
              </c:pt>
            </c:strLit>
          </c:cat>
          <c:val>
            <c:numLit>
              <c:formatCode>General</c:formatCode>
              <c:ptCount val="10"/>
              <c:pt idx="0">
                <c:v>213</c:v>
              </c:pt>
              <c:pt idx="1">
                <c:v>249</c:v>
              </c:pt>
              <c:pt idx="2">
                <c:v>236</c:v>
              </c:pt>
              <c:pt idx="3">
                <c:v>263</c:v>
              </c:pt>
              <c:pt idx="4">
                <c:v>262</c:v>
              </c:pt>
              <c:pt idx="5">
                <c:v>242</c:v>
              </c:pt>
              <c:pt idx="6">
                <c:v>200</c:v>
              </c:pt>
              <c:pt idx="7">
                <c:v>216</c:v>
              </c:pt>
              <c:pt idx="8">
                <c:v>296</c:v>
              </c:pt>
              <c:pt idx="9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F52C-4F9F-987D-5065322BC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5995600"/>
        <c:axId val="647157408"/>
      </c:barChart>
      <c:catAx>
        <c:axId val="6459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7408"/>
        <c:crosses val="autoZero"/>
        <c:auto val="1"/>
        <c:lblAlgn val="ctr"/>
        <c:lblOffset val="100"/>
        <c:noMultiLvlLbl val="0"/>
      </c:catAx>
      <c:valAx>
        <c:axId val="64715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5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Xu hướng doanh thu theo thời gian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176895465187674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7"/>
              <c:pt idx="0">
                <c:v>2021 Qtr1 Thg3</c:v>
              </c:pt>
              <c:pt idx="1">
                <c:v>2021 Qtr1 Thg2</c:v>
              </c:pt>
              <c:pt idx="2">
                <c:v>2021 Qtr1 Thg1</c:v>
              </c:pt>
              <c:pt idx="3">
                <c:v>2021 Qtr2 Thg6</c:v>
              </c:pt>
              <c:pt idx="4">
                <c:v>2021 Qtr2 Thg5</c:v>
              </c:pt>
              <c:pt idx="5">
                <c:v>2021 Qtr2 Thg4</c:v>
              </c:pt>
              <c:pt idx="6">
                <c:v>2021 Qtr3 Thg9</c:v>
              </c:pt>
              <c:pt idx="7">
                <c:v>2021 Qtr3 Thg8</c:v>
              </c:pt>
              <c:pt idx="8">
                <c:v>2021 Qtr3 Thg7</c:v>
              </c:pt>
              <c:pt idx="9">
                <c:v>2021 Qtr4 Thg12</c:v>
              </c:pt>
              <c:pt idx="10">
                <c:v>2021 Qtr4 Thg11</c:v>
              </c:pt>
              <c:pt idx="11">
                <c:v>2021 Qtr4 Thg10</c:v>
              </c:pt>
              <c:pt idx="12">
                <c:v>2022 Qtr1 Thg3</c:v>
              </c:pt>
              <c:pt idx="13">
                <c:v>2022 Qtr1 Thg2</c:v>
              </c:pt>
              <c:pt idx="14">
                <c:v>2022 Qtr1 Thg1</c:v>
              </c:pt>
              <c:pt idx="15">
                <c:v>2022 Qtr2 Thg6</c:v>
              </c:pt>
              <c:pt idx="16">
                <c:v>2022 Qtr2 Thg5</c:v>
              </c:pt>
              <c:pt idx="17">
                <c:v>2022 Qtr2 Thg4</c:v>
              </c:pt>
              <c:pt idx="18">
                <c:v>2022 Qtr3 Thg9</c:v>
              </c:pt>
              <c:pt idx="19">
                <c:v>2022 Qtr3 Thg8</c:v>
              </c:pt>
              <c:pt idx="20">
                <c:v>2022 Qtr3 Thg7</c:v>
              </c:pt>
              <c:pt idx="21">
                <c:v>2022 Qtr4 Thg12</c:v>
              </c:pt>
              <c:pt idx="22">
                <c:v>2022 Qtr4 Thg11</c:v>
              </c:pt>
              <c:pt idx="23">
                <c:v>2022 Qtr4 Thg10</c:v>
              </c:pt>
              <c:pt idx="24">
                <c:v>2023 Qtr1 Thg3</c:v>
              </c:pt>
              <c:pt idx="25">
                <c:v>2023 Qtr1 Thg2</c:v>
              </c:pt>
              <c:pt idx="26">
                <c:v>2023 Qtr1 Thg1</c:v>
              </c:pt>
              <c:pt idx="27">
                <c:v>2023 Qtr2 Thg6</c:v>
              </c:pt>
              <c:pt idx="28">
                <c:v>2023 Qtr2 Thg5</c:v>
              </c:pt>
              <c:pt idx="29">
                <c:v>2023 Qtr2 Thg4</c:v>
              </c:pt>
              <c:pt idx="30">
                <c:v>2023 Qtr3 Thg9</c:v>
              </c:pt>
              <c:pt idx="31">
                <c:v>2023 Qtr3 Thg8</c:v>
              </c:pt>
              <c:pt idx="32">
                <c:v>2023 Qtr3 Thg7</c:v>
              </c:pt>
              <c:pt idx="33">
                <c:v>2023 Qtr4 Thg12</c:v>
              </c:pt>
              <c:pt idx="34">
                <c:v>2023 Qtr4 Thg11</c:v>
              </c:pt>
              <c:pt idx="35">
                <c:v>2023 Qtr4 Thg10</c:v>
              </c:pt>
              <c:pt idx="36">
                <c:v>2024 Qtr1 Thg1</c:v>
              </c:pt>
            </c:strLit>
          </c:cat>
          <c:val>
            <c:numLit>
              <c:formatCode>General</c:formatCode>
              <c:ptCount val="37"/>
              <c:pt idx="0">
                <c:v>4075390</c:v>
              </c:pt>
              <c:pt idx="1">
                <c:v>2707050</c:v>
              </c:pt>
              <c:pt idx="2">
                <c:v>2803620</c:v>
              </c:pt>
              <c:pt idx="3">
                <c:v>4334480</c:v>
              </c:pt>
              <c:pt idx="4">
                <c:v>3716460</c:v>
              </c:pt>
              <c:pt idx="5">
                <c:v>3466790</c:v>
              </c:pt>
              <c:pt idx="6">
                <c:v>1797770</c:v>
              </c:pt>
              <c:pt idx="7">
                <c:v>3959980</c:v>
              </c:pt>
              <c:pt idx="8">
                <c:v>3085530</c:v>
              </c:pt>
              <c:pt idx="9">
                <c:v>3835340</c:v>
              </c:pt>
              <c:pt idx="10">
                <c:v>3284940</c:v>
              </c:pt>
              <c:pt idx="11">
                <c:v>3459840</c:v>
              </c:pt>
              <c:pt idx="12">
                <c:v>5398060</c:v>
              </c:pt>
              <c:pt idx="13">
                <c:v>3740640</c:v>
              </c:pt>
              <c:pt idx="14">
                <c:v>2596530</c:v>
              </c:pt>
              <c:pt idx="15">
                <c:v>4584220</c:v>
              </c:pt>
              <c:pt idx="16">
                <c:v>3477000</c:v>
              </c:pt>
              <c:pt idx="17">
                <c:v>1996950</c:v>
              </c:pt>
              <c:pt idx="18">
                <c:v>4263970</c:v>
              </c:pt>
              <c:pt idx="19">
                <c:v>3002040</c:v>
              </c:pt>
              <c:pt idx="20">
                <c:v>2878170</c:v>
              </c:pt>
              <c:pt idx="21">
                <c:v>4125190</c:v>
              </c:pt>
              <c:pt idx="22">
                <c:v>3981710</c:v>
              </c:pt>
              <c:pt idx="23">
                <c:v>4298530</c:v>
              </c:pt>
              <c:pt idx="24">
                <c:v>4265960</c:v>
              </c:pt>
              <c:pt idx="25">
                <c:v>5179260</c:v>
              </c:pt>
              <c:pt idx="26">
                <c:v>2954390</c:v>
              </c:pt>
              <c:pt idx="27">
                <c:v>3765550</c:v>
              </c:pt>
              <c:pt idx="28">
                <c:v>4001620</c:v>
              </c:pt>
              <c:pt idx="29">
                <c:v>1910790</c:v>
              </c:pt>
              <c:pt idx="30">
                <c:v>2967140</c:v>
              </c:pt>
              <c:pt idx="31">
                <c:v>3022160</c:v>
              </c:pt>
              <c:pt idx="32">
                <c:v>4401580</c:v>
              </c:pt>
              <c:pt idx="33">
                <c:v>2727090</c:v>
              </c:pt>
              <c:pt idx="34">
                <c:v>2589260</c:v>
              </c:pt>
              <c:pt idx="35">
                <c:v>2334060</c:v>
              </c:pt>
              <c:pt idx="36">
                <c:v>451500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484-48D0-8E9D-A64BF9C6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093264"/>
        <c:axId val="821947808"/>
      </c:lineChart>
      <c:catAx>
        <c:axId val="6500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Date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296051521837405"/>
              <c:y val="0.90785851135696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7808"/>
        <c:crosses val="autoZero"/>
        <c:auto val="1"/>
        <c:lblAlgn val="ctr"/>
        <c:lblOffset val="100"/>
        <c:noMultiLvlLbl val="0"/>
      </c:catAx>
      <c:valAx>
        <c:axId val="8219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</a:t>
            </a:r>
            <a:r>
              <a:rPr lang="en-US"/>
              <a:t>ỷ trọng doanh thu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95-4FAD-A622-1E877D54E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95-4FAD-A622-1E877D54E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Online</c:v>
              </c:pt>
              <c:pt idx="1">
                <c:v>Offline</c:v>
              </c:pt>
            </c:strLit>
          </c:cat>
          <c:val>
            <c:numLit>
              <c:formatCode>General</c:formatCode>
              <c:ptCount val="2"/>
              <c:pt idx="0">
                <c:v>57218560</c:v>
              </c:pt>
              <c:pt idx="1">
                <c:v>68222000</c:v>
              </c:pt>
            </c:numLit>
          </c:val>
          <c:extLst>
            <c:ext xmlns:c16="http://schemas.microsoft.com/office/drawing/2014/chart" uri="{C3380CC4-5D6E-409C-BE32-E72D297353CC}">
              <c16:uniqueId val="{00000004-E095-4FAD-A622-1E877D54E5A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Tốp nhân viên xuất sắc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0"/>
              <c:pt idx="0">
                <c:v>NV9</c:v>
              </c:pt>
              <c:pt idx="1">
                <c:v>NV8</c:v>
              </c:pt>
              <c:pt idx="2">
                <c:v>NV7</c:v>
              </c:pt>
              <c:pt idx="3">
                <c:v>NV6</c:v>
              </c:pt>
              <c:pt idx="4">
                <c:v>NV50</c:v>
              </c:pt>
              <c:pt idx="5">
                <c:v>NV5</c:v>
              </c:pt>
              <c:pt idx="6">
                <c:v>NV49</c:v>
              </c:pt>
              <c:pt idx="7">
                <c:v>NV48</c:v>
              </c:pt>
              <c:pt idx="8">
                <c:v>NV47</c:v>
              </c:pt>
              <c:pt idx="9">
                <c:v>NV46</c:v>
              </c:pt>
              <c:pt idx="10">
                <c:v>NV45</c:v>
              </c:pt>
              <c:pt idx="11">
                <c:v>NV44</c:v>
              </c:pt>
              <c:pt idx="12">
                <c:v>NV43</c:v>
              </c:pt>
              <c:pt idx="13">
                <c:v>NV42</c:v>
              </c:pt>
              <c:pt idx="14">
                <c:v>NV41</c:v>
              </c:pt>
              <c:pt idx="15">
                <c:v>NV40</c:v>
              </c:pt>
              <c:pt idx="16">
                <c:v>NV4</c:v>
              </c:pt>
              <c:pt idx="17">
                <c:v>NV39</c:v>
              </c:pt>
              <c:pt idx="18">
                <c:v>NV38</c:v>
              </c:pt>
              <c:pt idx="19">
                <c:v>NV37</c:v>
              </c:pt>
              <c:pt idx="20">
                <c:v>NV36</c:v>
              </c:pt>
              <c:pt idx="21">
                <c:v>NV35</c:v>
              </c:pt>
              <c:pt idx="22">
                <c:v>NV34</c:v>
              </c:pt>
              <c:pt idx="23">
                <c:v>NV33</c:v>
              </c:pt>
              <c:pt idx="24">
                <c:v>NV32</c:v>
              </c:pt>
              <c:pt idx="25">
                <c:v>NV31</c:v>
              </c:pt>
              <c:pt idx="26">
                <c:v>NV30</c:v>
              </c:pt>
              <c:pt idx="27">
                <c:v>NV3</c:v>
              </c:pt>
              <c:pt idx="28">
                <c:v>NV29</c:v>
              </c:pt>
              <c:pt idx="29">
                <c:v>NV28</c:v>
              </c:pt>
              <c:pt idx="30">
                <c:v>NV27</c:v>
              </c:pt>
              <c:pt idx="31">
                <c:v>NV26</c:v>
              </c:pt>
              <c:pt idx="32">
                <c:v>NV25</c:v>
              </c:pt>
              <c:pt idx="33">
                <c:v>NV24</c:v>
              </c:pt>
              <c:pt idx="34">
                <c:v>NV23</c:v>
              </c:pt>
              <c:pt idx="35">
                <c:v>NV22</c:v>
              </c:pt>
              <c:pt idx="36">
                <c:v>NV21</c:v>
              </c:pt>
              <c:pt idx="37">
                <c:v>NV20</c:v>
              </c:pt>
              <c:pt idx="38">
                <c:v>NV2</c:v>
              </c:pt>
              <c:pt idx="39">
                <c:v>NV19</c:v>
              </c:pt>
              <c:pt idx="40">
                <c:v>NV18</c:v>
              </c:pt>
              <c:pt idx="41">
                <c:v>NV17</c:v>
              </c:pt>
              <c:pt idx="42">
                <c:v>NV16</c:v>
              </c:pt>
              <c:pt idx="43">
                <c:v>NV15</c:v>
              </c:pt>
              <c:pt idx="44">
                <c:v>NV14</c:v>
              </c:pt>
              <c:pt idx="45">
                <c:v>NV13</c:v>
              </c:pt>
              <c:pt idx="46">
                <c:v>NV12</c:v>
              </c:pt>
              <c:pt idx="47">
                <c:v>NV11</c:v>
              </c:pt>
              <c:pt idx="48">
                <c:v>NV10</c:v>
              </c:pt>
              <c:pt idx="49">
                <c:v>NV1</c:v>
              </c:pt>
            </c:strLit>
          </c:cat>
          <c:val>
            <c:numLit>
              <c:formatCode>General</c:formatCode>
              <c:ptCount val="50"/>
              <c:pt idx="0">
                <c:v>2592090</c:v>
              </c:pt>
              <c:pt idx="1">
                <c:v>1231350</c:v>
              </c:pt>
              <c:pt idx="2">
                <c:v>1832860</c:v>
              </c:pt>
              <c:pt idx="3">
                <c:v>2942360</c:v>
              </c:pt>
              <c:pt idx="4">
                <c:v>3439990</c:v>
              </c:pt>
              <c:pt idx="5">
                <c:v>1988520</c:v>
              </c:pt>
              <c:pt idx="6">
                <c:v>2578660</c:v>
              </c:pt>
              <c:pt idx="7">
                <c:v>2884530</c:v>
              </c:pt>
              <c:pt idx="8">
                <c:v>2991940</c:v>
              </c:pt>
              <c:pt idx="9">
                <c:v>1742440</c:v>
              </c:pt>
              <c:pt idx="10">
                <c:v>2378560</c:v>
              </c:pt>
              <c:pt idx="11">
                <c:v>3028360</c:v>
              </c:pt>
              <c:pt idx="12">
                <c:v>2336630</c:v>
              </c:pt>
              <c:pt idx="13">
                <c:v>2924790</c:v>
              </c:pt>
              <c:pt idx="14">
                <c:v>2851390</c:v>
              </c:pt>
              <c:pt idx="15">
                <c:v>1266970</c:v>
              </c:pt>
              <c:pt idx="16">
                <c:v>2907110</c:v>
              </c:pt>
              <c:pt idx="17">
                <c:v>1895050</c:v>
              </c:pt>
              <c:pt idx="18">
                <c:v>2769060</c:v>
              </c:pt>
              <c:pt idx="19">
                <c:v>2331640</c:v>
              </c:pt>
              <c:pt idx="20">
                <c:v>2873720</c:v>
              </c:pt>
              <c:pt idx="21">
                <c:v>2581400</c:v>
              </c:pt>
              <c:pt idx="22">
                <c:v>4836850</c:v>
              </c:pt>
              <c:pt idx="23">
                <c:v>3028100</c:v>
              </c:pt>
              <c:pt idx="24">
                <c:v>1539810</c:v>
              </c:pt>
              <c:pt idx="25">
                <c:v>2725200</c:v>
              </c:pt>
              <c:pt idx="26">
                <c:v>3285590</c:v>
              </c:pt>
              <c:pt idx="27">
                <c:v>2478490</c:v>
              </c:pt>
              <c:pt idx="28">
                <c:v>2529790</c:v>
              </c:pt>
              <c:pt idx="29">
                <c:v>1644430</c:v>
              </c:pt>
              <c:pt idx="30">
                <c:v>1892660</c:v>
              </c:pt>
              <c:pt idx="31">
                <c:v>2474870</c:v>
              </c:pt>
              <c:pt idx="32">
                <c:v>1728310</c:v>
              </c:pt>
              <c:pt idx="33">
                <c:v>2360330</c:v>
              </c:pt>
              <c:pt idx="34">
                <c:v>1501750</c:v>
              </c:pt>
              <c:pt idx="35">
                <c:v>2951850</c:v>
              </c:pt>
              <c:pt idx="36">
                <c:v>1490690</c:v>
              </c:pt>
              <c:pt idx="37">
                <c:v>2223880</c:v>
              </c:pt>
              <c:pt idx="38">
                <c:v>3030320</c:v>
              </c:pt>
              <c:pt idx="39">
                <c:v>2327500</c:v>
              </c:pt>
              <c:pt idx="40">
                <c:v>2169910</c:v>
              </c:pt>
              <c:pt idx="41">
                <c:v>1649380</c:v>
              </c:pt>
              <c:pt idx="42">
                <c:v>3071280</c:v>
              </c:pt>
              <c:pt idx="43">
                <c:v>2007510</c:v>
              </c:pt>
              <c:pt idx="44">
                <c:v>1602540</c:v>
              </c:pt>
              <c:pt idx="45">
                <c:v>4136340</c:v>
              </c:pt>
              <c:pt idx="46">
                <c:v>2593140</c:v>
              </c:pt>
              <c:pt idx="47">
                <c:v>3385490</c:v>
              </c:pt>
              <c:pt idx="48">
                <c:v>2399220</c:v>
              </c:pt>
              <c:pt idx="49">
                <c:v>4005910</c:v>
              </c:pt>
            </c:numLit>
          </c:val>
          <c:extLst>
            <c:ext xmlns:c16="http://schemas.microsoft.com/office/drawing/2014/chart" uri="{C3380CC4-5D6E-409C-BE32-E72D297353CC}">
              <c16:uniqueId val="{00000000-AA55-40A2-9880-B3297DAD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991072"/>
        <c:axId val="821953216"/>
      </c:barChart>
      <c:catAx>
        <c:axId val="536991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Staff_id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3216"/>
        <c:crosses val="autoZero"/>
        <c:auto val="1"/>
        <c:lblAlgn val="ctr"/>
        <c:lblOffset val="100"/>
        <c:noMultiLvlLbl val="0"/>
      </c:catAx>
      <c:valAx>
        <c:axId val="8219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Tỷ trọng kích cỡ theo sản phẩm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527248502334159E-2"/>
          <c:y val="0.18007852097819715"/>
          <c:w val="0.86333360882370624"/>
          <c:h val="0.5845314220899841"/>
        </c:manualLayout>
      </c:layout>
      <c:bar3DChart>
        <c:barDir val="col"/>
        <c:grouping val="stacked"/>
        <c:varyColors val="0"/>
        <c:ser>
          <c:idx val="0"/>
          <c:order val="0"/>
          <c:tx>
            <c:v>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70</c:v>
              </c:pt>
              <c:pt idx="1">
                <c:v>107</c:v>
              </c:pt>
              <c:pt idx="2">
                <c:v>82</c:v>
              </c:pt>
              <c:pt idx="3">
                <c:v>60</c:v>
              </c:pt>
              <c:pt idx="4">
                <c:v>75</c:v>
              </c:pt>
              <c:pt idx="5">
                <c:v>78</c:v>
              </c:pt>
              <c:pt idx="6">
                <c:v>93</c:v>
              </c:pt>
              <c:pt idx="7">
                <c:v>84</c:v>
              </c:pt>
              <c:pt idx="8">
                <c:v>70</c:v>
              </c:pt>
              <c:pt idx="9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0-0E01-4B16-A13B-63E6068C0622}"/>
            </c:ext>
          </c:extLst>
        </c:ser>
        <c:ser>
          <c:idx val="1"/>
          <c:order val="1"/>
          <c:tx>
            <c:v>M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82</c:v>
              </c:pt>
              <c:pt idx="1">
                <c:v>78</c:v>
              </c:pt>
              <c:pt idx="2">
                <c:v>71</c:v>
              </c:pt>
              <c:pt idx="3">
                <c:v>61</c:v>
              </c:pt>
              <c:pt idx="4">
                <c:v>99</c:v>
              </c:pt>
              <c:pt idx="5">
                <c:v>83</c:v>
              </c:pt>
              <c:pt idx="6">
                <c:v>108</c:v>
              </c:pt>
              <c:pt idx="7">
                <c:v>99</c:v>
              </c:pt>
              <c:pt idx="8">
                <c:v>82</c:v>
              </c:pt>
              <c:pt idx="9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1-0E01-4B16-A13B-63E6068C0622}"/>
            </c:ext>
          </c:extLst>
        </c:ser>
        <c:ser>
          <c:idx val="2"/>
          <c:order val="2"/>
          <c:tx>
            <c:v>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71</c:v>
              </c:pt>
              <c:pt idx="1">
                <c:v>111</c:v>
              </c:pt>
              <c:pt idx="2">
                <c:v>63</c:v>
              </c:pt>
              <c:pt idx="3">
                <c:v>79</c:v>
              </c:pt>
              <c:pt idx="4">
                <c:v>68</c:v>
              </c:pt>
              <c:pt idx="5">
                <c:v>101</c:v>
              </c:pt>
              <c:pt idx="6">
                <c:v>62</c:v>
              </c:pt>
              <c:pt idx="7">
                <c:v>53</c:v>
              </c:pt>
              <c:pt idx="8">
                <c:v>97</c:v>
              </c:pt>
              <c:pt idx="9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2-0E01-4B16-A13B-63E6068C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15559312"/>
        <c:axId val="816154032"/>
        <c:axId val="0"/>
      </c:bar3DChart>
      <c:catAx>
        <c:axId val="91555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800" b="0" i="0" baseline="0">
                    <a:effectLst/>
                  </a:rPr>
                  <a:t>Size &amp; Name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54032"/>
        <c:crosses val="autoZero"/>
        <c:auto val="1"/>
        <c:lblAlgn val="ctr"/>
        <c:lblOffset val="100"/>
        <c:noMultiLvlLbl val="0"/>
      </c:catAx>
      <c:valAx>
        <c:axId val="8161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5.5812659244366097E-2"/>
              <c:y val="0.25696022985579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167640</xdr:rowOff>
    </xdr:from>
    <xdr:to>
      <xdr:col>10</xdr:col>
      <xdr:colOff>7620</xdr:colOff>
      <xdr:row>18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96A5B-7AED-4BAA-85A2-D2768391F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7620</xdr:colOff>
      <xdr:row>40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BDC89-B3D1-4846-B87C-C6341B3A1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0</xdr:rowOff>
    </xdr:from>
    <xdr:to>
      <xdr:col>22</xdr:col>
      <xdr:colOff>7620</xdr:colOff>
      <xdr:row>18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2E44CF-C183-4719-A26B-7AB013F38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38100</xdr:colOff>
      <xdr:row>40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AF1C52-0B3C-45E5-B23F-A9982DE85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594360</xdr:colOff>
      <xdr:row>1</xdr:row>
      <xdr:rowOff>0</xdr:rowOff>
    </xdr:from>
    <xdr:to>
      <xdr:col>35</xdr:col>
      <xdr:colOff>68580</xdr:colOff>
      <xdr:row>18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17CE0B-F551-4203-93A9-D70A9761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95.641659606481" createdVersion="6" refreshedVersion="6" minRefreshableVersion="3" recordCount="796" xr:uid="{3C526B1A-417A-462E-85F1-B8F4FB3DE5A1}">
  <cacheSource type="worksheet">
    <worksheetSource ref="A1:M797" sheet="REPORT"/>
  </cacheSource>
  <cacheFields count="15">
    <cacheField name="Sale_id" numFmtId="0">
      <sharedItems/>
    </cacheField>
    <cacheField name="Date" numFmtId="14">
      <sharedItems containsSemiMixedTypes="0" containsNonDate="0" containsDate="1" containsString="0" minDate="2021-01-02T00:00:00" maxDate="2024-01-02T00:00:00" count="567">
        <d v="2022-06-01T00:00:00"/>
        <d v="2022-06-23T00:00:00"/>
        <d v="2023-08-28T00:00:00"/>
        <d v="2023-10-12T00:00:00"/>
        <d v="2023-04-01T00:00:00"/>
        <d v="2023-10-10T00:00:00"/>
        <d v="2022-11-12T00:00:00"/>
        <d v="2023-11-10T00:00:00"/>
        <d v="2022-05-18T00:00:00"/>
        <d v="2022-12-19T00:00:00"/>
        <d v="2022-11-28T00:00:00"/>
        <d v="2023-05-28T00:00:00"/>
        <d v="2021-03-21T00:00:00"/>
        <d v="2021-08-11T00:00:00"/>
        <d v="2021-04-20T00:00:00"/>
        <d v="2023-03-23T00:00:00"/>
        <d v="2022-04-10T00:00:00"/>
        <d v="2021-12-10T00:00:00"/>
        <d v="2022-11-21T00:00:00"/>
        <d v="2021-02-17T00:00:00"/>
        <d v="2021-06-11T00:00:00"/>
        <d v="2023-11-21T00:00:00"/>
        <d v="2023-01-28T00:00:00"/>
        <d v="2022-12-02T00:00:00"/>
        <d v="2022-10-21T00:00:00"/>
        <d v="2024-01-01T00:00:00"/>
        <d v="2021-06-04T00:00:00"/>
        <d v="2021-12-18T00:00:00"/>
        <d v="2022-08-24T00:00:00"/>
        <d v="2021-08-01T00:00:00"/>
        <d v="2021-01-14T00:00:00"/>
        <d v="2023-05-04T00:00:00"/>
        <d v="2021-12-23T00:00:00"/>
        <d v="2021-09-12T00:00:00"/>
        <d v="2023-12-24T00:00:00"/>
        <d v="2022-02-24T00:00:00"/>
        <d v="2022-03-09T00:00:00"/>
        <d v="2021-07-15T00:00:00"/>
        <d v="2023-01-27T00:00:00"/>
        <d v="2023-02-02T00:00:00"/>
        <d v="2021-10-04T00:00:00"/>
        <d v="2023-04-19T00:00:00"/>
        <d v="2021-09-29T00:00:00"/>
        <d v="2022-06-29T00:00:00"/>
        <d v="2021-03-14T00:00:00"/>
        <d v="2021-02-28T00:00:00"/>
        <d v="2021-08-25T00:00:00"/>
        <d v="2022-12-15T00:00:00"/>
        <d v="2023-08-29T00:00:00"/>
        <d v="2021-02-07T00:00:00"/>
        <d v="2021-07-09T00:00:00"/>
        <d v="2021-04-27T00:00:00"/>
        <d v="2022-01-05T00:00:00"/>
        <d v="2022-03-03T00:00:00"/>
        <d v="2023-06-03T00:00:00"/>
        <d v="2023-04-21T00:00:00"/>
        <d v="2021-05-04T00:00:00"/>
        <d v="2021-10-23T00:00:00"/>
        <d v="2022-06-28T00:00:00"/>
        <d v="2021-11-06T00:00:00"/>
        <d v="2022-08-08T00:00:00"/>
        <d v="2023-07-31T00:00:00"/>
        <d v="2021-05-19T00:00:00"/>
        <d v="2022-09-23T00:00:00"/>
        <d v="2021-06-02T00:00:00"/>
        <d v="2023-03-25T00:00:00"/>
        <d v="2021-11-21T00:00:00"/>
        <d v="2023-08-30T00:00:00"/>
        <d v="2023-02-19T00:00:00"/>
        <d v="2023-11-06T00:00:00"/>
        <d v="2022-10-27T00:00:00"/>
        <d v="2021-03-29T00:00:00"/>
        <d v="2021-03-31T00:00:00"/>
        <d v="2021-04-24T00:00:00"/>
        <d v="2022-11-15T00:00:00"/>
        <d v="2021-07-04T00:00:00"/>
        <d v="2022-02-27T00:00:00"/>
        <d v="2021-05-05T00:00:00"/>
        <d v="2021-08-30T00:00:00"/>
        <d v="2023-04-16T00:00:00"/>
        <d v="2023-03-05T00:00:00"/>
        <d v="2022-03-22T00:00:00"/>
        <d v="2023-02-13T00:00:00"/>
        <d v="2022-01-29T00:00:00"/>
        <d v="2022-03-25T00:00:00"/>
        <d v="2022-08-18T00:00:00"/>
        <d v="2022-10-23T00:00:00"/>
        <d v="2022-03-15T00:00:00"/>
        <d v="2022-05-03T00:00:00"/>
        <d v="2021-07-08T00:00:00"/>
        <d v="2022-01-10T00:00:00"/>
        <d v="2022-07-07T00:00:00"/>
        <d v="2021-05-25T00:00:00"/>
        <d v="2023-08-19T00:00:00"/>
        <d v="2022-03-31T00:00:00"/>
        <d v="2023-12-30T00:00:00"/>
        <d v="2022-02-17T00:00:00"/>
        <d v="2021-03-25T00:00:00"/>
        <d v="2022-11-19T00:00:00"/>
        <d v="2021-08-24T00:00:00"/>
        <d v="2022-04-21T00:00:00"/>
        <d v="2022-11-17T00:00:00"/>
        <d v="2021-02-16T00:00:00"/>
        <d v="2022-01-06T00:00:00"/>
        <d v="2021-11-08T00:00:00"/>
        <d v="2023-03-27T00:00:00"/>
        <d v="2021-01-11T00:00:00"/>
        <d v="2022-04-05T00:00:00"/>
        <d v="2022-08-03T00:00:00"/>
        <d v="2023-07-25T00:00:00"/>
        <d v="2023-03-03T00:00:00"/>
        <d v="2023-02-05T00:00:00"/>
        <d v="2021-01-06T00:00:00"/>
        <d v="2023-08-26T00:00:00"/>
        <d v="2021-07-21T00:00:00"/>
        <d v="2021-09-28T00:00:00"/>
        <d v="2023-09-10T00:00:00"/>
        <d v="2022-03-26T00:00:00"/>
        <d v="2023-11-11T00:00:00"/>
        <d v="2021-12-02T00:00:00"/>
        <d v="2021-09-27T00:00:00"/>
        <d v="2022-09-17T00:00:00"/>
        <d v="2022-12-13T00:00:00"/>
        <d v="2022-01-12T00:00:00"/>
        <d v="2022-02-18T00:00:00"/>
        <d v="2022-01-22T00:00:00"/>
        <d v="2023-05-05T00:00:00"/>
        <d v="2021-06-01T00:00:00"/>
        <d v="2023-07-19T00:00:00"/>
        <d v="2023-01-14T00:00:00"/>
        <d v="2022-07-17T00:00:00"/>
        <d v="2023-02-16T00:00:00"/>
        <d v="2021-05-01T00:00:00"/>
        <d v="2021-05-30T00:00:00"/>
        <d v="2023-01-31T00:00:00"/>
        <d v="2021-03-05T00:00:00"/>
        <d v="2022-03-01T00:00:00"/>
        <d v="2022-10-16T00:00:00"/>
        <d v="2022-05-11T00:00:00"/>
        <d v="2021-04-14T00:00:00"/>
        <d v="2023-10-04T00:00:00"/>
        <d v="2021-05-27T00:00:00"/>
        <d v="2023-02-22T00:00:00"/>
        <d v="2021-01-20T00:00:00"/>
        <d v="2022-08-29T00:00:00"/>
        <d v="2022-11-07T00:00:00"/>
        <d v="2022-02-26T00:00:00"/>
        <d v="2023-06-13T00:00:00"/>
        <d v="2021-06-08T00:00:00"/>
        <d v="2023-03-01T00:00:00"/>
        <d v="2022-10-19T00:00:00"/>
        <d v="2022-11-29T00:00:00"/>
        <d v="2023-09-27T00:00:00"/>
        <d v="2021-06-29T00:00:00"/>
        <d v="2022-04-11T00:00:00"/>
        <d v="2021-10-11T00:00:00"/>
        <d v="2021-07-16T00:00:00"/>
        <d v="2021-11-09T00:00:00"/>
        <d v="2022-09-18T00:00:00"/>
        <d v="2022-06-04T00:00:00"/>
        <d v="2023-10-09T00:00:00"/>
        <d v="2022-01-30T00:00:00"/>
        <d v="2021-06-03T00:00:00"/>
        <d v="2023-12-21T00:00:00"/>
        <d v="2022-05-09T00:00:00"/>
        <d v="2023-10-27T00:00:00"/>
        <d v="2023-11-22T00:00:00"/>
        <d v="2023-07-18T00:00:00"/>
        <d v="2021-04-21T00:00:00"/>
        <d v="2023-10-22T00:00:00"/>
        <d v="2023-11-01T00:00:00"/>
        <d v="2023-01-21T00:00:00"/>
        <d v="2021-03-02T00:00:00"/>
        <d v="2022-07-14T00:00:00"/>
        <d v="2021-01-10T00:00:00"/>
        <d v="2022-05-17T00:00:00"/>
        <d v="2021-06-05T00:00:00"/>
        <d v="2021-05-24T00:00:00"/>
        <d v="2023-07-29T00:00:00"/>
        <d v="2021-10-25T00:00:00"/>
        <d v="2022-10-01T00:00:00"/>
        <d v="2022-02-13T00:00:00"/>
        <d v="2022-11-14T00:00:00"/>
        <d v="2022-12-22T00:00:00"/>
        <d v="2023-09-13T00:00:00"/>
        <d v="2023-02-26T00:00:00"/>
        <d v="2021-08-28T00:00:00"/>
        <d v="2022-02-07T00:00:00"/>
        <d v="2022-01-20T00:00:00"/>
        <d v="2021-04-02T00:00:00"/>
        <d v="2023-07-06T00:00:00"/>
        <d v="2022-06-24T00:00:00"/>
        <d v="2022-09-20T00:00:00"/>
        <d v="2023-08-13T00:00:00"/>
        <d v="2023-12-29T00:00:00"/>
        <d v="2022-06-18T00:00:00"/>
        <d v="2021-05-07T00:00:00"/>
        <d v="2023-05-30T00:00:00"/>
        <d v="2023-06-09T00:00:00"/>
        <d v="2021-08-06T00:00:00"/>
        <d v="2022-01-18T00:00:00"/>
        <d v="2022-07-29T00:00:00"/>
        <d v="2023-07-02T00:00:00"/>
        <d v="2022-12-09T00:00:00"/>
        <d v="2023-11-04T00:00:00"/>
        <d v="2023-01-11T00:00:00"/>
        <d v="2023-09-11T00:00:00"/>
        <d v="2023-05-18T00:00:00"/>
        <d v="2021-12-31T00:00:00"/>
        <d v="2023-07-10T00:00:00"/>
        <d v="2022-06-15T00:00:00"/>
        <d v="2022-02-20T00:00:00"/>
        <d v="2023-01-16T00:00:00"/>
        <d v="2022-07-31T00:00:00"/>
        <d v="2023-10-24T00:00:00"/>
        <d v="2023-02-03T00:00:00"/>
        <d v="2021-09-25T00:00:00"/>
        <d v="2023-05-25T00:00:00"/>
        <d v="2023-05-12T00:00:00"/>
        <d v="2022-06-03T00:00:00"/>
        <d v="2022-04-09T00:00:00"/>
        <d v="2023-01-25T00:00:00"/>
        <d v="2021-06-18T00:00:00"/>
        <d v="2021-03-04T00:00:00"/>
        <d v="2023-07-08T00:00:00"/>
        <d v="2022-10-15T00:00:00"/>
        <d v="2022-05-23T00:00:00"/>
        <d v="2021-01-22T00:00:00"/>
        <d v="2021-09-06T00:00:00"/>
        <d v="2022-08-19T00:00:00"/>
        <d v="2022-12-28T00:00:00"/>
        <d v="2022-10-29T00:00:00"/>
        <d v="2021-10-07T00:00:00"/>
        <d v="2022-02-25T00:00:00"/>
        <d v="2021-02-23T00:00:00"/>
        <d v="2023-08-04T00:00:00"/>
        <d v="2021-02-18T00:00:00"/>
        <d v="2023-05-09T00:00:00"/>
        <d v="2021-01-19T00:00:00"/>
        <d v="2023-08-31T00:00:00"/>
        <d v="2022-10-20T00:00:00"/>
        <d v="2021-06-16T00:00:00"/>
        <d v="2022-02-21T00:00:00"/>
        <d v="2021-10-10T00:00:00"/>
        <d v="2022-03-11T00:00:00"/>
        <d v="2023-05-03T00:00:00"/>
        <d v="2023-04-02T00:00:00"/>
        <d v="2023-12-10T00:00:00"/>
        <d v="2022-03-30T00:00:00"/>
        <d v="2023-02-10T00:00:00"/>
        <d v="2023-10-28T00:00:00"/>
        <d v="2022-12-16T00:00:00"/>
        <d v="2022-06-13T00:00:00"/>
        <d v="2021-04-29T00:00:00"/>
        <d v="2022-10-13T00:00:00"/>
        <d v="2023-04-09T00:00:00"/>
        <d v="2021-02-26T00:00:00"/>
        <d v="2021-11-22T00:00:00"/>
        <d v="2022-12-18T00:00:00"/>
        <d v="2021-08-16T00:00:00"/>
        <d v="2023-01-20T00:00:00"/>
        <d v="2021-05-20T00:00:00"/>
        <d v="2023-02-06T00:00:00"/>
        <d v="2022-09-26T00:00:00"/>
        <d v="2022-11-25T00:00:00"/>
        <d v="2023-12-07T00:00:00"/>
        <d v="2021-07-22T00:00:00"/>
        <d v="2022-10-17T00:00:00"/>
        <d v="2022-03-24T00:00:00"/>
        <d v="2023-06-01T00:00:00"/>
        <d v="2022-06-09T00:00:00"/>
        <d v="2021-03-23T00:00:00"/>
        <d v="2023-11-12T00:00:00"/>
        <d v="2022-11-03T00:00:00"/>
        <d v="2023-06-24T00:00:00"/>
        <d v="2023-01-22T00:00:00"/>
        <d v="2021-05-02T00:00:00"/>
        <d v="2022-07-21T00:00:00"/>
        <d v="2021-09-20T00:00:00"/>
        <d v="2023-07-26T00:00:00"/>
        <d v="2022-08-30T00:00:00"/>
        <d v="2023-05-22T00:00:00"/>
        <d v="2023-10-17T00:00:00"/>
        <d v="2023-06-27T00:00:00"/>
        <d v="2022-09-05T00:00:00"/>
        <d v="2023-03-07T00:00:00"/>
        <d v="2023-06-15T00:00:00"/>
        <d v="2021-08-29T00:00:00"/>
        <d v="2021-07-11T00:00:00"/>
        <d v="2023-09-25T00:00:00"/>
        <d v="2021-08-02T00:00:00"/>
        <d v="2023-10-25T00:00:00"/>
        <d v="2022-08-21T00:00:00"/>
        <d v="2021-04-26T00:00:00"/>
        <d v="2021-01-28T00:00:00"/>
        <d v="2023-06-07T00:00:00"/>
        <d v="2021-12-13T00:00:00"/>
        <d v="2022-10-22T00:00:00"/>
        <d v="2022-11-16T00:00:00"/>
        <d v="2021-10-27T00:00:00"/>
        <d v="2021-10-17T00:00:00"/>
        <d v="2023-11-16T00:00:00"/>
        <d v="2023-02-04T00:00:00"/>
        <d v="2022-08-31T00:00:00"/>
        <d v="2022-02-09T00:00:00"/>
        <d v="2023-08-03T00:00:00"/>
        <d v="2021-12-11T00:00:00"/>
        <d v="2022-05-20T00:00:00"/>
        <d v="2023-04-13T00:00:00"/>
        <d v="2021-04-19T00:00:00"/>
        <d v="2023-03-13T00:00:00"/>
        <d v="2023-02-18T00:00:00"/>
        <d v="2022-04-18T00:00:00"/>
        <d v="2022-08-01T00:00:00"/>
        <d v="2021-08-03T00:00:00"/>
        <d v="2023-08-01T00:00:00"/>
        <d v="2023-10-29T00:00:00"/>
        <d v="2021-06-09T00:00:00"/>
        <d v="2022-08-23T00:00:00"/>
        <d v="2023-12-11T00:00:00"/>
        <d v="2021-08-05T00:00:00"/>
        <d v="2022-01-13T00:00:00"/>
        <d v="2022-10-11T00:00:00"/>
        <d v="2023-03-08T00:00:00"/>
        <d v="2021-05-29T00:00:00"/>
        <d v="2021-04-15T00:00:00"/>
        <d v="2022-02-04T00:00:00"/>
        <d v="2022-12-05T00:00:00"/>
        <d v="2022-09-13T00:00:00"/>
        <d v="2021-10-26T00:00:00"/>
        <d v="2023-01-10T00:00:00"/>
        <d v="2023-05-27T00:00:00"/>
        <d v="2023-05-24T00:00:00"/>
        <d v="2022-05-14T00:00:00"/>
        <d v="2021-12-04T00:00:00"/>
        <d v="2023-12-08T00:00:00"/>
        <d v="2021-09-21T00:00:00"/>
        <d v="2022-11-04T00:00:00"/>
        <d v="2021-03-10T00:00:00"/>
        <d v="2021-09-30T00:00:00"/>
        <d v="2022-08-09T00:00:00"/>
        <d v="2021-11-20T00:00:00"/>
        <d v="2023-08-09T00:00:00"/>
        <d v="2022-05-07T00:00:00"/>
        <d v="2021-11-14T00:00:00"/>
        <d v="2021-05-31T00:00:00"/>
        <d v="2021-03-26T00:00:00"/>
        <d v="2023-12-15T00:00:00"/>
        <d v="2021-08-26T00:00:00"/>
        <d v="2022-04-03T00:00:00"/>
        <d v="2021-05-15T00:00:00"/>
        <d v="2023-07-13T00:00:00"/>
        <d v="2021-10-03T00:00:00"/>
        <d v="2021-01-03T00:00:00"/>
        <d v="2022-12-12T00:00:00"/>
        <d v="2022-11-23T00:00:00"/>
        <d v="2022-01-03T00:00:00"/>
        <d v="2021-02-21T00:00:00"/>
        <d v="2022-02-06T00:00:00"/>
        <d v="2021-06-22T00:00:00"/>
        <d v="2022-03-06T00:00:00"/>
        <d v="2021-07-06T00:00:00"/>
        <d v="2021-07-18T00:00:00"/>
        <d v="2022-12-25T00:00:00"/>
        <d v="2022-09-27T00:00:00"/>
        <d v="2023-02-08T00:00:00"/>
        <d v="2022-09-11T00:00:00"/>
        <d v="2023-02-01T00:00:00"/>
        <d v="2022-07-13T00:00:00"/>
        <d v="2021-09-10T00:00:00"/>
        <d v="2021-11-23T00:00:00"/>
        <d v="2023-09-21T00:00:00"/>
        <d v="2023-08-06T00:00:00"/>
        <d v="2021-12-07T00:00:00"/>
        <d v="2021-07-05T00:00:00"/>
        <d v="2022-03-04T00:00:00"/>
        <d v="2021-10-31T00:00:00"/>
        <d v="2021-11-19T00:00:00"/>
        <d v="2023-02-14T00:00:00"/>
        <d v="2022-08-13T00:00:00"/>
        <d v="2023-12-12T00:00:00"/>
        <d v="2021-03-20T00:00:00"/>
        <d v="2023-02-28T00:00:00"/>
        <d v="2022-10-08T00:00:00"/>
        <d v="2023-06-30T00:00:00"/>
        <d v="2023-04-17T00:00:00"/>
        <d v="2023-08-23T00:00:00"/>
        <d v="2021-09-11T00:00:00"/>
        <d v="2022-12-31T00:00:00"/>
        <d v="2023-06-11T00:00:00"/>
        <d v="2023-11-20T00:00:00"/>
        <d v="2022-10-28T00:00:00"/>
        <d v="2022-04-27T00:00:00"/>
        <d v="2021-05-23T00:00:00"/>
        <d v="2021-12-27T00:00:00"/>
        <d v="2023-12-23T00:00:00"/>
        <d v="2022-01-17T00:00:00"/>
        <d v="2023-05-29T00:00:00"/>
        <d v="2022-07-12T00:00:00"/>
        <d v="2021-01-31T00:00:00"/>
        <d v="2022-03-18T00:00:00"/>
        <d v="2021-07-12T00:00:00"/>
        <d v="2023-06-26T00:00:00"/>
        <d v="2021-10-12T00:00:00"/>
        <d v="2022-06-10T00:00:00"/>
        <d v="2021-09-09T00:00:00"/>
        <d v="2022-10-12T00:00:00"/>
        <d v="2023-02-12T00:00:00"/>
        <d v="2022-07-11T00:00:00"/>
        <d v="2023-08-16T00:00:00"/>
        <d v="2022-06-20T00:00:00"/>
        <d v="2022-11-24T00:00:00"/>
        <d v="2022-09-28T00:00:00"/>
        <d v="2022-12-10T00:00:00"/>
        <d v="2021-07-02T00:00:00"/>
        <d v="2022-04-26T00:00:00"/>
        <d v="2022-06-08T00:00:00"/>
        <d v="2022-09-12T00:00:00"/>
        <d v="2021-04-07T00:00:00"/>
        <d v="2022-01-31T00:00:00"/>
        <d v="2023-10-13T00:00:00"/>
        <d v="2021-06-19T00:00:00"/>
        <d v="2023-04-10T00:00:00"/>
        <d v="2023-03-18T00:00:00"/>
        <d v="2022-07-30T00:00:00"/>
        <d v="2021-12-05T00:00:00"/>
        <d v="2021-11-30T00:00:00"/>
        <d v="2021-02-01T00:00:00"/>
        <d v="2023-06-28T00:00:00"/>
        <d v="2022-11-05T00:00:00"/>
        <d v="2021-03-24T00:00:00"/>
        <d v="2023-07-05T00:00:00"/>
        <d v="2022-09-02T00:00:00"/>
        <d v="2022-12-06T00:00:00"/>
        <d v="2023-02-07T00:00:00"/>
        <d v="2021-07-19T00:00:00"/>
        <d v="2022-09-19T00:00:00"/>
        <d v="2023-01-06T00:00:00"/>
        <d v="2023-01-13T00:00:00"/>
        <d v="2021-03-08T00:00:00"/>
        <d v="2023-06-29T00:00:00"/>
        <d v="2022-05-26T00:00:00"/>
        <d v="2023-09-04T00:00:00"/>
        <d v="2023-02-25T00:00:00"/>
        <d v="2022-08-27T00:00:00"/>
        <d v="2021-08-09T00:00:00"/>
        <d v="2021-03-17T00:00:00"/>
        <d v="2023-06-14T00:00:00"/>
        <d v="2023-09-06T00:00:00"/>
        <d v="2022-08-04T00:00:00"/>
        <d v="2021-11-10T00:00:00"/>
        <d v="2022-03-16T00:00:00"/>
        <d v="2021-04-03T00:00:00"/>
        <d v="2023-03-20T00:00:00"/>
        <d v="2022-12-11T00:00:00"/>
        <d v="2022-02-28T00:00:00"/>
        <d v="2023-07-30T00:00:00"/>
        <d v="2021-03-13T00:00:00"/>
        <d v="2021-09-02T00:00:00"/>
        <d v="2023-12-01T00:00:00"/>
        <d v="2021-07-25T00:00:00"/>
        <d v="2023-02-17T00:00:00"/>
        <d v="2021-08-21T00:00:00"/>
        <d v="2022-08-06T00:00:00"/>
        <d v="2023-07-14T00:00:00"/>
        <d v="2021-08-22T00:00:00"/>
        <d v="2022-12-24T00:00:00"/>
        <d v="2022-02-19T00:00:00"/>
        <d v="2023-04-08T00:00:00"/>
        <d v="2021-06-10T00:00:00"/>
        <d v="2022-11-20T00:00:00"/>
        <d v="2022-04-22T00:00:00"/>
        <d v="2021-10-19T00:00:00"/>
        <d v="2023-11-24T00:00:00"/>
        <d v="2023-03-09T00:00:00"/>
        <d v="2022-09-25T00:00:00"/>
        <d v="2021-01-23T00:00:00"/>
        <d v="2023-06-10T00:00:00"/>
        <d v="2022-05-29T00:00:00"/>
        <d v="2022-09-21T00:00:00"/>
        <d v="2021-02-12T00:00:00"/>
        <d v="2021-07-20T00:00:00"/>
        <d v="2021-08-20T00:00:00"/>
        <d v="2022-02-12T00:00:00"/>
        <d v="2022-05-08T00:00:00"/>
        <d v="2023-01-03T00:00:00"/>
        <d v="2021-03-18T00:00:00"/>
        <d v="2022-02-08T00:00:00"/>
        <d v="2021-11-29T00:00:00"/>
        <d v="2021-12-21T00:00:00"/>
        <d v="2022-05-28T00:00:00"/>
        <d v="2023-07-11T00:00:00"/>
        <d v="2022-07-08T00:00:00"/>
        <d v="2023-05-01T00:00:00"/>
        <d v="2022-10-25T00:00:00"/>
        <d v="2023-06-19T00:00:00"/>
        <d v="2022-03-19T00:00:00"/>
        <d v="2022-09-10T00:00:00"/>
        <d v="2022-05-12T00:00:00"/>
        <d v="2021-06-20T00:00:00"/>
        <d v="2021-04-04T00:00:00"/>
        <d v="2021-01-26T00:00:00"/>
        <d v="2022-10-24T00:00:00"/>
        <d v="2021-05-11T00:00:00"/>
        <d v="2023-05-14T00:00:00"/>
        <d v="2022-07-28T00:00:00"/>
        <d v="2022-03-29T00:00:00"/>
        <d v="2021-06-21T00:00:00"/>
        <d v="2021-04-18T00:00:00"/>
        <d v="2023-09-23T00:00:00"/>
        <d v="2023-09-02T00:00:00"/>
        <d v="2023-10-19T00:00:00"/>
        <d v="2022-02-22T00:00:00"/>
        <d v="2022-03-20T00:00:00"/>
        <d v="2021-09-07T00:00:00"/>
        <d v="2022-03-12T00:00:00"/>
        <d v="2021-01-02T00:00:00"/>
        <d v="2022-04-23T00:00:00"/>
        <d v="2021-12-26T00:00:00"/>
        <d v="2022-08-16T00:00:00"/>
        <d v="2023-09-12T00:00:00"/>
        <d v="2021-11-05T00:00:00"/>
        <d v="2021-06-23T00:00:00"/>
        <d v="2021-08-12T00:00:00"/>
        <d v="2023-09-29T00:00:00"/>
        <d v="2023-06-18T00:00:00"/>
        <d v="2022-05-27T00:00:00"/>
        <d v="2022-03-23T00:00:00"/>
        <d v="2022-09-06T00:00:00"/>
        <d v="2021-10-21T00:00:00"/>
        <d v="2021-01-08T00:00:00"/>
        <d v="2023-02-27T00:00:00"/>
        <d v="2023-03-31T00:00:00"/>
        <d v="2023-11-09T00:00:00"/>
        <d v="2022-07-03T00:00:00"/>
        <d v="2023-07-04T00:00:00"/>
        <d v="2021-08-15T00:00:00"/>
        <d v="2022-06-16T00:00:00"/>
        <d v="2021-02-06T00:00:00"/>
        <d v="2021-06-25T00:00:00"/>
        <d v="2023-07-12T00:00:00"/>
        <d v="2023-05-15T00:00:00"/>
        <d v="2021-02-22T00:00:00"/>
        <d v="2021-03-16T00:00:00"/>
        <d v="2023-08-11T00:00:00"/>
        <d v="2021-03-01T00:00:00"/>
        <d v="2021-12-06T00:00:00"/>
        <d v="2021-11-11T00:00:00"/>
        <d v="2022-09-16T00:00:00"/>
        <d v="2022-11-09T00:00:00"/>
        <d v="2022-11-06T00:00:00"/>
        <d v="2023-04-05T00:00:00"/>
        <d v="2021-05-08T00:00:00"/>
        <d v="2022-01-07T00:00:00"/>
        <d v="2022-05-16T00:00:00"/>
        <d v="2022-04-08T00:00:00"/>
        <d v="2021-08-17T00:00:00"/>
        <d v="2022-12-14T00:00:00"/>
        <d v="2023-05-02T00:00:00"/>
        <d v="2022-02-05T00:00:00"/>
        <d v="2021-02-19T00:00:00"/>
        <d v="2023-11-23T00:00:00"/>
        <d v="2021-10-09T00:00:00"/>
        <d v="2023-07-01T00:00:00"/>
        <d v="2023-03-11T00:00:00"/>
        <d v="2021-08-31T00:00:00"/>
        <d v="2021-03-22T00:00:00"/>
      </sharedItems>
      <fieldGroup par="14" base="1">
        <rangePr groupBy="months" startDate="2021-01-02T00:00:00" endDate="2024-01-02T00:00:00"/>
        <groupItems count="14">
          <s v="&lt;02/01/2021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02/01/2024"/>
        </groupItems>
      </fieldGroup>
    </cacheField>
    <cacheField name="Product Name " numFmtId="0">
      <sharedItems count="10">
        <s v="Cappuccino"/>
        <s v="Mocha"/>
        <s v="Iced Black Coffee"/>
        <s v="Caramel Phin Freeze"/>
        <s v="Cookies &amp; Cream"/>
        <s v="Latte"/>
        <s v="Americano"/>
        <s v="Classic Phin Freeze"/>
        <s v="Chocolate Freeze "/>
        <s v="Green Tea Freeze "/>
      </sharedItems>
    </cacheField>
    <cacheField name="Size" numFmtId="0">
      <sharedItems count="3">
        <s v="L"/>
        <s v="S"/>
        <s v="M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Original Price Online" numFmtId="0">
      <sharedItems containsSemiMixedTypes="0" containsString="0" containsNumber="1" containsInteger="1" minValue="29000" maxValue="75000"/>
    </cacheField>
    <cacheField name="Original Price Offline" numFmtId="0">
      <sharedItems containsSemiMixedTypes="0" containsString="0" containsNumber="1" containsInteger="1" minValue="29000" maxValue="75000"/>
    </cacheField>
    <cacheField name="Discount Online (%)" numFmtId="0">
      <sharedItems containsSemiMixedTypes="0" containsString="0" containsNumber="1" containsInteger="1" minValue="5" maxValue="15"/>
    </cacheField>
    <cacheField name="Applied Price" numFmtId="0">
      <sharedItems containsSemiMixedTypes="0" containsString="0" containsNumber="1" minValue="24650" maxValue="75000"/>
    </cacheField>
    <cacheField name="Oder_chanel   " numFmtId="0">
      <sharedItems count="2">
        <s v="Offline"/>
        <s v="Online"/>
      </sharedItems>
    </cacheField>
    <cacheField name="Actual Selling Price" numFmtId="0">
      <sharedItems containsSemiMixedTypes="0" containsString="0" containsNumber="1" minValue="24650" maxValue="75000"/>
    </cacheField>
    <cacheField name="Revenue" numFmtId="0">
      <sharedItems containsSemiMixedTypes="0" containsString="0" containsNumber="1" minValue="26680" maxValue="375000"/>
    </cacheField>
    <cacheField name="Staff_id" numFmtId="0">
      <sharedItems count="50">
        <s v="NV42"/>
        <s v="NV34"/>
        <s v="NV11"/>
        <s v="NV45"/>
        <s v="NV37"/>
        <s v="NV19"/>
        <s v="NV28"/>
        <s v="NV39"/>
        <s v="NV8"/>
        <s v="NV46"/>
        <s v="NV47"/>
        <s v="NV2"/>
        <s v="NV25"/>
        <s v="NV4"/>
        <s v="NV30"/>
        <s v="NV43"/>
        <s v="NV26"/>
        <s v="NV44"/>
        <s v="NV15"/>
        <s v="NV41"/>
        <s v="NV7"/>
        <s v="NV16"/>
        <s v="NV20"/>
        <s v="NV29"/>
        <s v="NV31"/>
        <s v="NV5"/>
        <s v="NV48"/>
        <s v="NV50"/>
        <s v="NV23"/>
        <s v="NV35"/>
        <s v="NV38"/>
        <s v="NV6"/>
        <s v="NV36"/>
        <s v="NV13"/>
        <s v="NV1"/>
        <s v="NV12"/>
        <s v="NV33"/>
        <s v="NV9"/>
        <s v="NV18"/>
        <s v="NV14"/>
        <s v="NV21"/>
        <s v="NV22"/>
        <s v="NV27"/>
        <s v="NV17"/>
        <s v="NV10"/>
        <s v="NV24"/>
        <s v="NV40"/>
        <s v="NV3"/>
        <s v="NV49"/>
        <s v="NV32"/>
      </sharedItems>
    </cacheField>
    <cacheField name="Quarters" numFmtId="0" databaseField="0">
      <fieldGroup base="1">
        <rangePr groupBy="quarters" startDate="2021-01-02T00:00:00" endDate="2024-01-02T00:00:00"/>
        <groupItems count="6">
          <s v="&lt;02/01/2021"/>
          <s v="Qtr1"/>
          <s v="Qtr2"/>
          <s v="Qtr3"/>
          <s v="Qtr4"/>
          <s v="&gt;02/01/2024"/>
        </groupItems>
      </fieldGroup>
    </cacheField>
    <cacheField name="Years" numFmtId="0" databaseField="0">
      <fieldGroup base="1">
        <rangePr groupBy="years" startDate="2021-01-02T00:00:00" endDate="2024-01-02T00:00:00"/>
        <groupItems count="6">
          <s v="&lt;02/01/2021"/>
          <s v="2021"/>
          <s v="2022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s v="S0001"/>
    <x v="0"/>
    <x v="0"/>
    <x v="0"/>
    <x v="0"/>
    <n v="75000"/>
    <n v="49000"/>
    <n v="7"/>
    <n v="49000"/>
    <x v="0"/>
    <n v="49000"/>
    <n v="196000"/>
    <x v="0"/>
  </r>
  <r>
    <s v="S0002"/>
    <x v="1"/>
    <x v="1"/>
    <x v="1"/>
    <x v="1"/>
    <n v="59000"/>
    <n v="39000"/>
    <n v="10"/>
    <n v="53100"/>
    <x v="1"/>
    <n v="53100"/>
    <n v="265500"/>
    <x v="1"/>
  </r>
  <r>
    <s v="S0003"/>
    <x v="2"/>
    <x v="2"/>
    <x v="0"/>
    <x v="1"/>
    <n v="69000"/>
    <n v="65000"/>
    <n v="13"/>
    <n v="65000"/>
    <x v="0"/>
    <n v="65000"/>
    <n v="325000"/>
    <x v="2"/>
  </r>
  <r>
    <s v="S0004"/>
    <x v="3"/>
    <x v="3"/>
    <x v="1"/>
    <x v="2"/>
    <n v="49000"/>
    <n v="49000"/>
    <n v="9"/>
    <n v="49000"/>
    <x v="0"/>
    <n v="49000"/>
    <n v="98000"/>
    <x v="3"/>
  </r>
  <r>
    <s v="S0005"/>
    <x v="4"/>
    <x v="4"/>
    <x v="1"/>
    <x v="0"/>
    <n v="49000"/>
    <n v="69000"/>
    <n v="5"/>
    <n v="46550"/>
    <x v="1"/>
    <n v="46550"/>
    <n v="186200"/>
    <x v="4"/>
  </r>
  <r>
    <s v="S0006"/>
    <x v="5"/>
    <x v="5"/>
    <x v="2"/>
    <x v="1"/>
    <n v="65000"/>
    <n v="65000"/>
    <n v="12"/>
    <n v="57200"/>
    <x v="1"/>
    <n v="57200"/>
    <n v="286000"/>
    <x v="5"/>
  </r>
  <r>
    <s v="S0007"/>
    <x v="6"/>
    <x v="6"/>
    <x v="1"/>
    <x v="2"/>
    <n v="39000"/>
    <n v="55000"/>
    <n v="10"/>
    <n v="35100"/>
    <x v="1"/>
    <n v="35100"/>
    <n v="70200"/>
    <x v="2"/>
  </r>
  <r>
    <s v="S0008"/>
    <x v="7"/>
    <x v="6"/>
    <x v="2"/>
    <x v="0"/>
    <n v="65000"/>
    <n v="29000"/>
    <n v="11"/>
    <n v="29000"/>
    <x v="0"/>
    <n v="29000"/>
    <n v="116000"/>
    <x v="3"/>
  </r>
  <r>
    <s v="S0009"/>
    <x v="8"/>
    <x v="3"/>
    <x v="0"/>
    <x v="1"/>
    <n v="59000"/>
    <n v="59000"/>
    <n v="5"/>
    <n v="59000"/>
    <x v="0"/>
    <n v="59000"/>
    <n v="295000"/>
    <x v="6"/>
  </r>
  <r>
    <s v="S0010"/>
    <x v="9"/>
    <x v="4"/>
    <x v="1"/>
    <x v="0"/>
    <n v="59000"/>
    <n v="75000"/>
    <n v="6"/>
    <n v="75000"/>
    <x v="0"/>
    <n v="75000"/>
    <n v="300000"/>
    <x v="7"/>
  </r>
  <r>
    <s v="S0011"/>
    <x v="10"/>
    <x v="1"/>
    <x v="2"/>
    <x v="1"/>
    <n v="59000"/>
    <n v="59000"/>
    <n v="15"/>
    <n v="50150"/>
    <x v="1"/>
    <n v="50150"/>
    <n v="250750"/>
    <x v="8"/>
  </r>
  <r>
    <s v="S0012"/>
    <x v="11"/>
    <x v="4"/>
    <x v="0"/>
    <x v="2"/>
    <n v="59000"/>
    <n v="75000"/>
    <n v="6"/>
    <n v="75000"/>
    <x v="0"/>
    <n v="75000"/>
    <n v="150000"/>
    <x v="3"/>
  </r>
  <r>
    <s v="S0013"/>
    <x v="12"/>
    <x v="5"/>
    <x v="0"/>
    <x v="3"/>
    <n v="49000"/>
    <n v="65000"/>
    <n v="6"/>
    <n v="65000"/>
    <x v="0"/>
    <n v="65000"/>
    <n v="195000"/>
    <x v="9"/>
  </r>
  <r>
    <s v="S0014"/>
    <x v="13"/>
    <x v="0"/>
    <x v="2"/>
    <x v="1"/>
    <n v="59000"/>
    <n v="49000"/>
    <n v="14"/>
    <n v="49000"/>
    <x v="0"/>
    <n v="49000"/>
    <n v="245000"/>
    <x v="10"/>
  </r>
  <r>
    <s v="S0015"/>
    <x v="14"/>
    <x v="6"/>
    <x v="2"/>
    <x v="3"/>
    <n v="59000"/>
    <n v="65000"/>
    <n v="15"/>
    <n v="65000"/>
    <x v="0"/>
    <n v="65000"/>
    <n v="195000"/>
    <x v="11"/>
  </r>
  <r>
    <s v="S0016"/>
    <x v="15"/>
    <x v="2"/>
    <x v="2"/>
    <x v="1"/>
    <n v="59000"/>
    <n v="65000"/>
    <n v="14"/>
    <n v="50740"/>
    <x v="1"/>
    <n v="50740"/>
    <n v="253700"/>
    <x v="2"/>
  </r>
  <r>
    <s v="S0017"/>
    <x v="16"/>
    <x v="7"/>
    <x v="1"/>
    <x v="1"/>
    <n v="55000"/>
    <n v="55000"/>
    <n v="6"/>
    <n v="55000"/>
    <x v="0"/>
    <n v="55000"/>
    <n v="275000"/>
    <x v="1"/>
  </r>
  <r>
    <s v="S0018"/>
    <x v="17"/>
    <x v="4"/>
    <x v="2"/>
    <x v="4"/>
    <n v="69000"/>
    <n v="59000"/>
    <n v="13"/>
    <n v="60030"/>
    <x v="1"/>
    <n v="60030"/>
    <n v="60030"/>
    <x v="12"/>
  </r>
  <r>
    <s v="S0019"/>
    <x v="18"/>
    <x v="1"/>
    <x v="2"/>
    <x v="4"/>
    <n v="59000"/>
    <n v="49000"/>
    <n v="8"/>
    <n v="49000"/>
    <x v="0"/>
    <n v="49000"/>
    <n v="49000"/>
    <x v="13"/>
  </r>
  <r>
    <s v="S0020"/>
    <x v="19"/>
    <x v="4"/>
    <x v="1"/>
    <x v="0"/>
    <n v="65000"/>
    <n v="65000"/>
    <n v="11"/>
    <n v="57850"/>
    <x v="1"/>
    <n v="57850"/>
    <n v="231400"/>
    <x v="14"/>
  </r>
  <r>
    <s v="S0021"/>
    <x v="20"/>
    <x v="7"/>
    <x v="1"/>
    <x v="3"/>
    <n v="59000"/>
    <n v="49000"/>
    <n v="12"/>
    <n v="51920"/>
    <x v="1"/>
    <n v="51920"/>
    <n v="155760"/>
    <x v="15"/>
  </r>
  <r>
    <s v="S0022"/>
    <x v="21"/>
    <x v="7"/>
    <x v="2"/>
    <x v="0"/>
    <n v="75000"/>
    <n v="65000"/>
    <n v="8"/>
    <n v="69000"/>
    <x v="1"/>
    <n v="69000"/>
    <n v="276000"/>
    <x v="16"/>
  </r>
  <r>
    <s v="S0023"/>
    <x v="22"/>
    <x v="7"/>
    <x v="1"/>
    <x v="3"/>
    <n v="49000"/>
    <n v="65000"/>
    <n v="7"/>
    <n v="65000"/>
    <x v="0"/>
    <n v="65000"/>
    <n v="195000"/>
    <x v="17"/>
  </r>
  <r>
    <s v="S0024"/>
    <x v="23"/>
    <x v="3"/>
    <x v="0"/>
    <x v="1"/>
    <n v="59000"/>
    <n v="65000"/>
    <n v="14"/>
    <n v="65000"/>
    <x v="0"/>
    <n v="65000"/>
    <n v="325000"/>
    <x v="14"/>
  </r>
  <r>
    <s v="S0025"/>
    <x v="24"/>
    <x v="3"/>
    <x v="1"/>
    <x v="0"/>
    <n v="39000"/>
    <n v="69000"/>
    <n v="5"/>
    <n v="37050"/>
    <x v="1"/>
    <n v="37050"/>
    <n v="148200"/>
    <x v="1"/>
  </r>
  <r>
    <s v="S0026"/>
    <x v="25"/>
    <x v="6"/>
    <x v="2"/>
    <x v="2"/>
    <n v="45000"/>
    <n v="59000"/>
    <n v="15"/>
    <n v="38250"/>
    <x v="1"/>
    <n v="38250"/>
    <n v="76500"/>
    <x v="2"/>
  </r>
  <r>
    <s v="S0027"/>
    <x v="26"/>
    <x v="0"/>
    <x v="1"/>
    <x v="0"/>
    <n v="55000"/>
    <n v="55000"/>
    <n v="10"/>
    <n v="49500"/>
    <x v="1"/>
    <n v="49500"/>
    <n v="198000"/>
    <x v="18"/>
  </r>
  <r>
    <s v="S0028"/>
    <x v="27"/>
    <x v="5"/>
    <x v="2"/>
    <x v="1"/>
    <n v="39000"/>
    <n v="45000"/>
    <n v="5"/>
    <n v="45000"/>
    <x v="0"/>
    <n v="45000"/>
    <n v="225000"/>
    <x v="19"/>
  </r>
  <r>
    <s v="S0029"/>
    <x v="28"/>
    <x v="7"/>
    <x v="2"/>
    <x v="2"/>
    <n v="35000"/>
    <n v="49000"/>
    <n v="6"/>
    <n v="49000"/>
    <x v="0"/>
    <n v="49000"/>
    <n v="98000"/>
    <x v="20"/>
  </r>
  <r>
    <s v="S0030"/>
    <x v="29"/>
    <x v="0"/>
    <x v="2"/>
    <x v="4"/>
    <n v="49000"/>
    <n v="59000"/>
    <n v="11"/>
    <n v="43610"/>
    <x v="1"/>
    <n v="43610"/>
    <n v="43610"/>
    <x v="21"/>
  </r>
  <r>
    <s v="S0031"/>
    <x v="30"/>
    <x v="0"/>
    <x v="1"/>
    <x v="4"/>
    <n v="49000"/>
    <n v="59000"/>
    <n v="10"/>
    <n v="44100"/>
    <x v="1"/>
    <n v="44100"/>
    <n v="44100"/>
    <x v="13"/>
  </r>
  <r>
    <s v="S0032"/>
    <x v="31"/>
    <x v="2"/>
    <x v="2"/>
    <x v="0"/>
    <n v="49000"/>
    <n v="55000"/>
    <n v="8"/>
    <n v="55000"/>
    <x v="0"/>
    <n v="55000"/>
    <n v="220000"/>
    <x v="22"/>
  </r>
  <r>
    <s v="S0033"/>
    <x v="32"/>
    <x v="8"/>
    <x v="2"/>
    <x v="3"/>
    <n v="59000"/>
    <n v="55000"/>
    <n v="7"/>
    <n v="54869.999999999993"/>
    <x v="1"/>
    <n v="54869.999999999993"/>
    <n v="164609.99999999997"/>
    <x v="23"/>
  </r>
  <r>
    <s v="S0034"/>
    <x v="33"/>
    <x v="7"/>
    <x v="1"/>
    <x v="3"/>
    <n v="69000"/>
    <n v="49000"/>
    <n v="15"/>
    <n v="58650"/>
    <x v="1"/>
    <n v="58650"/>
    <n v="175950"/>
    <x v="24"/>
  </r>
  <r>
    <s v="S0035"/>
    <x v="34"/>
    <x v="5"/>
    <x v="0"/>
    <x v="2"/>
    <n v="59000"/>
    <n v="75000"/>
    <n v="11"/>
    <n v="52510"/>
    <x v="1"/>
    <n v="52510"/>
    <n v="105020"/>
    <x v="25"/>
  </r>
  <r>
    <s v="S0036"/>
    <x v="35"/>
    <x v="9"/>
    <x v="1"/>
    <x v="0"/>
    <n v="59000"/>
    <n v="59000"/>
    <n v="14"/>
    <n v="59000"/>
    <x v="0"/>
    <n v="59000"/>
    <n v="236000"/>
    <x v="26"/>
  </r>
  <r>
    <s v="S0037"/>
    <x v="36"/>
    <x v="5"/>
    <x v="1"/>
    <x v="4"/>
    <n v="59000"/>
    <n v="69000"/>
    <n v="14"/>
    <n v="50740"/>
    <x v="1"/>
    <n v="50740"/>
    <n v="50740"/>
    <x v="27"/>
  </r>
  <r>
    <s v="S0038"/>
    <x v="37"/>
    <x v="2"/>
    <x v="2"/>
    <x v="3"/>
    <n v="35000"/>
    <n v="59000"/>
    <n v="14"/>
    <n v="59000"/>
    <x v="0"/>
    <n v="59000"/>
    <n v="177000"/>
    <x v="5"/>
  </r>
  <r>
    <s v="S0039"/>
    <x v="38"/>
    <x v="0"/>
    <x v="1"/>
    <x v="0"/>
    <n v="65000"/>
    <n v="75000"/>
    <n v="13"/>
    <n v="56550"/>
    <x v="1"/>
    <n v="56550"/>
    <n v="226200"/>
    <x v="20"/>
  </r>
  <r>
    <s v="S0040"/>
    <x v="39"/>
    <x v="9"/>
    <x v="2"/>
    <x v="3"/>
    <n v="39000"/>
    <n v="35000"/>
    <n v="11"/>
    <n v="35000"/>
    <x v="0"/>
    <n v="35000"/>
    <n v="105000"/>
    <x v="28"/>
  </r>
  <r>
    <s v="S0041"/>
    <x v="40"/>
    <x v="0"/>
    <x v="2"/>
    <x v="0"/>
    <n v="55000"/>
    <n v="59000"/>
    <n v="6"/>
    <n v="59000"/>
    <x v="0"/>
    <n v="59000"/>
    <n v="236000"/>
    <x v="23"/>
  </r>
  <r>
    <s v="S0042"/>
    <x v="41"/>
    <x v="2"/>
    <x v="0"/>
    <x v="4"/>
    <n v="65000"/>
    <n v="59000"/>
    <n v="12"/>
    <n v="59000"/>
    <x v="0"/>
    <n v="59000"/>
    <n v="59000"/>
    <x v="29"/>
  </r>
  <r>
    <s v="S0043"/>
    <x v="42"/>
    <x v="1"/>
    <x v="2"/>
    <x v="3"/>
    <n v="65000"/>
    <n v="55000"/>
    <n v="12"/>
    <n v="55000"/>
    <x v="0"/>
    <n v="55000"/>
    <n v="165000"/>
    <x v="16"/>
  </r>
  <r>
    <s v="S0044"/>
    <x v="43"/>
    <x v="6"/>
    <x v="2"/>
    <x v="1"/>
    <n v="39000"/>
    <n v="65000"/>
    <n v="13"/>
    <n v="65000"/>
    <x v="0"/>
    <n v="65000"/>
    <n v="325000"/>
    <x v="30"/>
  </r>
  <r>
    <s v="S0045"/>
    <x v="44"/>
    <x v="6"/>
    <x v="2"/>
    <x v="0"/>
    <n v="39000"/>
    <n v="59000"/>
    <n v="15"/>
    <n v="33150"/>
    <x v="1"/>
    <n v="33150"/>
    <n v="132600"/>
    <x v="27"/>
  </r>
  <r>
    <s v="S0046"/>
    <x v="45"/>
    <x v="9"/>
    <x v="2"/>
    <x v="1"/>
    <n v="35000"/>
    <n v="49000"/>
    <n v="5"/>
    <n v="49000"/>
    <x v="0"/>
    <n v="49000"/>
    <n v="245000"/>
    <x v="31"/>
  </r>
  <r>
    <s v="S0047"/>
    <x v="46"/>
    <x v="2"/>
    <x v="0"/>
    <x v="2"/>
    <n v="59000"/>
    <n v="49000"/>
    <n v="13"/>
    <n v="49000"/>
    <x v="0"/>
    <n v="49000"/>
    <n v="98000"/>
    <x v="32"/>
  </r>
  <r>
    <s v="S0048"/>
    <x v="47"/>
    <x v="8"/>
    <x v="0"/>
    <x v="0"/>
    <n v="59000"/>
    <n v="29000"/>
    <n v="12"/>
    <n v="51920"/>
    <x v="1"/>
    <n v="51920"/>
    <n v="207680"/>
    <x v="14"/>
  </r>
  <r>
    <s v="S0049"/>
    <x v="48"/>
    <x v="4"/>
    <x v="0"/>
    <x v="2"/>
    <n v="59000"/>
    <n v="65000"/>
    <n v="5"/>
    <n v="56050"/>
    <x v="1"/>
    <n v="56050"/>
    <n v="112100"/>
    <x v="33"/>
  </r>
  <r>
    <s v="S0050"/>
    <x v="49"/>
    <x v="5"/>
    <x v="0"/>
    <x v="2"/>
    <n v="75000"/>
    <n v="39000"/>
    <n v="6"/>
    <n v="70500"/>
    <x v="1"/>
    <n v="70500"/>
    <n v="141000"/>
    <x v="34"/>
  </r>
  <r>
    <s v="S0051"/>
    <x v="50"/>
    <x v="1"/>
    <x v="0"/>
    <x v="3"/>
    <n v="69000"/>
    <n v="65000"/>
    <n v="8"/>
    <n v="63480"/>
    <x v="1"/>
    <n v="63480"/>
    <n v="190440"/>
    <x v="26"/>
  </r>
  <r>
    <s v="S0052"/>
    <x v="51"/>
    <x v="2"/>
    <x v="0"/>
    <x v="1"/>
    <n v="59000"/>
    <n v="65000"/>
    <n v="5"/>
    <n v="56050"/>
    <x v="1"/>
    <n v="56050"/>
    <n v="280250"/>
    <x v="19"/>
  </r>
  <r>
    <s v="S0053"/>
    <x v="5"/>
    <x v="3"/>
    <x v="1"/>
    <x v="2"/>
    <n v="65000"/>
    <n v="49000"/>
    <n v="6"/>
    <n v="61100"/>
    <x v="1"/>
    <n v="61100"/>
    <n v="122200"/>
    <x v="35"/>
  </r>
  <r>
    <s v="S0054"/>
    <x v="52"/>
    <x v="3"/>
    <x v="0"/>
    <x v="3"/>
    <n v="45000"/>
    <n v="69000"/>
    <n v="12"/>
    <n v="39600"/>
    <x v="1"/>
    <n v="39600"/>
    <n v="118800"/>
    <x v="23"/>
  </r>
  <r>
    <s v="S0055"/>
    <x v="53"/>
    <x v="2"/>
    <x v="0"/>
    <x v="2"/>
    <n v="49000"/>
    <n v="39000"/>
    <n v="5"/>
    <n v="46550"/>
    <x v="1"/>
    <n v="46550"/>
    <n v="93100"/>
    <x v="28"/>
  </r>
  <r>
    <s v="S0056"/>
    <x v="54"/>
    <x v="0"/>
    <x v="0"/>
    <x v="2"/>
    <n v="55000"/>
    <n v="55000"/>
    <n v="9"/>
    <n v="50050"/>
    <x v="1"/>
    <n v="50050"/>
    <n v="100100"/>
    <x v="2"/>
  </r>
  <r>
    <s v="S0057"/>
    <x v="55"/>
    <x v="4"/>
    <x v="1"/>
    <x v="4"/>
    <n v="59000"/>
    <n v="65000"/>
    <n v="12"/>
    <n v="51920"/>
    <x v="1"/>
    <n v="51920"/>
    <n v="51920"/>
    <x v="15"/>
  </r>
  <r>
    <s v="S0058"/>
    <x v="56"/>
    <x v="8"/>
    <x v="2"/>
    <x v="3"/>
    <n v="59000"/>
    <n v="65000"/>
    <n v="15"/>
    <n v="50150"/>
    <x v="1"/>
    <n v="50150"/>
    <n v="150450"/>
    <x v="3"/>
  </r>
  <r>
    <s v="S0059"/>
    <x v="57"/>
    <x v="2"/>
    <x v="2"/>
    <x v="1"/>
    <n v="59000"/>
    <n v="49000"/>
    <n v="8"/>
    <n v="54280"/>
    <x v="1"/>
    <n v="54280"/>
    <n v="271400"/>
    <x v="1"/>
  </r>
  <r>
    <s v="S0060"/>
    <x v="58"/>
    <x v="9"/>
    <x v="0"/>
    <x v="3"/>
    <n v="59000"/>
    <n v="59000"/>
    <n v="8"/>
    <n v="54280"/>
    <x v="1"/>
    <n v="54280"/>
    <n v="162840"/>
    <x v="6"/>
  </r>
  <r>
    <s v="S0061"/>
    <x v="59"/>
    <x v="3"/>
    <x v="0"/>
    <x v="2"/>
    <n v="35000"/>
    <n v="49000"/>
    <n v="9"/>
    <n v="31850"/>
    <x v="1"/>
    <n v="31850"/>
    <n v="63700"/>
    <x v="36"/>
  </r>
  <r>
    <s v="S0062"/>
    <x v="60"/>
    <x v="8"/>
    <x v="1"/>
    <x v="2"/>
    <n v="55000"/>
    <n v="69000"/>
    <n v="8"/>
    <n v="69000"/>
    <x v="0"/>
    <n v="69000"/>
    <n v="138000"/>
    <x v="35"/>
  </r>
  <r>
    <s v="S0063"/>
    <x v="61"/>
    <x v="5"/>
    <x v="2"/>
    <x v="1"/>
    <n v="59000"/>
    <n v="39000"/>
    <n v="12"/>
    <n v="51920"/>
    <x v="1"/>
    <n v="51920"/>
    <n v="259600"/>
    <x v="22"/>
  </r>
  <r>
    <s v="S0064"/>
    <x v="62"/>
    <x v="4"/>
    <x v="0"/>
    <x v="4"/>
    <n v="49000"/>
    <n v="49000"/>
    <n v="13"/>
    <n v="42630"/>
    <x v="1"/>
    <n v="42630"/>
    <n v="42630"/>
    <x v="0"/>
  </r>
  <r>
    <s v="S0065"/>
    <x v="63"/>
    <x v="8"/>
    <x v="0"/>
    <x v="1"/>
    <n v="65000"/>
    <n v="49000"/>
    <n v="5"/>
    <n v="61750"/>
    <x v="1"/>
    <n v="61750"/>
    <n v="308750"/>
    <x v="37"/>
  </r>
  <r>
    <s v="S0066"/>
    <x v="64"/>
    <x v="6"/>
    <x v="0"/>
    <x v="2"/>
    <n v="29000"/>
    <n v="49000"/>
    <n v="6"/>
    <n v="27260"/>
    <x v="1"/>
    <n v="27260"/>
    <n v="54520"/>
    <x v="18"/>
  </r>
  <r>
    <s v="S0067"/>
    <x v="65"/>
    <x v="5"/>
    <x v="1"/>
    <x v="4"/>
    <n v="45000"/>
    <n v="39000"/>
    <n v="9"/>
    <n v="40950"/>
    <x v="1"/>
    <n v="40950"/>
    <n v="40950"/>
    <x v="38"/>
  </r>
  <r>
    <s v="S0068"/>
    <x v="66"/>
    <x v="5"/>
    <x v="2"/>
    <x v="0"/>
    <n v="39000"/>
    <n v="59000"/>
    <n v="6"/>
    <n v="59000"/>
    <x v="0"/>
    <n v="59000"/>
    <n v="236000"/>
    <x v="39"/>
  </r>
  <r>
    <s v="S0069"/>
    <x v="67"/>
    <x v="5"/>
    <x v="2"/>
    <x v="1"/>
    <n v="69000"/>
    <n v="59000"/>
    <n v="13"/>
    <n v="59000"/>
    <x v="0"/>
    <n v="59000"/>
    <n v="295000"/>
    <x v="18"/>
  </r>
  <r>
    <s v="S0070"/>
    <x v="68"/>
    <x v="0"/>
    <x v="0"/>
    <x v="0"/>
    <n v="59000"/>
    <n v="59000"/>
    <n v="11"/>
    <n v="59000"/>
    <x v="0"/>
    <n v="59000"/>
    <n v="236000"/>
    <x v="3"/>
  </r>
  <r>
    <s v="S0071"/>
    <x v="69"/>
    <x v="1"/>
    <x v="0"/>
    <x v="0"/>
    <n v="49000"/>
    <n v="59000"/>
    <n v="12"/>
    <n v="43120"/>
    <x v="1"/>
    <n v="43120"/>
    <n v="172480"/>
    <x v="38"/>
  </r>
  <r>
    <s v="S0072"/>
    <x v="70"/>
    <x v="5"/>
    <x v="2"/>
    <x v="2"/>
    <n v="75000"/>
    <n v="69000"/>
    <n v="5"/>
    <n v="69000"/>
    <x v="0"/>
    <n v="69000"/>
    <n v="138000"/>
    <x v="20"/>
  </r>
  <r>
    <s v="S0073"/>
    <x v="71"/>
    <x v="3"/>
    <x v="1"/>
    <x v="1"/>
    <n v="49000"/>
    <n v="69000"/>
    <n v="14"/>
    <n v="42140"/>
    <x v="1"/>
    <n v="42140"/>
    <n v="210700"/>
    <x v="3"/>
  </r>
  <r>
    <s v="S0074"/>
    <x v="72"/>
    <x v="9"/>
    <x v="1"/>
    <x v="0"/>
    <n v="49000"/>
    <n v="35000"/>
    <n v="8"/>
    <n v="35000"/>
    <x v="0"/>
    <n v="35000"/>
    <n v="140000"/>
    <x v="40"/>
  </r>
  <r>
    <s v="S0075"/>
    <x v="73"/>
    <x v="5"/>
    <x v="2"/>
    <x v="4"/>
    <n v="35000"/>
    <n v="69000"/>
    <n v="9"/>
    <n v="31850"/>
    <x v="1"/>
    <n v="31850"/>
    <n v="31850"/>
    <x v="15"/>
  </r>
  <r>
    <s v="S0076"/>
    <x v="74"/>
    <x v="4"/>
    <x v="2"/>
    <x v="3"/>
    <n v="39000"/>
    <n v="59000"/>
    <n v="8"/>
    <n v="59000"/>
    <x v="0"/>
    <n v="59000"/>
    <n v="177000"/>
    <x v="29"/>
  </r>
  <r>
    <s v="S0077"/>
    <x v="75"/>
    <x v="3"/>
    <x v="1"/>
    <x v="3"/>
    <n v="29000"/>
    <n v="75000"/>
    <n v="5"/>
    <n v="75000"/>
    <x v="0"/>
    <n v="75000"/>
    <n v="225000"/>
    <x v="31"/>
  </r>
  <r>
    <s v="S0078"/>
    <x v="76"/>
    <x v="7"/>
    <x v="0"/>
    <x v="2"/>
    <n v="65000"/>
    <n v="59000"/>
    <n v="12"/>
    <n v="59000"/>
    <x v="0"/>
    <n v="59000"/>
    <n v="118000"/>
    <x v="18"/>
  </r>
  <r>
    <s v="S0079"/>
    <x v="38"/>
    <x v="8"/>
    <x v="1"/>
    <x v="2"/>
    <n v="59000"/>
    <n v="59000"/>
    <n v="5"/>
    <n v="56050"/>
    <x v="1"/>
    <n v="56050"/>
    <n v="112100"/>
    <x v="32"/>
  </r>
  <r>
    <s v="S0080"/>
    <x v="77"/>
    <x v="1"/>
    <x v="2"/>
    <x v="4"/>
    <n v="65000"/>
    <n v="65000"/>
    <n v="13"/>
    <n v="65000"/>
    <x v="0"/>
    <n v="65000"/>
    <n v="65000"/>
    <x v="24"/>
  </r>
  <r>
    <s v="S0081"/>
    <x v="78"/>
    <x v="2"/>
    <x v="2"/>
    <x v="1"/>
    <n v="65000"/>
    <n v="49000"/>
    <n v="10"/>
    <n v="49000"/>
    <x v="0"/>
    <n v="49000"/>
    <n v="245000"/>
    <x v="35"/>
  </r>
  <r>
    <s v="S0082"/>
    <x v="79"/>
    <x v="5"/>
    <x v="2"/>
    <x v="4"/>
    <n v="35000"/>
    <n v="55000"/>
    <n v="9"/>
    <n v="31850"/>
    <x v="1"/>
    <n v="31850"/>
    <n v="31850"/>
    <x v="41"/>
  </r>
  <r>
    <s v="S0083"/>
    <x v="80"/>
    <x v="3"/>
    <x v="0"/>
    <x v="1"/>
    <n v="65000"/>
    <n v="49000"/>
    <n v="11"/>
    <n v="49000"/>
    <x v="0"/>
    <n v="49000"/>
    <n v="245000"/>
    <x v="26"/>
  </r>
  <r>
    <s v="S0084"/>
    <x v="81"/>
    <x v="1"/>
    <x v="2"/>
    <x v="3"/>
    <n v="39000"/>
    <n v="65000"/>
    <n v="14"/>
    <n v="65000"/>
    <x v="0"/>
    <n v="65000"/>
    <n v="195000"/>
    <x v="42"/>
  </r>
  <r>
    <s v="S0085"/>
    <x v="82"/>
    <x v="7"/>
    <x v="0"/>
    <x v="0"/>
    <n v="29000"/>
    <n v="65000"/>
    <n v="12"/>
    <n v="65000"/>
    <x v="0"/>
    <n v="65000"/>
    <n v="260000"/>
    <x v="29"/>
  </r>
  <r>
    <s v="S0086"/>
    <x v="83"/>
    <x v="1"/>
    <x v="2"/>
    <x v="4"/>
    <n v="59000"/>
    <n v="59000"/>
    <n v="5"/>
    <n v="59000"/>
    <x v="0"/>
    <n v="59000"/>
    <n v="59000"/>
    <x v="19"/>
  </r>
  <r>
    <s v="S0087"/>
    <x v="84"/>
    <x v="6"/>
    <x v="2"/>
    <x v="1"/>
    <n v="49000"/>
    <n v="65000"/>
    <n v="7"/>
    <n v="45570"/>
    <x v="1"/>
    <n v="45570"/>
    <n v="227850"/>
    <x v="43"/>
  </r>
  <r>
    <s v="S0088"/>
    <x v="85"/>
    <x v="3"/>
    <x v="1"/>
    <x v="3"/>
    <n v="49000"/>
    <n v="35000"/>
    <n v="9"/>
    <n v="44590"/>
    <x v="1"/>
    <n v="44590"/>
    <n v="133770"/>
    <x v="10"/>
  </r>
  <r>
    <s v="S0089"/>
    <x v="86"/>
    <x v="9"/>
    <x v="2"/>
    <x v="0"/>
    <n v="45000"/>
    <n v="39000"/>
    <n v="14"/>
    <n v="38700"/>
    <x v="1"/>
    <n v="38700"/>
    <n v="154800"/>
    <x v="38"/>
  </r>
  <r>
    <s v="S0090"/>
    <x v="87"/>
    <x v="1"/>
    <x v="1"/>
    <x v="3"/>
    <n v="45000"/>
    <n v="45000"/>
    <n v="5"/>
    <n v="42750"/>
    <x v="1"/>
    <n v="42750"/>
    <n v="128250"/>
    <x v="7"/>
  </r>
  <r>
    <s v="S0091"/>
    <x v="88"/>
    <x v="5"/>
    <x v="0"/>
    <x v="3"/>
    <n v="69000"/>
    <n v="55000"/>
    <n v="7"/>
    <n v="64169.999999999993"/>
    <x v="1"/>
    <n v="64169.999999999993"/>
    <n v="192509.99999999997"/>
    <x v="34"/>
  </r>
  <r>
    <s v="S0092"/>
    <x v="89"/>
    <x v="7"/>
    <x v="2"/>
    <x v="3"/>
    <n v="59000"/>
    <n v="49000"/>
    <n v="15"/>
    <n v="50150"/>
    <x v="1"/>
    <n v="50150"/>
    <n v="150450"/>
    <x v="27"/>
  </r>
  <r>
    <s v="S0093"/>
    <x v="5"/>
    <x v="6"/>
    <x v="1"/>
    <x v="4"/>
    <n v="65000"/>
    <n v="39000"/>
    <n v="6"/>
    <n v="61100"/>
    <x v="1"/>
    <n v="61100"/>
    <n v="61100"/>
    <x v="38"/>
  </r>
  <r>
    <s v="S0094"/>
    <x v="90"/>
    <x v="1"/>
    <x v="0"/>
    <x v="3"/>
    <n v="29000"/>
    <n v="29000"/>
    <n v="5"/>
    <n v="27550"/>
    <x v="1"/>
    <n v="27550"/>
    <n v="82650"/>
    <x v="2"/>
  </r>
  <r>
    <s v="S0095"/>
    <x v="91"/>
    <x v="7"/>
    <x v="2"/>
    <x v="3"/>
    <n v="29000"/>
    <n v="65000"/>
    <n v="8"/>
    <n v="65000"/>
    <x v="0"/>
    <n v="65000"/>
    <n v="195000"/>
    <x v="9"/>
  </r>
  <r>
    <s v="S0096"/>
    <x v="92"/>
    <x v="8"/>
    <x v="2"/>
    <x v="3"/>
    <n v="69000"/>
    <n v="45000"/>
    <n v="12"/>
    <n v="60720"/>
    <x v="1"/>
    <n v="60720"/>
    <n v="182160"/>
    <x v="36"/>
  </r>
  <r>
    <s v="S0097"/>
    <x v="93"/>
    <x v="8"/>
    <x v="1"/>
    <x v="0"/>
    <n v="49000"/>
    <n v="49000"/>
    <n v="15"/>
    <n v="41650"/>
    <x v="1"/>
    <n v="41650"/>
    <n v="166600"/>
    <x v="34"/>
  </r>
  <r>
    <s v="S0098"/>
    <x v="94"/>
    <x v="4"/>
    <x v="0"/>
    <x v="1"/>
    <n v="59000"/>
    <n v="69000"/>
    <n v="8"/>
    <n v="54280"/>
    <x v="1"/>
    <n v="54280"/>
    <n v="271400"/>
    <x v="44"/>
  </r>
  <r>
    <s v="S0099"/>
    <x v="95"/>
    <x v="2"/>
    <x v="2"/>
    <x v="3"/>
    <n v="59000"/>
    <n v="55000"/>
    <n v="10"/>
    <n v="55000"/>
    <x v="0"/>
    <n v="55000"/>
    <n v="165000"/>
    <x v="24"/>
  </r>
  <r>
    <s v="S0100"/>
    <x v="96"/>
    <x v="1"/>
    <x v="0"/>
    <x v="4"/>
    <n v="59000"/>
    <n v="65000"/>
    <n v="11"/>
    <n v="65000"/>
    <x v="0"/>
    <n v="65000"/>
    <n v="65000"/>
    <x v="0"/>
  </r>
  <r>
    <s v="S0101"/>
    <x v="97"/>
    <x v="7"/>
    <x v="2"/>
    <x v="3"/>
    <n v="75000"/>
    <n v="59000"/>
    <n v="11"/>
    <n v="66750"/>
    <x v="1"/>
    <n v="66750"/>
    <n v="200250"/>
    <x v="13"/>
  </r>
  <r>
    <s v="S0102"/>
    <x v="98"/>
    <x v="0"/>
    <x v="2"/>
    <x v="0"/>
    <n v="65000"/>
    <n v="49000"/>
    <n v="8"/>
    <n v="59800"/>
    <x v="1"/>
    <n v="59800"/>
    <n v="239200"/>
    <x v="33"/>
  </r>
  <r>
    <s v="S0103"/>
    <x v="99"/>
    <x v="8"/>
    <x v="1"/>
    <x v="4"/>
    <n v="59000"/>
    <n v="45000"/>
    <n v="9"/>
    <n v="45000"/>
    <x v="0"/>
    <n v="45000"/>
    <n v="45000"/>
    <x v="21"/>
  </r>
  <r>
    <s v="S0104"/>
    <x v="100"/>
    <x v="1"/>
    <x v="2"/>
    <x v="2"/>
    <n v="65000"/>
    <n v="49000"/>
    <n v="12"/>
    <n v="49000"/>
    <x v="0"/>
    <n v="49000"/>
    <n v="98000"/>
    <x v="15"/>
  </r>
  <r>
    <s v="S0105"/>
    <x v="78"/>
    <x v="8"/>
    <x v="1"/>
    <x v="0"/>
    <n v="65000"/>
    <n v="39000"/>
    <n v="11"/>
    <n v="39000"/>
    <x v="0"/>
    <n v="39000"/>
    <n v="156000"/>
    <x v="5"/>
  </r>
  <r>
    <s v="S0106"/>
    <x v="59"/>
    <x v="8"/>
    <x v="2"/>
    <x v="3"/>
    <n v="45000"/>
    <n v="69000"/>
    <n v="7"/>
    <n v="69000"/>
    <x v="0"/>
    <n v="69000"/>
    <n v="207000"/>
    <x v="41"/>
  </r>
  <r>
    <s v="S0107"/>
    <x v="101"/>
    <x v="0"/>
    <x v="0"/>
    <x v="2"/>
    <n v="69000"/>
    <n v="49000"/>
    <n v="10"/>
    <n v="49000"/>
    <x v="0"/>
    <n v="49000"/>
    <n v="98000"/>
    <x v="33"/>
  </r>
  <r>
    <s v="S0108"/>
    <x v="102"/>
    <x v="7"/>
    <x v="1"/>
    <x v="2"/>
    <n v="45000"/>
    <n v="39000"/>
    <n v="11"/>
    <n v="39000"/>
    <x v="0"/>
    <n v="39000"/>
    <n v="78000"/>
    <x v="12"/>
  </r>
  <r>
    <s v="S0109"/>
    <x v="103"/>
    <x v="7"/>
    <x v="2"/>
    <x v="4"/>
    <n v="45000"/>
    <n v="75000"/>
    <n v="5"/>
    <n v="75000"/>
    <x v="0"/>
    <n v="75000"/>
    <n v="75000"/>
    <x v="4"/>
  </r>
  <r>
    <s v="S0110"/>
    <x v="104"/>
    <x v="0"/>
    <x v="1"/>
    <x v="0"/>
    <n v="69000"/>
    <n v="65000"/>
    <n v="12"/>
    <n v="65000"/>
    <x v="0"/>
    <n v="65000"/>
    <n v="260000"/>
    <x v="26"/>
  </r>
  <r>
    <s v="S0111"/>
    <x v="105"/>
    <x v="0"/>
    <x v="1"/>
    <x v="3"/>
    <n v="59000"/>
    <n v="35000"/>
    <n v="9"/>
    <n v="53690"/>
    <x v="1"/>
    <n v="53690"/>
    <n v="161070"/>
    <x v="30"/>
  </r>
  <r>
    <s v="S0112"/>
    <x v="106"/>
    <x v="0"/>
    <x v="2"/>
    <x v="0"/>
    <n v="35000"/>
    <n v="59000"/>
    <n v="11"/>
    <n v="59000"/>
    <x v="0"/>
    <n v="59000"/>
    <n v="236000"/>
    <x v="38"/>
  </r>
  <r>
    <s v="S0113"/>
    <x v="107"/>
    <x v="0"/>
    <x v="0"/>
    <x v="0"/>
    <n v="69000"/>
    <n v="39000"/>
    <n v="8"/>
    <n v="39000"/>
    <x v="0"/>
    <n v="39000"/>
    <n v="156000"/>
    <x v="24"/>
  </r>
  <r>
    <s v="S0114"/>
    <x v="11"/>
    <x v="8"/>
    <x v="2"/>
    <x v="3"/>
    <n v="49000"/>
    <n v="39000"/>
    <n v="7"/>
    <n v="45570"/>
    <x v="1"/>
    <n v="45570"/>
    <n v="136710"/>
    <x v="22"/>
  </r>
  <r>
    <s v="S0115"/>
    <x v="108"/>
    <x v="1"/>
    <x v="1"/>
    <x v="4"/>
    <n v="55000"/>
    <n v="35000"/>
    <n v="9"/>
    <n v="50050"/>
    <x v="1"/>
    <n v="50050"/>
    <n v="50050"/>
    <x v="32"/>
  </r>
  <r>
    <s v="S0116"/>
    <x v="109"/>
    <x v="1"/>
    <x v="2"/>
    <x v="1"/>
    <n v="49000"/>
    <n v="65000"/>
    <n v="6"/>
    <n v="46060"/>
    <x v="1"/>
    <n v="46060"/>
    <n v="230300"/>
    <x v="23"/>
  </r>
  <r>
    <s v="S0117"/>
    <x v="110"/>
    <x v="0"/>
    <x v="2"/>
    <x v="4"/>
    <n v="59000"/>
    <n v="65000"/>
    <n v="15"/>
    <n v="65000"/>
    <x v="0"/>
    <n v="65000"/>
    <n v="65000"/>
    <x v="0"/>
  </r>
  <r>
    <s v="S0118"/>
    <x v="111"/>
    <x v="2"/>
    <x v="0"/>
    <x v="0"/>
    <n v="69000"/>
    <n v="59000"/>
    <n v="13"/>
    <n v="59000"/>
    <x v="0"/>
    <n v="59000"/>
    <n v="236000"/>
    <x v="45"/>
  </r>
  <r>
    <s v="S0119"/>
    <x v="112"/>
    <x v="5"/>
    <x v="0"/>
    <x v="0"/>
    <n v="39000"/>
    <n v="49000"/>
    <n v="10"/>
    <n v="49000"/>
    <x v="0"/>
    <n v="49000"/>
    <n v="196000"/>
    <x v="38"/>
  </r>
  <r>
    <s v="S0120"/>
    <x v="113"/>
    <x v="0"/>
    <x v="2"/>
    <x v="1"/>
    <n v="35000"/>
    <n v="59000"/>
    <n v="7"/>
    <n v="32549.999999999996"/>
    <x v="1"/>
    <n v="32549.999999999996"/>
    <n v="162749.99999999997"/>
    <x v="4"/>
  </r>
  <r>
    <s v="S0121"/>
    <x v="114"/>
    <x v="3"/>
    <x v="0"/>
    <x v="2"/>
    <n v="69000"/>
    <n v="49000"/>
    <n v="10"/>
    <n v="49000"/>
    <x v="0"/>
    <n v="49000"/>
    <n v="98000"/>
    <x v="34"/>
  </r>
  <r>
    <s v="S0122"/>
    <x v="115"/>
    <x v="9"/>
    <x v="1"/>
    <x v="4"/>
    <n v="59000"/>
    <n v="49000"/>
    <n v="9"/>
    <n v="53690"/>
    <x v="1"/>
    <n v="53690"/>
    <n v="53690"/>
    <x v="4"/>
  </r>
  <r>
    <s v="S0123"/>
    <x v="116"/>
    <x v="6"/>
    <x v="0"/>
    <x v="4"/>
    <n v="69000"/>
    <n v="65000"/>
    <n v="9"/>
    <n v="62790"/>
    <x v="1"/>
    <n v="62790"/>
    <n v="62790"/>
    <x v="19"/>
  </r>
  <r>
    <s v="S0124"/>
    <x v="117"/>
    <x v="8"/>
    <x v="2"/>
    <x v="2"/>
    <n v="49000"/>
    <n v="55000"/>
    <n v="9"/>
    <n v="55000"/>
    <x v="0"/>
    <n v="55000"/>
    <n v="110000"/>
    <x v="46"/>
  </r>
  <r>
    <s v="S0125"/>
    <x v="118"/>
    <x v="9"/>
    <x v="1"/>
    <x v="3"/>
    <n v="49000"/>
    <n v="39000"/>
    <n v="14"/>
    <n v="39000"/>
    <x v="0"/>
    <n v="39000"/>
    <n v="117000"/>
    <x v="27"/>
  </r>
  <r>
    <s v="S0126"/>
    <x v="119"/>
    <x v="0"/>
    <x v="1"/>
    <x v="4"/>
    <n v="45000"/>
    <n v="39000"/>
    <n v="6"/>
    <n v="42300"/>
    <x v="1"/>
    <n v="42300"/>
    <n v="42300"/>
    <x v="18"/>
  </r>
  <r>
    <s v="S0127"/>
    <x v="120"/>
    <x v="1"/>
    <x v="1"/>
    <x v="1"/>
    <n v="39000"/>
    <n v="69000"/>
    <n v="13"/>
    <n v="33930"/>
    <x v="1"/>
    <n v="33930"/>
    <n v="169650"/>
    <x v="47"/>
  </r>
  <r>
    <s v="S0128"/>
    <x v="121"/>
    <x v="8"/>
    <x v="0"/>
    <x v="0"/>
    <n v="59000"/>
    <n v="59000"/>
    <n v="8"/>
    <n v="54280"/>
    <x v="1"/>
    <n v="54280"/>
    <n v="217120"/>
    <x v="21"/>
  </r>
  <r>
    <s v="S0129"/>
    <x v="122"/>
    <x v="2"/>
    <x v="2"/>
    <x v="4"/>
    <n v="35000"/>
    <n v="59000"/>
    <n v="6"/>
    <n v="59000"/>
    <x v="0"/>
    <n v="59000"/>
    <n v="59000"/>
    <x v="34"/>
  </r>
  <r>
    <s v="S0130"/>
    <x v="123"/>
    <x v="5"/>
    <x v="1"/>
    <x v="3"/>
    <n v="49000"/>
    <n v="49000"/>
    <n v="9"/>
    <n v="44590"/>
    <x v="1"/>
    <n v="44590"/>
    <n v="133770"/>
    <x v="35"/>
  </r>
  <r>
    <s v="S0131"/>
    <x v="124"/>
    <x v="2"/>
    <x v="1"/>
    <x v="3"/>
    <n v="69000"/>
    <n v="65000"/>
    <n v="12"/>
    <n v="60720"/>
    <x v="1"/>
    <n v="60720"/>
    <n v="182160"/>
    <x v="23"/>
  </r>
  <r>
    <s v="S0132"/>
    <x v="89"/>
    <x v="4"/>
    <x v="2"/>
    <x v="1"/>
    <n v="65000"/>
    <n v="49000"/>
    <n v="8"/>
    <n v="49000"/>
    <x v="0"/>
    <n v="49000"/>
    <n v="245000"/>
    <x v="24"/>
  </r>
  <r>
    <s v="S0133"/>
    <x v="125"/>
    <x v="2"/>
    <x v="2"/>
    <x v="0"/>
    <n v="59000"/>
    <n v="69000"/>
    <n v="8"/>
    <n v="69000"/>
    <x v="0"/>
    <n v="69000"/>
    <n v="276000"/>
    <x v="25"/>
  </r>
  <r>
    <s v="S0134"/>
    <x v="126"/>
    <x v="8"/>
    <x v="1"/>
    <x v="4"/>
    <n v="39000"/>
    <n v="59000"/>
    <n v="9"/>
    <n v="59000"/>
    <x v="0"/>
    <n v="59000"/>
    <n v="59000"/>
    <x v="37"/>
  </r>
  <r>
    <s v="S0135"/>
    <x v="73"/>
    <x v="3"/>
    <x v="1"/>
    <x v="1"/>
    <n v="35000"/>
    <n v="29000"/>
    <n v="5"/>
    <n v="33250"/>
    <x v="1"/>
    <n v="33250"/>
    <n v="166250"/>
    <x v="16"/>
  </r>
  <r>
    <s v="S0136"/>
    <x v="20"/>
    <x v="2"/>
    <x v="2"/>
    <x v="1"/>
    <n v="65000"/>
    <n v="39000"/>
    <n v="7"/>
    <n v="39000"/>
    <x v="0"/>
    <n v="39000"/>
    <n v="195000"/>
    <x v="37"/>
  </r>
  <r>
    <s v="S0137"/>
    <x v="127"/>
    <x v="8"/>
    <x v="1"/>
    <x v="2"/>
    <n v="65000"/>
    <n v="69000"/>
    <n v="6"/>
    <n v="69000"/>
    <x v="0"/>
    <n v="69000"/>
    <n v="138000"/>
    <x v="14"/>
  </r>
  <r>
    <s v="S0138"/>
    <x v="128"/>
    <x v="3"/>
    <x v="2"/>
    <x v="1"/>
    <n v="59000"/>
    <n v="65000"/>
    <n v="6"/>
    <n v="65000"/>
    <x v="0"/>
    <n v="65000"/>
    <n v="325000"/>
    <x v="17"/>
  </r>
  <r>
    <s v="S0139"/>
    <x v="129"/>
    <x v="5"/>
    <x v="1"/>
    <x v="0"/>
    <n v="35000"/>
    <n v="29000"/>
    <n v="10"/>
    <n v="29000"/>
    <x v="0"/>
    <n v="29000"/>
    <n v="116000"/>
    <x v="29"/>
  </r>
  <r>
    <s v="S0140"/>
    <x v="130"/>
    <x v="0"/>
    <x v="2"/>
    <x v="3"/>
    <n v="29000"/>
    <n v="65000"/>
    <n v="14"/>
    <n v="24940"/>
    <x v="1"/>
    <n v="24940"/>
    <n v="74820"/>
    <x v="4"/>
  </r>
  <r>
    <s v="S0141"/>
    <x v="131"/>
    <x v="5"/>
    <x v="0"/>
    <x v="4"/>
    <n v="59000"/>
    <n v="49000"/>
    <n v="14"/>
    <n v="49000"/>
    <x v="0"/>
    <n v="49000"/>
    <n v="49000"/>
    <x v="43"/>
  </r>
  <r>
    <s v="S0142"/>
    <x v="132"/>
    <x v="0"/>
    <x v="0"/>
    <x v="3"/>
    <n v="59000"/>
    <n v="65000"/>
    <n v="6"/>
    <n v="55460"/>
    <x v="1"/>
    <n v="55460"/>
    <n v="166380"/>
    <x v="33"/>
  </r>
  <r>
    <s v="S0143"/>
    <x v="126"/>
    <x v="8"/>
    <x v="1"/>
    <x v="0"/>
    <n v="49000"/>
    <n v="39000"/>
    <n v="8"/>
    <n v="39000"/>
    <x v="0"/>
    <n v="39000"/>
    <n v="156000"/>
    <x v="12"/>
  </r>
  <r>
    <s v="S0144"/>
    <x v="133"/>
    <x v="9"/>
    <x v="0"/>
    <x v="3"/>
    <n v="49000"/>
    <n v="65000"/>
    <n v="10"/>
    <n v="44100"/>
    <x v="1"/>
    <n v="44100"/>
    <n v="132300"/>
    <x v="7"/>
  </r>
  <r>
    <s v="S0145"/>
    <x v="134"/>
    <x v="4"/>
    <x v="0"/>
    <x v="0"/>
    <n v="49000"/>
    <n v="59000"/>
    <n v="11"/>
    <n v="43610"/>
    <x v="1"/>
    <n v="43610"/>
    <n v="174440"/>
    <x v="30"/>
  </r>
  <r>
    <s v="S0146"/>
    <x v="135"/>
    <x v="9"/>
    <x v="0"/>
    <x v="0"/>
    <n v="29000"/>
    <n v="49000"/>
    <n v="10"/>
    <n v="26100"/>
    <x v="1"/>
    <n v="26100"/>
    <n v="104400"/>
    <x v="39"/>
  </r>
  <r>
    <s v="S0147"/>
    <x v="136"/>
    <x v="8"/>
    <x v="0"/>
    <x v="4"/>
    <n v="69000"/>
    <n v="69000"/>
    <n v="12"/>
    <n v="60720"/>
    <x v="1"/>
    <n v="60720"/>
    <n v="60720"/>
    <x v="14"/>
  </r>
  <r>
    <s v="S0148"/>
    <x v="137"/>
    <x v="6"/>
    <x v="1"/>
    <x v="0"/>
    <n v="49000"/>
    <n v="55000"/>
    <n v="15"/>
    <n v="55000"/>
    <x v="0"/>
    <n v="55000"/>
    <n v="220000"/>
    <x v="48"/>
  </r>
  <r>
    <s v="S0149"/>
    <x v="138"/>
    <x v="8"/>
    <x v="2"/>
    <x v="3"/>
    <n v="35000"/>
    <n v="65000"/>
    <n v="5"/>
    <n v="33250"/>
    <x v="1"/>
    <n v="33250"/>
    <n v="99750"/>
    <x v="11"/>
  </r>
  <r>
    <s v="S0150"/>
    <x v="139"/>
    <x v="2"/>
    <x v="2"/>
    <x v="0"/>
    <n v="59000"/>
    <n v="65000"/>
    <n v="11"/>
    <n v="65000"/>
    <x v="0"/>
    <n v="65000"/>
    <n v="260000"/>
    <x v="9"/>
  </r>
  <r>
    <s v="S0151"/>
    <x v="140"/>
    <x v="5"/>
    <x v="1"/>
    <x v="4"/>
    <n v="59000"/>
    <n v="35000"/>
    <n v="14"/>
    <n v="50740"/>
    <x v="1"/>
    <n v="50740"/>
    <n v="50740"/>
    <x v="27"/>
  </r>
  <r>
    <s v="S0152"/>
    <x v="84"/>
    <x v="5"/>
    <x v="0"/>
    <x v="4"/>
    <n v="65000"/>
    <n v="59000"/>
    <n v="10"/>
    <n v="59000"/>
    <x v="0"/>
    <n v="59000"/>
    <n v="59000"/>
    <x v="24"/>
  </r>
  <r>
    <s v="S0153"/>
    <x v="141"/>
    <x v="9"/>
    <x v="0"/>
    <x v="2"/>
    <n v="59000"/>
    <n v="69000"/>
    <n v="11"/>
    <n v="69000"/>
    <x v="0"/>
    <n v="69000"/>
    <n v="138000"/>
    <x v="22"/>
  </r>
  <r>
    <s v="S0154"/>
    <x v="142"/>
    <x v="0"/>
    <x v="0"/>
    <x v="0"/>
    <n v="39000"/>
    <n v="49000"/>
    <n v="5"/>
    <n v="37050"/>
    <x v="1"/>
    <n v="37050"/>
    <n v="148200"/>
    <x v="23"/>
  </r>
  <r>
    <s v="S0155"/>
    <x v="143"/>
    <x v="1"/>
    <x v="1"/>
    <x v="4"/>
    <n v="59000"/>
    <n v="55000"/>
    <n v="14"/>
    <n v="50740"/>
    <x v="1"/>
    <n v="50740"/>
    <n v="50740"/>
    <x v="43"/>
  </r>
  <r>
    <s v="S0156"/>
    <x v="144"/>
    <x v="3"/>
    <x v="1"/>
    <x v="4"/>
    <n v="69000"/>
    <n v="59000"/>
    <n v="9"/>
    <n v="59000"/>
    <x v="0"/>
    <n v="59000"/>
    <n v="59000"/>
    <x v="19"/>
  </r>
  <r>
    <s v="S0157"/>
    <x v="145"/>
    <x v="2"/>
    <x v="2"/>
    <x v="0"/>
    <n v="75000"/>
    <n v="49000"/>
    <n v="12"/>
    <n v="49000"/>
    <x v="0"/>
    <n v="49000"/>
    <n v="196000"/>
    <x v="47"/>
  </r>
  <r>
    <s v="S0158"/>
    <x v="146"/>
    <x v="6"/>
    <x v="0"/>
    <x v="1"/>
    <n v="39000"/>
    <n v="59000"/>
    <n v="8"/>
    <n v="59000"/>
    <x v="0"/>
    <n v="59000"/>
    <n v="295000"/>
    <x v="0"/>
  </r>
  <r>
    <s v="S0159"/>
    <x v="147"/>
    <x v="3"/>
    <x v="1"/>
    <x v="0"/>
    <n v="49000"/>
    <n v="69000"/>
    <n v="10"/>
    <n v="44100"/>
    <x v="1"/>
    <n v="44100"/>
    <n v="176400"/>
    <x v="36"/>
  </r>
  <r>
    <s v="S0160"/>
    <x v="148"/>
    <x v="0"/>
    <x v="0"/>
    <x v="2"/>
    <n v="59000"/>
    <n v="69000"/>
    <n v="7"/>
    <n v="54869.999999999993"/>
    <x v="1"/>
    <n v="54869.999999999993"/>
    <n v="109739.99999999999"/>
    <x v="1"/>
  </r>
  <r>
    <s v="S0161"/>
    <x v="149"/>
    <x v="0"/>
    <x v="1"/>
    <x v="0"/>
    <n v="65000"/>
    <n v="59000"/>
    <n v="10"/>
    <n v="58500"/>
    <x v="1"/>
    <n v="58500"/>
    <n v="234000"/>
    <x v="16"/>
  </r>
  <r>
    <s v="S0162"/>
    <x v="150"/>
    <x v="6"/>
    <x v="0"/>
    <x v="4"/>
    <n v="55000"/>
    <n v="49000"/>
    <n v="5"/>
    <n v="52250"/>
    <x v="1"/>
    <n v="52250"/>
    <n v="52250"/>
    <x v="4"/>
  </r>
  <r>
    <s v="S0163"/>
    <x v="151"/>
    <x v="8"/>
    <x v="0"/>
    <x v="0"/>
    <n v="35000"/>
    <n v="49000"/>
    <n v="13"/>
    <n v="49000"/>
    <x v="0"/>
    <n v="49000"/>
    <n v="196000"/>
    <x v="49"/>
  </r>
  <r>
    <s v="S0164"/>
    <x v="152"/>
    <x v="4"/>
    <x v="2"/>
    <x v="3"/>
    <n v="69000"/>
    <n v="69000"/>
    <n v="13"/>
    <n v="60030"/>
    <x v="1"/>
    <n v="60030"/>
    <n v="180090"/>
    <x v="45"/>
  </r>
  <r>
    <s v="S0165"/>
    <x v="153"/>
    <x v="8"/>
    <x v="0"/>
    <x v="1"/>
    <n v="59000"/>
    <n v="49000"/>
    <n v="13"/>
    <n v="51330"/>
    <x v="1"/>
    <n v="51330"/>
    <n v="256650"/>
    <x v="30"/>
  </r>
  <r>
    <s v="S0166"/>
    <x v="154"/>
    <x v="9"/>
    <x v="2"/>
    <x v="0"/>
    <n v="65000"/>
    <n v="69000"/>
    <n v="12"/>
    <n v="69000"/>
    <x v="0"/>
    <n v="69000"/>
    <n v="276000"/>
    <x v="32"/>
  </r>
  <r>
    <s v="S0167"/>
    <x v="155"/>
    <x v="5"/>
    <x v="1"/>
    <x v="1"/>
    <n v="65000"/>
    <n v="59000"/>
    <n v="10"/>
    <n v="59000"/>
    <x v="0"/>
    <n v="59000"/>
    <n v="295000"/>
    <x v="31"/>
  </r>
  <r>
    <s v="S0168"/>
    <x v="156"/>
    <x v="5"/>
    <x v="1"/>
    <x v="0"/>
    <n v="59000"/>
    <n v="65000"/>
    <n v="6"/>
    <n v="65000"/>
    <x v="0"/>
    <n v="65000"/>
    <n v="260000"/>
    <x v="10"/>
  </r>
  <r>
    <s v="S0169"/>
    <x v="157"/>
    <x v="0"/>
    <x v="0"/>
    <x v="1"/>
    <n v="65000"/>
    <n v="49000"/>
    <n v="15"/>
    <n v="55250"/>
    <x v="1"/>
    <n v="55250"/>
    <n v="276250"/>
    <x v="33"/>
  </r>
  <r>
    <s v="S0170"/>
    <x v="158"/>
    <x v="3"/>
    <x v="2"/>
    <x v="0"/>
    <n v="65000"/>
    <n v="49000"/>
    <n v="6"/>
    <n v="61100"/>
    <x v="1"/>
    <n v="61100"/>
    <n v="244400"/>
    <x v="19"/>
  </r>
  <r>
    <s v="S0171"/>
    <x v="159"/>
    <x v="9"/>
    <x v="2"/>
    <x v="3"/>
    <n v="49000"/>
    <n v="45000"/>
    <n v="9"/>
    <n v="44590"/>
    <x v="1"/>
    <n v="44590"/>
    <n v="133770"/>
    <x v="6"/>
  </r>
  <r>
    <s v="S0172"/>
    <x v="160"/>
    <x v="8"/>
    <x v="2"/>
    <x v="3"/>
    <n v="75000"/>
    <n v="65000"/>
    <n v="10"/>
    <n v="67500"/>
    <x v="1"/>
    <n v="67500"/>
    <n v="202500"/>
    <x v="48"/>
  </r>
  <r>
    <s v="S0173"/>
    <x v="161"/>
    <x v="8"/>
    <x v="0"/>
    <x v="0"/>
    <n v="69000"/>
    <n v="69000"/>
    <n v="9"/>
    <n v="62790"/>
    <x v="1"/>
    <n v="62790"/>
    <n v="251160"/>
    <x v="49"/>
  </r>
  <r>
    <s v="S0174"/>
    <x v="6"/>
    <x v="5"/>
    <x v="1"/>
    <x v="4"/>
    <n v="59000"/>
    <n v="49000"/>
    <n v="10"/>
    <n v="49000"/>
    <x v="0"/>
    <n v="49000"/>
    <n v="49000"/>
    <x v="21"/>
  </r>
  <r>
    <s v="S0175"/>
    <x v="162"/>
    <x v="3"/>
    <x v="1"/>
    <x v="2"/>
    <n v="69000"/>
    <n v="59000"/>
    <n v="6"/>
    <n v="64859.999999999993"/>
    <x v="1"/>
    <n v="64859.999999999993"/>
    <n v="129719.99999999999"/>
    <x v="21"/>
  </r>
  <r>
    <s v="S0176"/>
    <x v="163"/>
    <x v="5"/>
    <x v="2"/>
    <x v="0"/>
    <n v="65000"/>
    <n v="59000"/>
    <n v="9"/>
    <n v="59000"/>
    <x v="0"/>
    <n v="59000"/>
    <n v="236000"/>
    <x v="12"/>
  </r>
  <r>
    <s v="S0177"/>
    <x v="164"/>
    <x v="5"/>
    <x v="1"/>
    <x v="4"/>
    <n v="65000"/>
    <n v="29000"/>
    <n v="14"/>
    <n v="55900"/>
    <x v="1"/>
    <n v="55900"/>
    <n v="55900"/>
    <x v="42"/>
  </r>
  <r>
    <s v="S0178"/>
    <x v="165"/>
    <x v="7"/>
    <x v="1"/>
    <x v="4"/>
    <n v="49000"/>
    <n v="49000"/>
    <n v="12"/>
    <n v="49000"/>
    <x v="0"/>
    <n v="49000"/>
    <n v="49000"/>
    <x v="32"/>
  </r>
  <r>
    <s v="S0179"/>
    <x v="166"/>
    <x v="1"/>
    <x v="2"/>
    <x v="3"/>
    <n v="39000"/>
    <n v="69000"/>
    <n v="6"/>
    <n v="36660"/>
    <x v="1"/>
    <n v="36660"/>
    <n v="109980"/>
    <x v="32"/>
  </r>
  <r>
    <s v="S0180"/>
    <x v="167"/>
    <x v="5"/>
    <x v="0"/>
    <x v="1"/>
    <n v="65000"/>
    <n v="39000"/>
    <n v="10"/>
    <n v="58500"/>
    <x v="1"/>
    <n v="58500"/>
    <n v="292500"/>
    <x v="36"/>
  </r>
  <r>
    <s v="S0181"/>
    <x v="168"/>
    <x v="4"/>
    <x v="0"/>
    <x v="4"/>
    <n v="69000"/>
    <n v="55000"/>
    <n v="10"/>
    <n v="55000"/>
    <x v="0"/>
    <n v="55000"/>
    <n v="55000"/>
    <x v="0"/>
  </r>
  <r>
    <s v="S0182"/>
    <x v="169"/>
    <x v="7"/>
    <x v="2"/>
    <x v="4"/>
    <n v="65000"/>
    <n v="45000"/>
    <n v="10"/>
    <n v="45000"/>
    <x v="0"/>
    <n v="45000"/>
    <n v="45000"/>
    <x v="14"/>
  </r>
  <r>
    <s v="S0183"/>
    <x v="81"/>
    <x v="5"/>
    <x v="1"/>
    <x v="1"/>
    <n v="49000"/>
    <n v="65000"/>
    <n v="12"/>
    <n v="65000"/>
    <x v="0"/>
    <n v="65000"/>
    <n v="325000"/>
    <x v="34"/>
  </r>
  <r>
    <s v="S0184"/>
    <x v="170"/>
    <x v="8"/>
    <x v="2"/>
    <x v="2"/>
    <n v="39000"/>
    <n v="29000"/>
    <n v="5"/>
    <n v="37050"/>
    <x v="1"/>
    <n v="37050"/>
    <n v="74100"/>
    <x v="13"/>
  </r>
  <r>
    <s v="S0185"/>
    <x v="171"/>
    <x v="0"/>
    <x v="1"/>
    <x v="4"/>
    <n v="39000"/>
    <n v="65000"/>
    <n v="8"/>
    <n v="35880"/>
    <x v="1"/>
    <n v="35880"/>
    <n v="35880"/>
    <x v="25"/>
  </r>
  <r>
    <s v="S0186"/>
    <x v="172"/>
    <x v="2"/>
    <x v="1"/>
    <x v="2"/>
    <n v="65000"/>
    <n v="59000"/>
    <n v="15"/>
    <n v="59000"/>
    <x v="0"/>
    <n v="59000"/>
    <n v="118000"/>
    <x v="2"/>
  </r>
  <r>
    <s v="S0187"/>
    <x v="173"/>
    <x v="2"/>
    <x v="2"/>
    <x v="1"/>
    <n v="39000"/>
    <n v="69000"/>
    <n v="14"/>
    <n v="69000"/>
    <x v="0"/>
    <n v="69000"/>
    <n v="345000"/>
    <x v="15"/>
  </r>
  <r>
    <s v="S0188"/>
    <x v="45"/>
    <x v="0"/>
    <x v="2"/>
    <x v="0"/>
    <n v="59000"/>
    <n v="65000"/>
    <n v="15"/>
    <n v="65000"/>
    <x v="0"/>
    <n v="65000"/>
    <n v="260000"/>
    <x v="21"/>
  </r>
  <r>
    <s v="S0189"/>
    <x v="174"/>
    <x v="5"/>
    <x v="1"/>
    <x v="0"/>
    <n v="69000"/>
    <n v="59000"/>
    <n v="9"/>
    <n v="62790"/>
    <x v="1"/>
    <n v="62790"/>
    <n v="251160"/>
    <x v="2"/>
  </r>
  <r>
    <s v="S0190"/>
    <x v="175"/>
    <x v="8"/>
    <x v="1"/>
    <x v="1"/>
    <n v="59000"/>
    <n v="65000"/>
    <n v="5"/>
    <n v="56050"/>
    <x v="1"/>
    <n v="56050"/>
    <n v="280250"/>
    <x v="14"/>
  </r>
  <r>
    <s v="S0191"/>
    <x v="176"/>
    <x v="1"/>
    <x v="2"/>
    <x v="1"/>
    <n v="65000"/>
    <n v="49000"/>
    <n v="5"/>
    <n v="49000"/>
    <x v="0"/>
    <n v="49000"/>
    <n v="245000"/>
    <x v="29"/>
  </r>
  <r>
    <s v="S0192"/>
    <x v="177"/>
    <x v="4"/>
    <x v="0"/>
    <x v="2"/>
    <n v="59000"/>
    <n v="65000"/>
    <n v="6"/>
    <n v="55460"/>
    <x v="1"/>
    <n v="55460"/>
    <n v="110920"/>
    <x v="11"/>
  </r>
  <r>
    <s v="S0193"/>
    <x v="178"/>
    <x v="4"/>
    <x v="0"/>
    <x v="0"/>
    <n v="35000"/>
    <n v="55000"/>
    <n v="15"/>
    <n v="29750"/>
    <x v="1"/>
    <n v="29750"/>
    <n v="119000"/>
    <x v="3"/>
  </r>
  <r>
    <s v="S0194"/>
    <x v="179"/>
    <x v="3"/>
    <x v="0"/>
    <x v="3"/>
    <n v="65000"/>
    <n v="69000"/>
    <n v="6"/>
    <n v="69000"/>
    <x v="0"/>
    <n v="69000"/>
    <n v="207000"/>
    <x v="27"/>
  </r>
  <r>
    <s v="S0195"/>
    <x v="11"/>
    <x v="4"/>
    <x v="1"/>
    <x v="3"/>
    <n v="59000"/>
    <n v="69000"/>
    <n v="15"/>
    <n v="50150"/>
    <x v="1"/>
    <n v="50150"/>
    <n v="150450"/>
    <x v="27"/>
  </r>
  <r>
    <s v="S0196"/>
    <x v="180"/>
    <x v="6"/>
    <x v="2"/>
    <x v="4"/>
    <n v="65000"/>
    <n v="65000"/>
    <n v="14"/>
    <n v="65000"/>
    <x v="0"/>
    <n v="65000"/>
    <n v="65000"/>
    <x v="28"/>
  </r>
  <r>
    <s v="S0197"/>
    <x v="181"/>
    <x v="9"/>
    <x v="2"/>
    <x v="4"/>
    <n v="65000"/>
    <n v="39000"/>
    <n v="6"/>
    <n v="61100"/>
    <x v="1"/>
    <n v="61100"/>
    <n v="61100"/>
    <x v="29"/>
  </r>
  <r>
    <s v="S0198"/>
    <x v="182"/>
    <x v="2"/>
    <x v="2"/>
    <x v="4"/>
    <n v="65000"/>
    <n v="65000"/>
    <n v="13"/>
    <n v="65000"/>
    <x v="0"/>
    <n v="65000"/>
    <n v="65000"/>
    <x v="27"/>
  </r>
  <r>
    <s v="S0199"/>
    <x v="183"/>
    <x v="4"/>
    <x v="2"/>
    <x v="2"/>
    <n v="55000"/>
    <n v="65000"/>
    <n v="10"/>
    <n v="49500"/>
    <x v="1"/>
    <n v="49500"/>
    <n v="99000"/>
    <x v="23"/>
  </r>
  <r>
    <s v="S0200"/>
    <x v="184"/>
    <x v="4"/>
    <x v="2"/>
    <x v="4"/>
    <n v="35000"/>
    <n v="49000"/>
    <n v="11"/>
    <n v="49000"/>
    <x v="0"/>
    <n v="49000"/>
    <n v="49000"/>
    <x v="8"/>
  </r>
  <r>
    <s v="S0201"/>
    <x v="122"/>
    <x v="1"/>
    <x v="2"/>
    <x v="3"/>
    <n v="49000"/>
    <n v="49000"/>
    <n v="14"/>
    <n v="49000"/>
    <x v="0"/>
    <n v="49000"/>
    <n v="147000"/>
    <x v="47"/>
  </r>
  <r>
    <s v="S0202"/>
    <x v="185"/>
    <x v="2"/>
    <x v="1"/>
    <x v="0"/>
    <n v="55000"/>
    <n v="49000"/>
    <n v="14"/>
    <n v="49000"/>
    <x v="0"/>
    <n v="49000"/>
    <n v="196000"/>
    <x v="33"/>
  </r>
  <r>
    <s v="S0203"/>
    <x v="186"/>
    <x v="0"/>
    <x v="1"/>
    <x v="1"/>
    <n v="69000"/>
    <n v="59000"/>
    <n v="7"/>
    <n v="59000"/>
    <x v="0"/>
    <n v="59000"/>
    <n v="295000"/>
    <x v="29"/>
  </r>
  <r>
    <s v="S0204"/>
    <x v="187"/>
    <x v="9"/>
    <x v="2"/>
    <x v="2"/>
    <n v="39000"/>
    <n v="65000"/>
    <n v="5"/>
    <n v="65000"/>
    <x v="0"/>
    <n v="65000"/>
    <n v="130000"/>
    <x v="42"/>
  </r>
  <r>
    <s v="S0205"/>
    <x v="188"/>
    <x v="6"/>
    <x v="0"/>
    <x v="0"/>
    <n v="65000"/>
    <n v="65000"/>
    <n v="14"/>
    <n v="65000"/>
    <x v="0"/>
    <n v="65000"/>
    <n v="260000"/>
    <x v="26"/>
  </r>
  <r>
    <s v="S0206"/>
    <x v="70"/>
    <x v="6"/>
    <x v="1"/>
    <x v="3"/>
    <n v="69000"/>
    <n v="35000"/>
    <n v="10"/>
    <n v="35000"/>
    <x v="0"/>
    <n v="35000"/>
    <n v="105000"/>
    <x v="15"/>
  </r>
  <r>
    <s v="S0207"/>
    <x v="129"/>
    <x v="2"/>
    <x v="2"/>
    <x v="2"/>
    <n v="65000"/>
    <n v="69000"/>
    <n v="10"/>
    <n v="69000"/>
    <x v="0"/>
    <n v="69000"/>
    <n v="138000"/>
    <x v="49"/>
  </r>
  <r>
    <s v="S0208"/>
    <x v="180"/>
    <x v="5"/>
    <x v="0"/>
    <x v="4"/>
    <n v="35000"/>
    <n v="39000"/>
    <n v="8"/>
    <n v="32200"/>
    <x v="1"/>
    <n v="32200"/>
    <n v="32200"/>
    <x v="48"/>
  </r>
  <r>
    <s v="S0209"/>
    <x v="189"/>
    <x v="4"/>
    <x v="0"/>
    <x v="2"/>
    <n v="49000"/>
    <n v="65000"/>
    <n v="6"/>
    <n v="46060"/>
    <x v="1"/>
    <n v="46060"/>
    <n v="92120"/>
    <x v="0"/>
  </r>
  <r>
    <s v="S0210"/>
    <x v="190"/>
    <x v="3"/>
    <x v="2"/>
    <x v="2"/>
    <n v="49000"/>
    <n v="55000"/>
    <n v="8"/>
    <n v="45080"/>
    <x v="1"/>
    <n v="45080"/>
    <n v="90160"/>
    <x v="30"/>
  </r>
  <r>
    <s v="S0211"/>
    <x v="191"/>
    <x v="2"/>
    <x v="1"/>
    <x v="3"/>
    <n v="65000"/>
    <n v="65000"/>
    <n v="10"/>
    <n v="58500"/>
    <x v="1"/>
    <n v="58500"/>
    <n v="175500"/>
    <x v="21"/>
  </r>
  <r>
    <s v="S0212"/>
    <x v="192"/>
    <x v="9"/>
    <x v="0"/>
    <x v="1"/>
    <n v="65000"/>
    <n v="65000"/>
    <n v="15"/>
    <n v="65000"/>
    <x v="0"/>
    <n v="65000"/>
    <n v="325000"/>
    <x v="44"/>
  </r>
  <r>
    <s v="S0213"/>
    <x v="193"/>
    <x v="6"/>
    <x v="0"/>
    <x v="3"/>
    <n v="55000"/>
    <n v="59000"/>
    <n v="6"/>
    <n v="51700"/>
    <x v="1"/>
    <n v="51700"/>
    <n v="155100"/>
    <x v="2"/>
  </r>
  <r>
    <s v="S0214"/>
    <x v="194"/>
    <x v="5"/>
    <x v="2"/>
    <x v="4"/>
    <n v="49000"/>
    <n v="55000"/>
    <n v="14"/>
    <n v="55000"/>
    <x v="0"/>
    <n v="55000"/>
    <n v="55000"/>
    <x v="31"/>
  </r>
  <r>
    <s v="S0215"/>
    <x v="140"/>
    <x v="0"/>
    <x v="0"/>
    <x v="2"/>
    <n v="35000"/>
    <n v="35000"/>
    <n v="14"/>
    <n v="30100"/>
    <x v="1"/>
    <n v="30100"/>
    <n v="60200"/>
    <x v="36"/>
  </r>
  <r>
    <s v="S0216"/>
    <x v="195"/>
    <x v="0"/>
    <x v="0"/>
    <x v="3"/>
    <n v="65000"/>
    <n v="59000"/>
    <n v="9"/>
    <n v="59150"/>
    <x v="1"/>
    <n v="59150"/>
    <n v="177450"/>
    <x v="24"/>
  </r>
  <r>
    <s v="S0217"/>
    <x v="196"/>
    <x v="1"/>
    <x v="2"/>
    <x v="0"/>
    <n v="65000"/>
    <n v="59000"/>
    <n v="10"/>
    <n v="59000"/>
    <x v="0"/>
    <n v="59000"/>
    <n v="236000"/>
    <x v="39"/>
  </r>
  <r>
    <s v="S0218"/>
    <x v="2"/>
    <x v="6"/>
    <x v="2"/>
    <x v="0"/>
    <n v="59000"/>
    <n v="65000"/>
    <n v="10"/>
    <n v="53100"/>
    <x v="1"/>
    <n v="53100"/>
    <n v="212400"/>
    <x v="15"/>
  </r>
  <r>
    <s v="S0219"/>
    <x v="197"/>
    <x v="4"/>
    <x v="0"/>
    <x v="2"/>
    <n v="49000"/>
    <n v="65000"/>
    <n v="15"/>
    <n v="41650"/>
    <x v="1"/>
    <n v="41650"/>
    <n v="83300"/>
    <x v="29"/>
  </r>
  <r>
    <s v="S0220"/>
    <x v="198"/>
    <x v="9"/>
    <x v="2"/>
    <x v="0"/>
    <n v="35000"/>
    <n v="69000"/>
    <n v="8"/>
    <n v="32200"/>
    <x v="1"/>
    <n v="32200"/>
    <n v="128800"/>
    <x v="14"/>
  </r>
  <r>
    <s v="S0221"/>
    <x v="199"/>
    <x v="7"/>
    <x v="1"/>
    <x v="1"/>
    <n v="59000"/>
    <n v="65000"/>
    <n v="7"/>
    <n v="54869.999999999993"/>
    <x v="1"/>
    <n v="54869.999999999993"/>
    <n v="274349.99999999994"/>
    <x v="27"/>
  </r>
  <r>
    <s v="S0222"/>
    <x v="200"/>
    <x v="5"/>
    <x v="0"/>
    <x v="2"/>
    <n v="69000"/>
    <n v="29000"/>
    <n v="13"/>
    <n v="29000"/>
    <x v="0"/>
    <n v="29000"/>
    <n v="58000"/>
    <x v="13"/>
  </r>
  <r>
    <s v="S0223"/>
    <x v="201"/>
    <x v="3"/>
    <x v="1"/>
    <x v="1"/>
    <n v="59000"/>
    <n v="35000"/>
    <n v="10"/>
    <n v="53100"/>
    <x v="1"/>
    <n v="53100"/>
    <n v="265500"/>
    <x v="35"/>
  </r>
  <r>
    <s v="S0224"/>
    <x v="202"/>
    <x v="4"/>
    <x v="0"/>
    <x v="0"/>
    <n v="75000"/>
    <n v="35000"/>
    <n v="15"/>
    <n v="35000"/>
    <x v="0"/>
    <n v="35000"/>
    <n v="140000"/>
    <x v="19"/>
  </r>
  <r>
    <s v="S0225"/>
    <x v="203"/>
    <x v="0"/>
    <x v="2"/>
    <x v="3"/>
    <n v="69000"/>
    <n v="59000"/>
    <n v="12"/>
    <n v="59000"/>
    <x v="0"/>
    <n v="59000"/>
    <n v="177000"/>
    <x v="12"/>
  </r>
  <r>
    <s v="S0226"/>
    <x v="204"/>
    <x v="5"/>
    <x v="1"/>
    <x v="1"/>
    <n v="59000"/>
    <n v="29000"/>
    <n v="5"/>
    <n v="56050"/>
    <x v="1"/>
    <n v="56050"/>
    <n v="280250"/>
    <x v="19"/>
  </r>
  <r>
    <s v="S0227"/>
    <x v="205"/>
    <x v="1"/>
    <x v="0"/>
    <x v="0"/>
    <n v="65000"/>
    <n v="65000"/>
    <n v="9"/>
    <n v="59150"/>
    <x v="1"/>
    <n v="59150"/>
    <n v="236600"/>
    <x v="28"/>
  </r>
  <r>
    <s v="S0228"/>
    <x v="206"/>
    <x v="5"/>
    <x v="1"/>
    <x v="4"/>
    <n v="65000"/>
    <n v="59000"/>
    <n v="11"/>
    <n v="57850"/>
    <x v="1"/>
    <n v="57850"/>
    <n v="57850"/>
    <x v="34"/>
  </r>
  <r>
    <s v="S0229"/>
    <x v="119"/>
    <x v="8"/>
    <x v="2"/>
    <x v="1"/>
    <n v="69000"/>
    <n v="69000"/>
    <n v="10"/>
    <n v="69000"/>
    <x v="0"/>
    <n v="69000"/>
    <n v="345000"/>
    <x v="44"/>
  </r>
  <r>
    <s v="S0230"/>
    <x v="207"/>
    <x v="1"/>
    <x v="2"/>
    <x v="3"/>
    <n v="49000"/>
    <n v="49000"/>
    <n v="6"/>
    <n v="49000"/>
    <x v="0"/>
    <n v="49000"/>
    <n v="147000"/>
    <x v="29"/>
  </r>
  <r>
    <s v="S0231"/>
    <x v="208"/>
    <x v="0"/>
    <x v="1"/>
    <x v="4"/>
    <n v="69000"/>
    <n v="55000"/>
    <n v="14"/>
    <n v="55000"/>
    <x v="0"/>
    <n v="55000"/>
    <n v="55000"/>
    <x v="44"/>
  </r>
  <r>
    <s v="S0232"/>
    <x v="209"/>
    <x v="8"/>
    <x v="0"/>
    <x v="1"/>
    <n v="69000"/>
    <n v="35000"/>
    <n v="10"/>
    <n v="35000"/>
    <x v="0"/>
    <n v="35000"/>
    <n v="175000"/>
    <x v="33"/>
  </r>
  <r>
    <s v="S0233"/>
    <x v="210"/>
    <x v="0"/>
    <x v="0"/>
    <x v="0"/>
    <n v="59000"/>
    <n v="35000"/>
    <n v="10"/>
    <n v="53100"/>
    <x v="1"/>
    <n v="53100"/>
    <n v="212400"/>
    <x v="47"/>
  </r>
  <r>
    <s v="S0234"/>
    <x v="211"/>
    <x v="1"/>
    <x v="0"/>
    <x v="1"/>
    <n v="59000"/>
    <n v="69000"/>
    <n v="8"/>
    <n v="54280"/>
    <x v="1"/>
    <n v="54280"/>
    <n v="271400"/>
    <x v="35"/>
  </r>
  <r>
    <s v="S0235"/>
    <x v="212"/>
    <x v="5"/>
    <x v="0"/>
    <x v="0"/>
    <n v="59000"/>
    <n v="29000"/>
    <n v="6"/>
    <n v="55460"/>
    <x v="1"/>
    <n v="55460"/>
    <n v="221840"/>
    <x v="30"/>
  </r>
  <r>
    <s v="S0236"/>
    <x v="213"/>
    <x v="9"/>
    <x v="0"/>
    <x v="2"/>
    <n v="65000"/>
    <n v="69000"/>
    <n v="13"/>
    <n v="56550"/>
    <x v="1"/>
    <n v="56550"/>
    <n v="113100"/>
    <x v="2"/>
  </r>
  <r>
    <s v="S0237"/>
    <x v="214"/>
    <x v="5"/>
    <x v="0"/>
    <x v="3"/>
    <n v="65000"/>
    <n v="59000"/>
    <n v="15"/>
    <n v="55250"/>
    <x v="1"/>
    <n v="55250"/>
    <n v="165750"/>
    <x v="13"/>
  </r>
  <r>
    <s v="S0238"/>
    <x v="215"/>
    <x v="4"/>
    <x v="2"/>
    <x v="0"/>
    <n v="39000"/>
    <n v="49000"/>
    <n v="9"/>
    <n v="35490"/>
    <x v="1"/>
    <n v="35490"/>
    <n v="141960"/>
    <x v="17"/>
  </r>
  <r>
    <s v="S0239"/>
    <x v="216"/>
    <x v="8"/>
    <x v="2"/>
    <x v="0"/>
    <n v="55000"/>
    <n v="35000"/>
    <n v="15"/>
    <n v="35000"/>
    <x v="0"/>
    <n v="35000"/>
    <n v="140000"/>
    <x v="38"/>
  </r>
  <r>
    <s v="S0240"/>
    <x v="62"/>
    <x v="9"/>
    <x v="0"/>
    <x v="2"/>
    <n v="49000"/>
    <n v="55000"/>
    <n v="13"/>
    <n v="55000"/>
    <x v="0"/>
    <n v="55000"/>
    <n v="110000"/>
    <x v="40"/>
  </r>
  <r>
    <s v="S0241"/>
    <x v="217"/>
    <x v="4"/>
    <x v="2"/>
    <x v="1"/>
    <n v="39000"/>
    <n v="69000"/>
    <n v="7"/>
    <n v="69000"/>
    <x v="0"/>
    <n v="69000"/>
    <n v="345000"/>
    <x v="3"/>
  </r>
  <r>
    <s v="S0242"/>
    <x v="218"/>
    <x v="3"/>
    <x v="2"/>
    <x v="1"/>
    <n v="65000"/>
    <n v="59000"/>
    <n v="8"/>
    <n v="59000"/>
    <x v="0"/>
    <n v="59000"/>
    <n v="295000"/>
    <x v="41"/>
  </r>
  <r>
    <s v="S0243"/>
    <x v="219"/>
    <x v="9"/>
    <x v="0"/>
    <x v="3"/>
    <n v="59000"/>
    <n v="65000"/>
    <n v="13"/>
    <n v="51330"/>
    <x v="1"/>
    <n v="51330"/>
    <n v="153990"/>
    <x v="46"/>
  </r>
  <r>
    <s v="S0244"/>
    <x v="220"/>
    <x v="0"/>
    <x v="1"/>
    <x v="1"/>
    <n v="75000"/>
    <n v="59000"/>
    <n v="14"/>
    <n v="59000"/>
    <x v="0"/>
    <n v="59000"/>
    <n v="295000"/>
    <x v="4"/>
  </r>
  <r>
    <s v="S0245"/>
    <x v="221"/>
    <x v="5"/>
    <x v="0"/>
    <x v="0"/>
    <n v="39000"/>
    <n v="69000"/>
    <n v="13"/>
    <n v="33930"/>
    <x v="1"/>
    <n v="33930"/>
    <n v="135720"/>
    <x v="22"/>
  </r>
  <r>
    <s v="S0246"/>
    <x v="222"/>
    <x v="1"/>
    <x v="0"/>
    <x v="0"/>
    <n v="69000"/>
    <n v="59000"/>
    <n v="11"/>
    <n v="59000"/>
    <x v="0"/>
    <n v="59000"/>
    <n v="236000"/>
    <x v="37"/>
  </r>
  <r>
    <s v="S0247"/>
    <x v="223"/>
    <x v="8"/>
    <x v="0"/>
    <x v="2"/>
    <n v="65000"/>
    <n v="65000"/>
    <n v="10"/>
    <n v="58500"/>
    <x v="1"/>
    <n v="58500"/>
    <n v="117000"/>
    <x v="34"/>
  </r>
  <r>
    <s v="S0248"/>
    <x v="224"/>
    <x v="4"/>
    <x v="1"/>
    <x v="1"/>
    <n v="35000"/>
    <n v="69000"/>
    <n v="8"/>
    <n v="69000"/>
    <x v="0"/>
    <n v="69000"/>
    <n v="345000"/>
    <x v="10"/>
  </r>
  <r>
    <s v="S0249"/>
    <x v="162"/>
    <x v="0"/>
    <x v="1"/>
    <x v="2"/>
    <n v="65000"/>
    <n v="59000"/>
    <n v="7"/>
    <n v="59000"/>
    <x v="0"/>
    <n v="59000"/>
    <n v="118000"/>
    <x v="36"/>
  </r>
  <r>
    <s v="S0250"/>
    <x v="225"/>
    <x v="4"/>
    <x v="2"/>
    <x v="4"/>
    <n v="49000"/>
    <n v="69000"/>
    <n v="5"/>
    <n v="46550"/>
    <x v="1"/>
    <n v="46550"/>
    <n v="46550"/>
    <x v="43"/>
  </r>
  <r>
    <s v="S0251"/>
    <x v="35"/>
    <x v="6"/>
    <x v="1"/>
    <x v="2"/>
    <n v="65000"/>
    <n v="65000"/>
    <n v="9"/>
    <n v="65000"/>
    <x v="0"/>
    <n v="65000"/>
    <n v="130000"/>
    <x v="42"/>
  </r>
  <r>
    <s v="S0252"/>
    <x v="226"/>
    <x v="8"/>
    <x v="2"/>
    <x v="0"/>
    <n v="39000"/>
    <n v="35000"/>
    <n v="10"/>
    <n v="35000"/>
    <x v="0"/>
    <n v="35000"/>
    <n v="140000"/>
    <x v="15"/>
  </r>
  <r>
    <s v="S0253"/>
    <x v="188"/>
    <x v="1"/>
    <x v="1"/>
    <x v="3"/>
    <n v="35000"/>
    <n v="55000"/>
    <n v="6"/>
    <n v="32900"/>
    <x v="1"/>
    <n v="32900"/>
    <n v="98700"/>
    <x v="47"/>
  </r>
  <r>
    <s v="S0254"/>
    <x v="227"/>
    <x v="6"/>
    <x v="2"/>
    <x v="1"/>
    <n v="55000"/>
    <n v="65000"/>
    <n v="10"/>
    <n v="49500"/>
    <x v="1"/>
    <n v="49500"/>
    <n v="247500"/>
    <x v="43"/>
  </r>
  <r>
    <s v="S0255"/>
    <x v="228"/>
    <x v="8"/>
    <x v="1"/>
    <x v="0"/>
    <n v="45000"/>
    <n v="35000"/>
    <n v="13"/>
    <n v="35000"/>
    <x v="0"/>
    <n v="35000"/>
    <n v="140000"/>
    <x v="26"/>
  </r>
  <r>
    <s v="S0256"/>
    <x v="229"/>
    <x v="5"/>
    <x v="2"/>
    <x v="3"/>
    <n v="65000"/>
    <n v="49000"/>
    <n v="12"/>
    <n v="49000"/>
    <x v="0"/>
    <n v="49000"/>
    <n v="147000"/>
    <x v="25"/>
  </r>
  <r>
    <s v="S0257"/>
    <x v="230"/>
    <x v="6"/>
    <x v="2"/>
    <x v="0"/>
    <n v="39000"/>
    <n v="65000"/>
    <n v="11"/>
    <n v="65000"/>
    <x v="0"/>
    <n v="65000"/>
    <n v="260000"/>
    <x v="35"/>
  </r>
  <r>
    <s v="S0258"/>
    <x v="231"/>
    <x v="5"/>
    <x v="1"/>
    <x v="2"/>
    <n v="55000"/>
    <n v="59000"/>
    <n v="15"/>
    <n v="59000"/>
    <x v="0"/>
    <n v="59000"/>
    <n v="118000"/>
    <x v="36"/>
  </r>
  <r>
    <s v="S0259"/>
    <x v="25"/>
    <x v="0"/>
    <x v="1"/>
    <x v="1"/>
    <n v="59000"/>
    <n v="75000"/>
    <n v="7"/>
    <n v="75000"/>
    <x v="0"/>
    <n v="75000"/>
    <n v="375000"/>
    <x v="21"/>
  </r>
  <r>
    <s v="S0260"/>
    <x v="95"/>
    <x v="4"/>
    <x v="0"/>
    <x v="0"/>
    <n v="65000"/>
    <n v="49000"/>
    <n v="9"/>
    <n v="49000"/>
    <x v="0"/>
    <n v="49000"/>
    <n v="196000"/>
    <x v="21"/>
  </r>
  <r>
    <s v="S0261"/>
    <x v="81"/>
    <x v="0"/>
    <x v="0"/>
    <x v="0"/>
    <n v="65000"/>
    <n v="69000"/>
    <n v="14"/>
    <n v="69000"/>
    <x v="0"/>
    <n v="69000"/>
    <n v="276000"/>
    <x v="34"/>
  </r>
  <r>
    <s v="S0262"/>
    <x v="232"/>
    <x v="4"/>
    <x v="1"/>
    <x v="4"/>
    <n v="75000"/>
    <n v="35000"/>
    <n v="7"/>
    <n v="69750"/>
    <x v="1"/>
    <n v="69750"/>
    <n v="69750"/>
    <x v="10"/>
  </r>
  <r>
    <s v="S0263"/>
    <x v="233"/>
    <x v="0"/>
    <x v="1"/>
    <x v="3"/>
    <n v="65000"/>
    <n v="65000"/>
    <n v="9"/>
    <n v="65000"/>
    <x v="0"/>
    <n v="65000"/>
    <n v="195000"/>
    <x v="27"/>
  </r>
  <r>
    <s v="S0264"/>
    <x v="172"/>
    <x v="3"/>
    <x v="2"/>
    <x v="1"/>
    <n v="65000"/>
    <n v="35000"/>
    <n v="7"/>
    <n v="35000"/>
    <x v="0"/>
    <n v="35000"/>
    <n v="175000"/>
    <x v="33"/>
  </r>
  <r>
    <s v="S0265"/>
    <x v="234"/>
    <x v="4"/>
    <x v="0"/>
    <x v="3"/>
    <n v="65000"/>
    <n v="39000"/>
    <n v="9"/>
    <n v="59150"/>
    <x v="1"/>
    <n v="59150"/>
    <n v="177450"/>
    <x v="37"/>
  </r>
  <r>
    <s v="S0266"/>
    <x v="54"/>
    <x v="2"/>
    <x v="2"/>
    <x v="3"/>
    <n v="49000"/>
    <n v="65000"/>
    <n v="5"/>
    <n v="46550"/>
    <x v="1"/>
    <n v="46550"/>
    <n v="139650"/>
    <x v="20"/>
  </r>
  <r>
    <s v="S0267"/>
    <x v="235"/>
    <x v="3"/>
    <x v="2"/>
    <x v="4"/>
    <n v="69000"/>
    <n v="65000"/>
    <n v="7"/>
    <n v="65000"/>
    <x v="0"/>
    <n v="65000"/>
    <n v="65000"/>
    <x v="35"/>
  </r>
  <r>
    <s v="S0268"/>
    <x v="70"/>
    <x v="0"/>
    <x v="2"/>
    <x v="3"/>
    <n v="59000"/>
    <n v="69000"/>
    <n v="10"/>
    <n v="53100"/>
    <x v="1"/>
    <n v="53100"/>
    <n v="159300"/>
    <x v="11"/>
  </r>
  <r>
    <s v="S0269"/>
    <x v="236"/>
    <x v="0"/>
    <x v="2"/>
    <x v="0"/>
    <n v="75000"/>
    <n v="65000"/>
    <n v="14"/>
    <n v="65000"/>
    <x v="0"/>
    <n v="65000"/>
    <n v="260000"/>
    <x v="46"/>
  </r>
  <r>
    <s v="S0270"/>
    <x v="237"/>
    <x v="9"/>
    <x v="1"/>
    <x v="4"/>
    <n v="59000"/>
    <n v="39000"/>
    <n v="8"/>
    <n v="54280"/>
    <x v="1"/>
    <n v="54280"/>
    <n v="54280"/>
    <x v="23"/>
  </r>
  <r>
    <s v="S0271"/>
    <x v="112"/>
    <x v="5"/>
    <x v="0"/>
    <x v="2"/>
    <n v="65000"/>
    <n v="35000"/>
    <n v="5"/>
    <n v="35000"/>
    <x v="0"/>
    <n v="35000"/>
    <n v="70000"/>
    <x v="44"/>
  </r>
  <r>
    <s v="S0272"/>
    <x v="238"/>
    <x v="5"/>
    <x v="0"/>
    <x v="2"/>
    <n v="75000"/>
    <n v="49000"/>
    <n v="14"/>
    <n v="64500"/>
    <x v="1"/>
    <n v="64500"/>
    <n v="129000"/>
    <x v="29"/>
  </r>
  <r>
    <s v="S0273"/>
    <x v="239"/>
    <x v="9"/>
    <x v="1"/>
    <x v="1"/>
    <n v="39000"/>
    <n v="59000"/>
    <n v="5"/>
    <n v="59000"/>
    <x v="0"/>
    <n v="59000"/>
    <n v="295000"/>
    <x v="1"/>
  </r>
  <r>
    <s v="S0274"/>
    <x v="240"/>
    <x v="4"/>
    <x v="2"/>
    <x v="1"/>
    <n v="49000"/>
    <n v="65000"/>
    <n v="9"/>
    <n v="65000"/>
    <x v="0"/>
    <n v="65000"/>
    <n v="325000"/>
    <x v="13"/>
  </r>
  <r>
    <s v="S0275"/>
    <x v="241"/>
    <x v="7"/>
    <x v="0"/>
    <x v="1"/>
    <n v="69000"/>
    <n v="39000"/>
    <n v="14"/>
    <n v="39000"/>
    <x v="0"/>
    <n v="39000"/>
    <n v="195000"/>
    <x v="38"/>
  </r>
  <r>
    <s v="S0276"/>
    <x v="242"/>
    <x v="2"/>
    <x v="0"/>
    <x v="3"/>
    <n v="49000"/>
    <n v="35000"/>
    <n v="9"/>
    <n v="35000"/>
    <x v="0"/>
    <n v="35000"/>
    <n v="105000"/>
    <x v="18"/>
  </r>
  <r>
    <s v="S0277"/>
    <x v="215"/>
    <x v="9"/>
    <x v="1"/>
    <x v="4"/>
    <n v="59000"/>
    <n v="65000"/>
    <n v="8"/>
    <n v="54280"/>
    <x v="1"/>
    <n v="54280"/>
    <n v="54280"/>
    <x v="1"/>
  </r>
  <r>
    <s v="S0278"/>
    <x v="243"/>
    <x v="7"/>
    <x v="0"/>
    <x v="0"/>
    <n v="69000"/>
    <n v="49000"/>
    <n v="14"/>
    <n v="49000"/>
    <x v="0"/>
    <n v="49000"/>
    <n v="196000"/>
    <x v="26"/>
  </r>
  <r>
    <s v="S0279"/>
    <x v="244"/>
    <x v="0"/>
    <x v="1"/>
    <x v="1"/>
    <n v="59000"/>
    <n v="49000"/>
    <n v="12"/>
    <n v="51920"/>
    <x v="1"/>
    <n v="51920"/>
    <n v="259600"/>
    <x v="1"/>
  </r>
  <r>
    <s v="S0280"/>
    <x v="245"/>
    <x v="7"/>
    <x v="1"/>
    <x v="0"/>
    <n v="65000"/>
    <n v="49000"/>
    <n v="6"/>
    <n v="49000"/>
    <x v="0"/>
    <n v="49000"/>
    <n v="196000"/>
    <x v="5"/>
  </r>
  <r>
    <s v="S0281"/>
    <x v="4"/>
    <x v="9"/>
    <x v="1"/>
    <x v="2"/>
    <n v="49000"/>
    <n v="65000"/>
    <n v="10"/>
    <n v="44100"/>
    <x v="1"/>
    <n v="44100"/>
    <n v="88200"/>
    <x v="32"/>
  </r>
  <r>
    <s v="S0282"/>
    <x v="246"/>
    <x v="6"/>
    <x v="2"/>
    <x v="1"/>
    <n v="49000"/>
    <n v="35000"/>
    <n v="5"/>
    <n v="35000"/>
    <x v="0"/>
    <n v="35000"/>
    <n v="175000"/>
    <x v="2"/>
  </r>
  <r>
    <s v="S0283"/>
    <x v="247"/>
    <x v="8"/>
    <x v="2"/>
    <x v="3"/>
    <n v="65000"/>
    <n v="59000"/>
    <n v="5"/>
    <n v="61750"/>
    <x v="1"/>
    <n v="61750"/>
    <n v="185250"/>
    <x v="40"/>
  </r>
  <r>
    <s v="S0284"/>
    <x v="248"/>
    <x v="9"/>
    <x v="1"/>
    <x v="1"/>
    <n v="39000"/>
    <n v="65000"/>
    <n v="10"/>
    <n v="65000"/>
    <x v="0"/>
    <n v="65000"/>
    <n v="325000"/>
    <x v="41"/>
  </r>
  <r>
    <s v="S0285"/>
    <x v="249"/>
    <x v="7"/>
    <x v="2"/>
    <x v="3"/>
    <n v="49000"/>
    <n v="65000"/>
    <n v="11"/>
    <n v="65000"/>
    <x v="0"/>
    <n v="65000"/>
    <n v="195000"/>
    <x v="8"/>
  </r>
  <r>
    <s v="S0286"/>
    <x v="10"/>
    <x v="6"/>
    <x v="0"/>
    <x v="1"/>
    <n v="49000"/>
    <n v="65000"/>
    <n v="8"/>
    <n v="45080"/>
    <x v="1"/>
    <n v="45080"/>
    <n v="225400"/>
    <x v="39"/>
  </r>
  <r>
    <s v="S0287"/>
    <x v="213"/>
    <x v="0"/>
    <x v="0"/>
    <x v="3"/>
    <n v="35000"/>
    <n v="49000"/>
    <n v="13"/>
    <n v="49000"/>
    <x v="0"/>
    <n v="49000"/>
    <n v="147000"/>
    <x v="34"/>
  </r>
  <r>
    <s v="S0288"/>
    <x v="250"/>
    <x v="3"/>
    <x v="2"/>
    <x v="2"/>
    <n v="55000"/>
    <n v="59000"/>
    <n v="5"/>
    <n v="59000"/>
    <x v="0"/>
    <n v="59000"/>
    <n v="118000"/>
    <x v="11"/>
  </r>
  <r>
    <s v="S0289"/>
    <x v="251"/>
    <x v="1"/>
    <x v="0"/>
    <x v="2"/>
    <n v="59000"/>
    <n v="75000"/>
    <n v="8"/>
    <n v="54280"/>
    <x v="1"/>
    <n v="54280"/>
    <n v="108560"/>
    <x v="33"/>
  </r>
  <r>
    <s v="S0290"/>
    <x v="252"/>
    <x v="0"/>
    <x v="0"/>
    <x v="4"/>
    <n v="65000"/>
    <n v="45000"/>
    <n v="12"/>
    <n v="57200"/>
    <x v="1"/>
    <n v="57200"/>
    <n v="57200"/>
    <x v="37"/>
  </r>
  <r>
    <s v="S0291"/>
    <x v="253"/>
    <x v="7"/>
    <x v="0"/>
    <x v="3"/>
    <n v="59000"/>
    <n v="59000"/>
    <n v="9"/>
    <n v="53690"/>
    <x v="1"/>
    <n v="53690"/>
    <n v="161070"/>
    <x v="27"/>
  </r>
  <r>
    <s v="S0292"/>
    <x v="254"/>
    <x v="5"/>
    <x v="1"/>
    <x v="2"/>
    <n v="59000"/>
    <n v="35000"/>
    <n v="10"/>
    <n v="53100"/>
    <x v="1"/>
    <n v="53100"/>
    <n v="106200"/>
    <x v="35"/>
  </r>
  <r>
    <s v="S0293"/>
    <x v="255"/>
    <x v="9"/>
    <x v="1"/>
    <x v="4"/>
    <n v="49000"/>
    <n v="39000"/>
    <n v="9"/>
    <n v="44590"/>
    <x v="1"/>
    <n v="44590"/>
    <n v="44590"/>
    <x v="13"/>
  </r>
  <r>
    <s v="S0294"/>
    <x v="256"/>
    <x v="9"/>
    <x v="1"/>
    <x v="4"/>
    <n v="65000"/>
    <n v="69000"/>
    <n v="9"/>
    <n v="59150"/>
    <x v="1"/>
    <n v="59150"/>
    <n v="59150"/>
    <x v="14"/>
  </r>
  <r>
    <s v="S0295"/>
    <x v="230"/>
    <x v="2"/>
    <x v="0"/>
    <x v="1"/>
    <n v="35000"/>
    <n v="65000"/>
    <n v="10"/>
    <n v="31500"/>
    <x v="1"/>
    <n v="31500"/>
    <n v="157500"/>
    <x v="37"/>
  </r>
  <r>
    <s v="S0296"/>
    <x v="257"/>
    <x v="9"/>
    <x v="0"/>
    <x v="2"/>
    <n v="59000"/>
    <n v="65000"/>
    <n v="6"/>
    <n v="65000"/>
    <x v="0"/>
    <n v="65000"/>
    <n v="130000"/>
    <x v="32"/>
  </r>
  <r>
    <s v="S0297"/>
    <x v="258"/>
    <x v="0"/>
    <x v="2"/>
    <x v="2"/>
    <n v="65000"/>
    <n v="65000"/>
    <n v="6"/>
    <n v="65000"/>
    <x v="0"/>
    <n v="65000"/>
    <n v="130000"/>
    <x v="34"/>
  </r>
  <r>
    <s v="S0298"/>
    <x v="259"/>
    <x v="6"/>
    <x v="1"/>
    <x v="0"/>
    <n v="59000"/>
    <n v="29000"/>
    <n v="7"/>
    <n v="29000"/>
    <x v="0"/>
    <n v="29000"/>
    <n v="116000"/>
    <x v="1"/>
  </r>
  <r>
    <s v="S0299"/>
    <x v="200"/>
    <x v="7"/>
    <x v="2"/>
    <x v="4"/>
    <n v="49000"/>
    <n v="49000"/>
    <n v="8"/>
    <n v="45080"/>
    <x v="1"/>
    <n v="45080"/>
    <n v="45080"/>
    <x v="16"/>
  </r>
  <r>
    <s v="S0300"/>
    <x v="260"/>
    <x v="5"/>
    <x v="1"/>
    <x v="0"/>
    <n v="55000"/>
    <n v="65000"/>
    <n v="15"/>
    <n v="46750"/>
    <x v="1"/>
    <n v="46750"/>
    <n v="187000"/>
    <x v="14"/>
  </r>
  <r>
    <s v="S0301"/>
    <x v="261"/>
    <x v="9"/>
    <x v="1"/>
    <x v="1"/>
    <n v="35000"/>
    <n v="59000"/>
    <n v="8"/>
    <n v="32200"/>
    <x v="1"/>
    <n v="32200"/>
    <n v="161000"/>
    <x v="0"/>
  </r>
  <r>
    <s v="S0302"/>
    <x v="213"/>
    <x v="3"/>
    <x v="1"/>
    <x v="0"/>
    <n v="69000"/>
    <n v="59000"/>
    <n v="14"/>
    <n v="59340"/>
    <x v="1"/>
    <n v="59340"/>
    <n v="237360"/>
    <x v="10"/>
  </r>
  <r>
    <s v="S0303"/>
    <x v="262"/>
    <x v="9"/>
    <x v="2"/>
    <x v="0"/>
    <n v="69000"/>
    <n v="49000"/>
    <n v="12"/>
    <n v="49000"/>
    <x v="0"/>
    <n v="49000"/>
    <n v="196000"/>
    <x v="18"/>
  </r>
  <r>
    <s v="S0304"/>
    <x v="263"/>
    <x v="4"/>
    <x v="2"/>
    <x v="1"/>
    <n v="65000"/>
    <n v="55000"/>
    <n v="5"/>
    <n v="55000"/>
    <x v="0"/>
    <n v="55000"/>
    <n v="275000"/>
    <x v="27"/>
  </r>
  <r>
    <s v="S0305"/>
    <x v="264"/>
    <x v="1"/>
    <x v="2"/>
    <x v="0"/>
    <n v="55000"/>
    <n v="49000"/>
    <n v="15"/>
    <n v="46750"/>
    <x v="1"/>
    <n v="46750"/>
    <n v="187000"/>
    <x v="22"/>
  </r>
  <r>
    <s v="S0306"/>
    <x v="265"/>
    <x v="9"/>
    <x v="2"/>
    <x v="3"/>
    <n v="65000"/>
    <n v="35000"/>
    <n v="13"/>
    <n v="35000"/>
    <x v="0"/>
    <n v="35000"/>
    <n v="105000"/>
    <x v="14"/>
  </r>
  <r>
    <s v="S0307"/>
    <x v="128"/>
    <x v="1"/>
    <x v="1"/>
    <x v="1"/>
    <n v="49000"/>
    <n v="65000"/>
    <n v="6"/>
    <n v="46060"/>
    <x v="1"/>
    <n v="46060"/>
    <n v="230300"/>
    <x v="21"/>
  </r>
  <r>
    <s v="S0308"/>
    <x v="266"/>
    <x v="4"/>
    <x v="2"/>
    <x v="1"/>
    <n v="49000"/>
    <n v="49000"/>
    <n v="7"/>
    <n v="45570"/>
    <x v="1"/>
    <n v="45570"/>
    <n v="227850"/>
    <x v="19"/>
  </r>
  <r>
    <s v="S0309"/>
    <x v="267"/>
    <x v="4"/>
    <x v="0"/>
    <x v="2"/>
    <n v="59000"/>
    <n v="65000"/>
    <n v="9"/>
    <n v="53690"/>
    <x v="1"/>
    <n v="53690"/>
    <n v="107380"/>
    <x v="47"/>
  </r>
  <r>
    <s v="S0310"/>
    <x v="268"/>
    <x v="2"/>
    <x v="2"/>
    <x v="4"/>
    <n v="29000"/>
    <n v="65000"/>
    <n v="8"/>
    <n v="26680"/>
    <x v="1"/>
    <n v="26680"/>
    <n v="26680"/>
    <x v="4"/>
  </r>
  <r>
    <s v="S0311"/>
    <x v="269"/>
    <x v="1"/>
    <x v="0"/>
    <x v="4"/>
    <n v="69000"/>
    <n v="65000"/>
    <n v="7"/>
    <n v="65000"/>
    <x v="0"/>
    <n v="65000"/>
    <n v="65000"/>
    <x v="39"/>
  </r>
  <r>
    <s v="S0312"/>
    <x v="270"/>
    <x v="7"/>
    <x v="0"/>
    <x v="0"/>
    <n v="65000"/>
    <n v="69000"/>
    <n v="6"/>
    <n v="61100"/>
    <x v="1"/>
    <n v="61100"/>
    <n v="244400"/>
    <x v="21"/>
  </r>
  <r>
    <s v="S0313"/>
    <x v="271"/>
    <x v="6"/>
    <x v="1"/>
    <x v="2"/>
    <n v="75000"/>
    <n v="49000"/>
    <n v="11"/>
    <n v="49000"/>
    <x v="0"/>
    <n v="49000"/>
    <n v="98000"/>
    <x v="33"/>
  </r>
  <r>
    <s v="S0314"/>
    <x v="272"/>
    <x v="5"/>
    <x v="0"/>
    <x v="2"/>
    <n v="65000"/>
    <n v="65000"/>
    <n v="13"/>
    <n v="65000"/>
    <x v="0"/>
    <n v="65000"/>
    <n v="130000"/>
    <x v="7"/>
  </r>
  <r>
    <s v="S0315"/>
    <x v="46"/>
    <x v="5"/>
    <x v="2"/>
    <x v="1"/>
    <n v="65000"/>
    <n v="75000"/>
    <n v="14"/>
    <n v="75000"/>
    <x v="0"/>
    <n v="75000"/>
    <n v="375000"/>
    <x v="20"/>
  </r>
  <r>
    <s v="S0316"/>
    <x v="212"/>
    <x v="0"/>
    <x v="1"/>
    <x v="4"/>
    <n v="59000"/>
    <n v="35000"/>
    <n v="5"/>
    <n v="35000"/>
    <x v="0"/>
    <n v="35000"/>
    <n v="35000"/>
    <x v="0"/>
  </r>
  <r>
    <s v="S0317"/>
    <x v="273"/>
    <x v="5"/>
    <x v="0"/>
    <x v="3"/>
    <n v="59000"/>
    <n v="65000"/>
    <n v="7"/>
    <n v="65000"/>
    <x v="0"/>
    <n v="65000"/>
    <n v="195000"/>
    <x v="45"/>
  </r>
  <r>
    <s v="S0318"/>
    <x v="274"/>
    <x v="2"/>
    <x v="2"/>
    <x v="3"/>
    <n v="49000"/>
    <n v="65000"/>
    <n v="5"/>
    <n v="65000"/>
    <x v="0"/>
    <n v="65000"/>
    <n v="195000"/>
    <x v="3"/>
  </r>
  <r>
    <s v="S0319"/>
    <x v="145"/>
    <x v="5"/>
    <x v="1"/>
    <x v="3"/>
    <n v="29000"/>
    <n v="59000"/>
    <n v="14"/>
    <n v="24940"/>
    <x v="1"/>
    <n v="24940"/>
    <n v="74820"/>
    <x v="23"/>
  </r>
  <r>
    <s v="S0320"/>
    <x v="257"/>
    <x v="4"/>
    <x v="0"/>
    <x v="0"/>
    <n v="35000"/>
    <n v="45000"/>
    <n v="9"/>
    <n v="31850"/>
    <x v="1"/>
    <n v="31850"/>
    <n v="127400"/>
    <x v="14"/>
  </r>
  <r>
    <s v="S0321"/>
    <x v="275"/>
    <x v="2"/>
    <x v="2"/>
    <x v="4"/>
    <n v="75000"/>
    <n v="69000"/>
    <n v="10"/>
    <n v="69000"/>
    <x v="0"/>
    <n v="69000"/>
    <n v="69000"/>
    <x v="31"/>
  </r>
  <r>
    <s v="S0322"/>
    <x v="276"/>
    <x v="8"/>
    <x v="1"/>
    <x v="4"/>
    <n v="55000"/>
    <n v="65000"/>
    <n v="6"/>
    <n v="65000"/>
    <x v="0"/>
    <n v="65000"/>
    <n v="65000"/>
    <x v="33"/>
  </r>
  <r>
    <s v="S0323"/>
    <x v="277"/>
    <x v="4"/>
    <x v="2"/>
    <x v="3"/>
    <n v="39000"/>
    <n v="49000"/>
    <n v="6"/>
    <n v="49000"/>
    <x v="0"/>
    <n v="49000"/>
    <n v="147000"/>
    <x v="13"/>
  </r>
  <r>
    <s v="S0324"/>
    <x v="278"/>
    <x v="5"/>
    <x v="1"/>
    <x v="4"/>
    <n v="39000"/>
    <n v="59000"/>
    <n v="5"/>
    <n v="37050"/>
    <x v="1"/>
    <n v="37050"/>
    <n v="37050"/>
    <x v="49"/>
  </r>
  <r>
    <s v="S0325"/>
    <x v="279"/>
    <x v="9"/>
    <x v="2"/>
    <x v="1"/>
    <n v="65000"/>
    <n v="65000"/>
    <n v="11"/>
    <n v="65000"/>
    <x v="0"/>
    <n v="65000"/>
    <n v="325000"/>
    <x v="31"/>
  </r>
  <r>
    <s v="S0326"/>
    <x v="280"/>
    <x v="0"/>
    <x v="1"/>
    <x v="1"/>
    <n v="49000"/>
    <n v="59000"/>
    <n v="8"/>
    <n v="59000"/>
    <x v="0"/>
    <n v="59000"/>
    <n v="295000"/>
    <x v="11"/>
  </r>
  <r>
    <s v="S0327"/>
    <x v="281"/>
    <x v="0"/>
    <x v="2"/>
    <x v="0"/>
    <n v="39000"/>
    <n v="49000"/>
    <n v="8"/>
    <n v="35880"/>
    <x v="1"/>
    <n v="35880"/>
    <n v="143520"/>
    <x v="25"/>
  </r>
  <r>
    <s v="S0328"/>
    <x v="282"/>
    <x v="6"/>
    <x v="0"/>
    <x v="1"/>
    <n v="59000"/>
    <n v="75000"/>
    <n v="5"/>
    <n v="75000"/>
    <x v="0"/>
    <n v="75000"/>
    <n v="375000"/>
    <x v="27"/>
  </r>
  <r>
    <s v="S0329"/>
    <x v="283"/>
    <x v="1"/>
    <x v="2"/>
    <x v="3"/>
    <n v="65000"/>
    <n v="49000"/>
    <n v="7"/>
    <n v="60449.999999999993"/>
    <x v="1"/>
    <n v="60449.999999999993"/>
    <n v="181349.99999999997"/>
    <x v="49"/>
  </r>
  <r>
    <s v="S0330"/>
    <x v="284"/>
    <x v="6"/>
    <x v="0"/>
    <x v="2"/>
    <n v="49000"/>
    <n v="45000"/>
    <n v="6"/>
    <n v="46060"/>
    <x v="1"/>
    <n v="46060"/>
    <n v="92120"/>
    <x v="23"/>
  </r>
  <r>
    <s v="S0331"/>
    <x v="285"/>
    <x v="6"/>
    <x v="1"/>
    <x v="1"/>
    <n v="65000"/>
    <n v="69000"/>
    <n v="12"/>
    <n v="69000"/>
    <x v="0"/>
    <n v="69000"/>
    <n v="345000"/>
    <x v="10"/>
  </r>
  <r>
    <s v="S0332"/>
    <x v="143"/>
    <x v="7"/>
    <x v="1"/>
    <x v="2"/>
    <n v="49000"/>
    <n v="69000"/>
    <n v="14"/>
    <n v="69000"/>
    <x v="0"/>
    <n v="69000"/>
    <n v="138000"/>
    <x v="11"/>
  </r>
  <r>
    <s v="S0333"/>
    <x v="286"/>
    <x v="4"/>
    <x v="0"/>
    <x v="3"/>
    <n v="59000"/>
    <n v="69000"/>
    <n v="9"/>
    <n v="53690"/>
    <x v="1"/>
    <n v="53690"/>
    <n v="161070"/>
    <x v="22"/>
  </r>
  <r>
    <s v="S0334"/>
    <x v="287"/>
    <x v="8"/>
    <x v="0"/>
    <x v="2"/>
    <n v="65000"/>
    <n v="45000"/>
    <n v="11"/>
    <n v="57850"/>
    <x v="1"/>
    <n v="57850"/>
    <n v="115700"/>
    <x v="31"/>
  </r>
  <r>
    <s v="S0335"/>
    <x v="288"/>
    <x v="3"/>
    <x v="0"/>
    <x v="3"/>
    <n v="29000"/>
    <n v="69000"/>
    <n v="9"/>
    <n v="69000"/>
    <x v="0"/>
    <n v="69000"/>
    <n v="207000"/>
    <x v="4"/>
  </r>
  <r>
    <s v="S0336"/>
    <x v="282"/>
    <x v="9"/>
    <x v="0"/>
    <x v="0"/>
    <n v="65000"/>
    <n v="59000"/>
    <n v="12"/>
    <n v="57200"/>
    <x v="1"/>
    <n v="57200"/>
    <n v="228800"/>
    <x v="11"/>
  </r>
  <r>
    <s v="S0337"/>
    <x v="289"/>
    <x v="2"/>
    <x v="2"/>
    <x v="0"/>
    <n v="69000"/>
    <n v="65000"/>
    <n v="11"/>
    <n v="65000"/>
    <x v="0"/>
    <n v="65000"/>
    <n v="260000"/>
    <x v="43"/>
  </r>
  <r>
    <s v="S0338"/>
    <x v="290"/>
    <x v="9"/>
    <x v="1"/>
    <x v="4"/>
    <n v="65000"/>
    <n v="65000"/>
    <n v="15"/>
    <n v="55250"/>
    <x v="1"/>
    <n v="55250"/>
    <n v="55250"/>
    <x v="1"/>
  </r>
  <r>
    <s v="S0339"/>
    <x v="291"/>
    <x v="8"/>
    <x v="0"/>
    <x v="4"/>
    <n v="65000"/>
    <n v="65000"/>
    <n v="5"/>
    <n v="61750"/>
    <x v="1"/>
    <n v="61750"/>
    <n v="61750"/>
    <x v="0"/>
  </r>
  <r>
    <s v="S0340"/>
    <x v="292"/>
    <x v="2"/>
    <x v="0"/>
    <x v="1"/>
    <n v="59000"/>
    <n v="35000"/>
    <n v="14"/>
    <n v="35000"/>
    <x v="0"/>
    <n v="35000"/>
    <n v="175000"/>
    <x v="40"/>
  </r>
  <r>
    <s v="S0341"/>
    <x v="293"/>
    <x v="2"/>
    <x v="2"/>
    <x v="0"/>
    <n v="59000"/>
    <n v="59000"/>
    <n v="12"/>
    <n v="59000"/>
    <x v="0"/>
    <n v="59000"/>
    <n v="236000"/>
    <x v="35"/>
  </r>
  <r>
    <s v="S0342"/>
    <x v="294"/>
    <x v="6"/>
    <x v="2"/>
    <x v="4"/>
    <n v="69000"/>
    <n v="59000"/>
    <n v="15"/>
    <n v="58650"/>
    <x v="1"/>
    <n v="58650"/>
    <n v="58650"/>
    <x v="28"/>
  </r>
  <r>
    <s v="S0343"/>
    <x v="295"/>
    <x v="6"/>
    <x v="2"/>
    <x v="1"/>
    <n v="49000"/>
    <n v="65000"/>
    <n v="14"/>
    <n v="42140"/>
    <x v="1"/>
    <n v="42140"/>
    <n v="210700"/>
    <x v="16"/>
  </r>
  <r>
    <s v="S0344"/>
    <x v="296"/>
    <x v="7"/>
    <x v="1"/>
    <x v="4"/>
    <n v="59000"/>
    <n v="29000"/>
    <n v="12"/>
    <n v="29000"/>
    <x v="0"/>
    <n v="29000"/>
    <n v="29000"/>
    <x v="28"/>
  </r>
  <r>
    <s v="S0345"/>
    <x v="297"/>
    <x v="3"/>
    <x v="0"/>
    <x v="0"/>
    <n v="39000"/>
    <n v="55000"/>
    <n v="14"/>
    <n v="55000"/>
    <x v="0"/>
    <n v="55000"/>
    <n v="220000"/>
    <x v="26"/>
  </r>
  <r>
    <s v="S0346"/>
    <x v="298"/>
    <x v="2"/>
    <x v="1"/>
    <x v="0"/>
    <n v="59000"/>
    <n v="69000"/>
    <n v="13"/>
    <n v="69000"/>
    <x v="0"/>
    <n v="69000"/>
    <n v="276000"/>
    <x v="17"/>
  </r>
  <r>
    <s v="S0347"/>
    <x v="299"/>
    <x v="8"/>
    <x v="1"/>
    <x v="2"/>
    <n v="39000"/>
    <n v="39000"/>
    <n v="9"/>
    <n v="39000"/>
    <x v="0"/>
    <n v="39000"/>
    <n v="78000"/>
    <x v="43"/>
  </r>
  <r>
    <s v="S0348"/>
    <x v="73"/>
    <x v="9"/>
    <x v="2"/>
    <x v="3"/>
    <n v="49000"/>
    <n v="69000"/>
    <n v="11"/>
    <n v="69000"/>
    <x v="0"/>
    <n v="69000"/>
    <n v="207000"/>
    <x v="29"/>
  </r>
  <r>
    <s v="S0349"/>
    <x v="300"/>
    <x v="4"/>
    <x v="1"/>
    <x v="0"/>
    <n v="69000"/>
    <n v="39000"/>
    <n v="9"/>
    <n v="62790"/>
    <x v="1"/>
    <n v="62790"/>
    <n v="251160"/>
    <x v="30"/>
  </r>
  <r>
    <s v="S0350"/>
    <x v="301"/>
    <x v="8"/>
    <x v="2"/>
    <x v="2"/>
    <n v="29000"/>
    <n v="65000"/>
    <n v="15"/>
    <n v="24650"/>
    <x v="1"/>
    <n v="24650"/>
    <n v="49300"/>
    <x v="42"/>
  </r>
  <r>
    <s v="S0351"/>
    <x v="302"/>
    <x v="2"/>
    <x v="2"/>
    <x v="3"/>
    <n v="75000"/>
    <n v="49000"/>
    <n v="15"/>
    <n v="63750"/>
    <x v="1"/>
    <n v="63750"/>
    <n v="191250"/>
    <x v="9"/>
  </r>
  <r>
    <s v="S0352"/>
    <x v="303"/>
    <x v="6"/>
    <x v="0"/>
    <x v="3"/>
    <n v="59000"/>
    <n v="69000"/>
    <n v="8"/>
    <n v="54280"/>
    <x v="1"/>
    <n v="54280"/>
    <n v="162840"/>
    <x v="32"/>
  </r>
  <r>
    <s v="S0353"/>
    <x v="304"/>
    <x v="5"/>
    <x v="2"/>
    <x v="3"/>
    <n v="59000"/>
    <n v="39000"/>
    <n v="6"/>
    <n v="39000"/>
    <x v="0"/>
    <n v="39000"/>
    <n v="117000"/>
    <x v="48"/>
  </r>
  <r>
    <s v="S0354"/>
    <x v="305"/>
    <x v="6"/>
    <x v="0"/>
    <x v="2"/>
    <n v="75000"/>
    <n v="75000"/>
    <n v="15"/>
    <n v="75000"/>
    <x v="0"/>
    <n v="75000"/>
    <n v="150000"/>
    <x v="30"/>
  </r>
  <r>
    <s v="S0355"/>
    <x v="306"/>
    <x v="7"/>
    <x v="2"/>
    <x v="1"/>
    <n v="29000"/>
    <n v="39000"/>
    <n v="12"/>
    <n v="39000"/>
    <x v="0"/>
    <n v="39000"/>
    <n v="195000"/>
    <x v="29"/>
  </r>
  <r>
    <s v="S0356"/>
    <x v="307"/>
    <x v="4"/>
    <x v="0"/>
    <x v="3"/>
    <n v="45000"/>
    <n v="59000"/>
    <n v="5"/>
    <n v="42750"/>
    <x v="1"/>
    <n v="42750"/>
    <n v="128250"/>
    <x v="18"/>
  </r>
  <r>
    <s v="S0357"/>
    <x v="308"/>
    <x v="9"/>
    <x v="0"/>
    <x v="0"/>
    <n v="65000"/>
    <n v="39000"/>
    <n v="11"/>
    <n v="57850"/>
    <x v="1"/>
    <n v="57850"/>
    <n v="231400"/>
    <x v="48"/>
  </r>
  <r>
    <s v="S0358"/>
    <x v="309"/>
    <x v="8"/>
    <x v="0"/>
    <x v="3"/>
    <n v="65000"/>
    <n v="65000"/>
    <n v="14"/>
    <n v="55900"/>
    <x v="1"/>
    <n v="55900"/>
    <n v="167700"/>
    <x v="7"/>
  </r>
  <r>
    <s v="S0359"/>
    <x v="310"/>
    <x v="5"/>
    <x v="2"/>
    <x v="1"/>
    <n v="65000"/>
    <n v="65000"/>
    <n v="14"/>
    <n v="55900"/>
    <x v="1"/>
    <n v="55900"/>
    <n v="279500"/>
    <x v="13"/>
  </r>
  <r>
    <s v="S0360"/>
    <x v="133"/>
    <x v="8"/>
    <x v="0"/>
    <x v="2"/>
    <n v="65000"/>
    <n v="59000"/>
    <n v="14"/>
    <n v="59000"/>
    <x v="0"/>
    <n v="59000"/>
    <n v="118000"/>
    <x v="35"/>
  </r>
  <r>
    <s v="S0361"/>
    <x v="311"/>
    <x v="8"/>
    <x v="0"/>
    <x v="3"/>
    <n v="59000"/>
    <n v="55000"/>
    <n v="6"/>
    <n v="55000"/>
    <x v="0"/>
    <n v="55000"/>
    <n v="165000"/>
    <x v="5"/>
  </r>
  <r>
    <s v="S0362"/>
    <x v="312"/>
    <x v="9"/>
    <x v="2"/>
    <x v="4"/>
    <n v="65000"/>
    <n v="49000"/>
    <n v="11"/>
    <n v="49000"/>
    <x v="0"/>
    <n v="49000"/>
    <n v="49000"/>
    <x v="15"/>
  </r>
  <r>
    <s v="S0363"/>
    <x v="279"/>
    <x v="4"/>
    <x v="2"/>
    <x v="3"/>
    <n v="75000"/>
    <n v="59000"/>
    <n v="7"/>
    <n v="69750"/>
    <x v="1"/>
    <n v="69750"/>
    <n v="209250"/>
    <x v="29"/>
  </r>
  <r>
    <s v="S0364"/>
    <x v="44"/>
    <x v="1"/>
    <x v="2"/>
    <x v="0"/>
    <n v="59000"/>
    <n v="65000"/>
    <n v="14"/>
    <n v="65000"/>
    <x v="0"/>
    <n v="65000"/>
    <n v="260000"/>
    <x v="41"/>
  </r>
  <r>
    <s v="S0365"/>
    <x v="313"/>
    <x v="8"/>
    <x v="1"/>
    <x v="1"/>
    <n v="65000"/>
    <n v="39000"/>
    <n v="12"/>
    <n v="57200"/>
    <x v="1"/>
    <n v="57200"/>
    <n v="286000"/>
    <x v="6"/>
  </r>
  <r>
    <s v="S0366"/>
    <x v="314"/>
    <x v="1"/>
    <x v="2"/>
    <x v="0"/>
    <n v="59000"/>
    <n v="49000"/>
    <n v="11"/>
    <n v="49000"/>
    <x v="0"/>
    <n v="49000"/>
    <n v="196000"/>
    <x v="39"/>
  </r>
  <r>
    <s v="S0367"/>
    <x v="315"/>
    <x v="8"/>
    <x v="1"/>
    <x v="0"/>
    <n v="49000"/>
    <n v="59000"/>
    <n v="9"/>
    <n v="44590"/>
    <x v="1"/>
    <n v="44590"/>
    <n v="178360"/>
    <x v="16"/>
  </r>
  <r>
    <s v="S0368"/>
    <x v="316"/>
    <x v="5"/>
    <x v="1"/>
    <x v="2"/>
    <n v="59000"/>
    <n v="49000"/>
    <n v="7"/>
    <n v="54869.999999999993"/>
    <x v="1"/>
    <n v="54869.999999999993"/>
    <n v="109739.99999999999"/>
    <x v="40"/>
  </r>
  <r>
    <s v="S0369"/>
    <x v="227"/>
    <x v="8"/>
    <x v="1"/>
    <x v="2"/>
    <n v="59000"/>
    <n v="59000"/>
    <n v="5"/>
    <n v="56050"/>
    <x v="1"/>
    <n v="56050"/>
    <n v="112100"/>
    <x v="9"/>
  </r>
  <r>
    <s v="S0370"/>
    <x v="317"/>
    <x v="7"/>
    <x v="1"/>
    <x v="1"/>
    <n v="59000"/>
    <n v="39000"/>
    <n v="15"/>
    <n v="39000"/>
    <x v="0"/>
    <n v="39000"/>
    <n v="195000"/>
    <x v="13"/>
  </r>
  <r>
    <s v="S0371"/>
    <x v="318"/>
    <x v="0"/>
    <x v="1"/>
    <x v="0"/>
    <n v="65000"/>
    <n v="49000"/>
    <n v="6"/>
    <n v="49000"/>
    <x v="0"/>
    <n v="49000"/>
    <n v="196000"/>
    <x v="21"/>
  </r>
  <r>
    <s v="S0372"/>
    <x v="319"/>
    <x v="2"/>
    <x v="1"/>
    <x v="4"/>
    <n v="65000"/>
    <n v="65000"/>
    <n v="6"/>
    <n v="65000"/>
    <x v="0"/>
    <n v="65000"/>
    <n v="65000"/>
    <x v="47"/>
  </r>
  <r>
    <s v="S0373"/>
    <x v="320"/>
    <x v="3"/>
    <x v="1"/>
    <x v="2"/>
    <n v="59000"/>
    <n v="55000"/>
    <n v="5"/>
    <n v="55000"/>
    <x v="0"/>
    <n v="55000"/>
    <n v="110000"/>
    <x v="28"/>
  </r>
  <r>
    <s v="S0374"/>
    <x v="321"/>
    <x v="9"/>
    <x v="2"/>
    <x v="4"/>
    <n v="65000"/>
    <n v="49000"/>
    <n v="7"/>
    <n v="49000"/>
    <x v="0"/>
    <n v="49000"/>
    <n v="49000"/>
    <x v="22"/>
  </r>
  <r>
    <s v="S0375"/>
    <x v="322"/>
    <x v="2"/>
    <x v="1"/>
    <x v="4"/>
    <n v="65000"/>
    <n v="59000"/>
    <n v="11"/>
    <n v="57850"/>
    <x v="1"/>
    <n v="57850"/>
    <n v="57850"/>
    <x v="29"/>
  </r>
  <r>
    <s v="S0376"/>
    <x v="305"/>
    <x v="4"/>
    <x v="2"/>
    <x v="3"/>
    <n v="55000"/>
    <n v="49000"/>
    <n v="8"/>
    <n v="49000"/>
    <x v="0"/>
    <n v="49000"/>
    <n v="147000"/>
    <x v="1"/>
  </r>
  <r>
    <s v="S0377"/>
    <x v="323"/>
    <x v="7"/>
    <x v="1"/>
    <x v="2"/>
    <n v="49000"/>
    <n v="35000"/>
    <n v="6"/>
    <n v="46060"/>
    <x v="1"/>
    <n v="46060"/>
    <n v="92120"/>
    <x v="45"/>
  </r>
  <r>
    <s v="S0378"/>
    <x v="324"/>
    <x v="8"/>
    <x v="0"/>
    <x v="4"/>
    <n v="49000"/>
    <n v="49000"/>
    <n v="11"/>
    <n v="43610"/>
    <x v="1"/>
    <n v="43610"/>
    <n v="43610"/>
    <x v="32"/>
  </r>
  <r>
    <s v="S0379"/>
    <x v="20"/>
    <x v="0"/>
    <x v="0"/>
    <x v="4"/>
    <n v="49000"/>
    <n v="69000"/>
    <n v="12"/>
    <n v="69000"/>
    <x v="0"/>
    <n v="69000"/>
    <n v="69000"/>
    <x v="41"/>
  </r>
  <r>
    <s v="S0380"/>
    <x v="325"/>
    <x v="8"/>
    <x v="1"/>
    <x v="1"/>
    <n v="49000"/>
    <n v="59000"/>
    <n v="9"/>
    <n v="59000"/>
    <x v="0"/>
    <n v="59000"/>
    <n v="295000"/>
    <x v="17"/>
  </r>
  <r>
    <s v="S0381"/>
    <x v="39"/>
    <x v="3"/>
    <x v="0"/>
    <x v="0"/>
    <n v="35000"/>
    <n v="55000"/>
    <n v="14"/>
    <n v="30100"/>
    <x v="1"/>
    <n v="30100"/>
    <n v="120400"/>
    <x v="1"/>
  </r>
  <r>
    <s v="S0382"/>
    <x v="326"/>
    <x v="1"/>
    <x v="1"/>
    <x v="3"/>
    <n v="49000"/>
    <n v="39000"/>
    <n v="12"/>
    <n v="43120"/>
    <x v="1"/>
    <n v="43120"/>
    <n v="129360"/>
    <x v="6"/>
  </r>
  <r>
    <s v="S0383"/>
    <x v="327"/>
    <x v="1"/>
    <x v="2"/>
    <x v="2"/>
    <n v="69000"/>
    <n v="35000"/>
    <n v="9"/>
    <n v="62790"/>
    <x v="1"/>
    <n v="62790"/>
    <n v="125580"/>
    <x v="18"/>
  </r>
  <r>
    <s v="S0384"/>
    <x v="265"/>
    <x v="0"/>
    <x v="2"/>
    <x v="3"/>
    <n v="65000"/>
    <n v="65000"/>
    <n v="11"/>
    <n v="65000"/>
    <x v="0"/>
    <n v="65000"/>
    <n v="195000"/>
    <x v="16"/>
  </r>
  <r>
    <s v="S0385"/>
    <x v="152"/>
    <x v="2"/>
    <x v="0"/>
    <x v="2"/>
    <n v="69000"/>
    <n v="65000"/>
    <n v="12"/>
    <n v="60720"/>
    <x v="1"/>
    <n v="60720"/>
    <n v="121440"/>
    <x v="24"/>
  </r>
  <r>
    <s v="S0386"/>
    <x v="328"/>
    <x v="9"/>
    <x v="2"/>
    <x v="1"/>
    <n v="35000"/>
    <n v="39000"/>
    <n v="13"/>
    <n v="39000"/>
    <x v="0"/>
    <n v="39000"/>
    <n v="195000"/>
    <x v="32"/>
  </r>
  <r>
    <s v="S0387"/>
    <x v="329"/>
    <x v="3"/>
    <x v="2"/>
    <x v="2"/>
    <n v="65000"/>
    <n v="49000"/>
    <n v="8"/>
    <n v="49000"/>
    <x v="0"/>
    <n v="49000"/>
    <n v="98000"/>
    <x v="4"/>
  </r>
  <r>
    <s v="S0388"/>
    <x v="231"/>
    <x v="1"/>
    <x v="0"/>
    <x v="4"/>
    <n v="69000"/>
    <n v="65000"/>
    <n v="11"/>
    <n v="61410"/>
    <x v="1"/>
    <n v="61410"/>
    <n v="61410"/>
    <x v="6"/>
  </r>
  <r>
    <s v="S0389"/>
    <x v="330"/>
    <x v="7"/>
    <x v="0"/>
    <x v="3"/>
    <n v="55000"/>
    <n v="65000"/>
    <n v="10"/>
    <n v="65000"/>
    <x v="0"/>
    <n v="65000"/>
    <n v="195000"/>
    <x v="34"/>
  </r>
  <r>
    <s v="S0390"/>
    <x v="331"/>
    <x v="1"/>
    <x v="0"/>
    <x v="2"/>
    <n v="55000"/>
    <n v="65000"/>
    <n v="11"/>
    <n v="48950"/>
    <x v="1"/>
    <n v="48950"/>
    <n v="97900"/>
    <x v="21"/>
  </r>
  <r>
    <s v="S0391"/>
    <x v="332"/>
    <x v="2"/>
    <x v="1"/>
    <x v="2"/>
    <n v="35000"/>
    <n v="59000"/>
    <n v="7"/>
    <n v="32549.999999999996"/>
    <x v="1"/>
    <n v="32549.999999999996"/>
    <n v="65099.999999999993"/>
    <x v="49"/>
  </r>
  <r>
    <s v="S0392"/>
    <x v="333"/>
    <x v="0"/>
    <x v="2"/>
    <x v="0"/>
    <n v="59000"/>
    <n v="69000"/>
    <n v="13"/>
    <n v="69000"/>
    <x v="0"/>
    <n v="69000"/>
    <n v="276000"/>
    <x v="7"/>
  </r>
  <r>
    <s v="S0393"/>
    <x v="334"/>
    <x v="4"/>
    <x v="1"/>
    <x v="2"/>
    <n v="55000"/>
    <n v="55000"/>
    <n v="11"/>
    <n v="48950"/>
    <x v="1"/>
    <n v="48950"/>
    <n v="97900"/>
    <x v="10"/>
  </r>
  <r>
    <s v="S0394"/>
    <x v="262"/>
    <x v="6"/>
    <x v="2"/>
    <x v="4"/>
    <n v="59000"/>
    <n v="49000"/>
    <n v="12"/>
    <n v="51920"/>
    <x v="1"/>
    <n v="51920"/>
    <n v="51920"/>
    <x v="45"/>
  </r>
  <r>
    <s v="S0395"/>
    <x v="335"/>
    <x v="9"/>
    <x v="0"/>
    <x v="3"/>
    <n v="59000"/>
    <n v="59000"/>
    <n v="10"/>
    <n v="59000"/>
    <x v="0"/>
    <n v="59000"/>
    <n v="177000"/>
    <x v="20"/>
  </r>
  <r>
    <s v="S0396"/>
    <x v="336"/>
    <x v="9"/>
    <x v="0"/>
    <x v="2"/>
    <n v="35000"/>
    <n v="49000"/>
    <n v="9"/>
    <n v="31850"/>
    <x v="1"/>
    <n v="31850"/>
    <n v="63700"/>
    <x v="41"/>
  </r>
  <r>
    <s v="S0397"/>
    <x v="337"/>
    <x v="0"/>
    <x v="0"/>
    <x v="1"/>
    <n v="65000"/>
    <n v="69000"/>
    <n v="6"/>
    <n v="61100"/>
    <x v="1"/>
    <n v="61100"/>
    <n v="305500"/>
    <x v="1"/>
  </r>
  <r>
    <s v="S0398"/>
    <x v="15"/>
    <x v="4"/>
    <x v="0"/>
    <x v="0"/>
    <n v="65000"/>
    <n v="49000"/>
    <n v="15"/>
    <n v="49000"/>
    <x v="0"/>
    <n v="49000"/>
    <n v="196000"/>
    <x v="1"/>
  </r>
  <r>
    <s v="S0399"/>
    <x v="338"/>
    <x v="7"/>
    <x v="2"/>
    <x v="3"/>
    <n v="49000"/>
    <n v="49000"/>
    <n v="12"/>
    <n v="43120"/>
    <x v="1"/>
    <n v="43120"/>
    <n v="129360"/>
    <x v="10"/>
  </r>
  <r>
    <s v="S0400"/>
    <x v="339"/>
    <x v="8"/>
    <x v="0"/>
    <x v="4"/>
    <n v="65000"/>
    <n v="49000"/>
    <n v="8"/>
    <n v="59800"/>
    <x v="1"/>
    <n v="59800"/>
    <n v="59800"/>
    <x v="29"/>
  </r>
  <r>
    <s v="S0401"/>
    <x v="174"/>
    <x v="7"/>
    <x v="1"/>
    <x v="3"/>
    <n v="49000"/>
    <n v="65000"/>
    <n v="5"/>
    <n v="46550"/>
    <x v="1"/>
    <n v="46550"/>
    <n v="139650"/>
    <x v="24"/>
  </r>
  <r>
    <s v="S0402"/>
    <x v="340"/>
    <x v="6"/>
    <x v="1"/>
    <x v="1"/>
    <n v="59000"/>
    <n v="69000"/>
    <n v="10"/>
    <n v="69000"/>
    <x v="0"/>
    <n v="69000"/>
    <n v="345000"/>
    <x v="36"/>
  </r>
  <r>
    <s v="S0403"/>
    <x v="341"/>
    <x v="0"/>
    <x v="1"/>
    <x v="1"/>
    <n v="49000"/>
    <n v="55000"/>
    <n v="15"/>
    <n v="55000"/>
    <x v="0"/>
    <n v="55000"/>
    <n v="275000"/>
    <x v="27"/>
  </r>
  <r>
    <s v="S0404"/>
    <x v="342"/>
    <x v="4"/>
    <x v="0"/>
    <x v="2"/>
    <n v="59000"/>
    <n v="59000"/>
    <n v="8"/>
    <n v="59000"/>
    <x v="0"/>
    <n v="59000"/>
    <n v="118000"/>
    <x v="12"/>
  </r>
  <r>
    <s v="S0405"/>
    <x v="343"/>
    <x v="7"/>
    <x v="0"/>
    <x v="2"/>
    <n v="59000"/>
    <n v="55000"/>
    <n v="12"/>
    <n v="51920"/>
    <x v="1"/>
    <n v="51920"/>
    <n v="103840"/>
    <x v="14"/>
  </r>
  <r>
    <s v="S0406"/>
    <x v="61"/>
    <x v="4"/>
    <x v="0"/>
    <x v="3"/>
    <n v="35000"/>
    <n v="65000"/>
    <n v="12"/>
    <n v="30800"/>
    <x v="1"/>
    <n v="30800"/>
    <n v="92400"/>
    <x v="38"/>
  </r>
  <r>
    <s v="S0407"/>
    <x v="344"/>
    <x v="3"/>
    <x v="1"/>
    <x v="4"/>
    <n v="59000"/>
    <n v="59000"/>
    <n v="11"/>
    <n v="52510"/>
    <x v="1"/>
    <n v="52510"/>
    <n v="52510"/>
    <x v="9"/>
  </r>
  <r>
    <s v="S0408"/>
    <x v="345"/>
    <x v="4"/>
    <x v="1"/>
    <x v="3"/>
    <n v="49000"/>
    <n v="35000"/>
    <n v="13"/>
    <n v="42630"/>
    <x v="1"/>
    <n v="42630"/>
    <n v="127890"/>
    <x v="44"/>
  </r>
  <r>
    <s v="S0409"/>
    <x v="248"/>
    <x v="3"/>
    <x v="0"/>
    <x v="0"/>
    <n v="49000"/>
    <n v="55000"/>
    <n v="7"/>
    <n v="55000"/>
    <x v="0"/>
    <n v="55000"/>
    <n v="220000"/>
    <x v="37"/>
  </r>
  <r>
    <s v="S0410"/>
    <x v="219"/>
    <x v="6"/>
    <x v="2"/>
    <x v="1"/>
    <n v="59000"/>
    <n v="49000"/>
    <n v="6"/>
    <n v="55460"/>
    <x v="1"/>
    <n v="55460"/>
    <n v="277300"/>
    <x v="10"/>
  </r>
  <r>
    <s v="S0411"/>
    <x v="346"/>
    <x v="4"/>
    <x v="0"/>
    <x v="4"/>
    <n v="69000"/>
    <n v="39000"/>
    <n v="13"/>
    <n v="39000"/>
    <x v="0"/>
    <n v="39000"/>
    <n v="39000"/>
    <x v="28"/>
  </r>
  <r>
    <s v="S0412"/>
    <x v="347"/>
    <x v="0"/>
    <x v="1"/>
    <x v="3"/>
    <n v="35000"/>
    <n v="59000"/>
    <n v="11"/>
    <n v="31150"/>
    <x v="1"/>
    <n v="31150"/>
    <n v="93450"/>
    <x v="31"/>
  </r>
  <r>
    <s v="S0413"/>
    <x v="348"/>
    <x v="3"/>
    <x v="1"/>
    <x v="3"/>
    <n v="69000"/>
    <n v="59000"/>
    <n v="9"/>
    <n v="62790"/>
    <x v="1"/>
    <n v="62790"/>
    <n v="188370"/>
    <x v="1"/>
  </r>
  <r>
    <s v="S0414"/>
    <x v="349"/>
    <x v="0"/>
    <x v="2"/>
    <x v="2"/>
    <n v="59000"/>
    <n v="59000"/>
    <n v="11"/>
    <n v="52510"/>
    <x v="1"/>
    <n v="52510"/>
    <n v="105020"/>
    <x v="43"/>
  </r>
  <r>
    <s v="S0415"/>
    <x v="350"/>
    <x v="4"/>
    <x v="1"/>
    <x v="4"/>
    <n v="65000"/>
    <n v="65000"/>
    <n v="8"/>
    <n v="65000"/>
    <x v="0"/>
    <n v="65000"/>
    <n v="65000"/>
    <x v="35"/>
  </r>
  <r>
    <s v="S0416"/>
    <x v="158"/>
    <x v="0"/>
    <x v="0"/>
    <x v="3"/>
    <n v="35000"/>
    <n v="49000"/>
    <n v="8"/>
    <n v="32200"/>
    <x v="1"/>
    <n v="32200"/>
    <n v="96600"/>
    <x v="45"/>
  </r>
  <r>
    <s v="S0417"/>
    <x v="351"/>
    <x v="4"/>
    <x v="2"/>
    <x v="1"/>
    <n v="65000"/>
    <n v="69000"/>
    <n v="11"/>
    <n v="57850"/>
    <x v="1"/>
    <n v="57850"/>
    <n v="289250"/>
    <x v="32"/>
  </r>
  <r>
    <s v="S0418"/>
    <x v="269"/>
    <x v="4"/>
    <x v="2"/>
    <x v="1"/>
    <n v="29000"/>
    <n v="65000"/>
    <n v="8"/>
    <n v="26680"/>
    <x v="1"/>
    <n v="26680"/>
    <n v="133400"/>
    <x v="21"/>
  </r>
  <r>
    <s v="S0419"/>
    <x v="87"/>
    <x v="0"/>
    <x v="2"/>
    <x v="0"/>
    <n v="35000"/>
    <n v="39000"/>
    <n v="8"/>
    <n v="32200"/>
    <x v="1"/>
    <n v="32200"/>
    <n v="128800"/>
    <x v="29"/>
  </r>
  <r>
    <s v="S0420"/>
    <x v="352"/>
    <x v="6"/>
    <x v="0"/>
    <x v="0"/>
    <n v="59000"/>
    <n v="65000"/>
    <n v="6"/>
    <n v="65000"/>
    <x v="0"/>
    <n v="65000"/>
    <n v="260000"/>
    <x v="16"/>
  </r>
  <r>
    <s v="S0421"/>
    <x v="353"/>
    <x v="2"/>
    <x v="0"/>
    <x v="1"/>
    <n v="55000"/>
    <n v="49000"/>
    <n v="7"/>
    <n v="49000"/>
    <x v="0"/>
    <n v="49000"/>
    <n v="245000"/>
    <x v="11"/>
  </r>
  <r>
    <s v="S0422"/>
    <x v="354"/>
    <x v="8"/>
    <x v="0"/>
    <x v="4"/>
    <n v="59000"/>
    <n v="75000"/>
    <n v="14"/>
    <n v="75000"/>
    <x v="0"/>
    <n v="75000"/>
    <n v="75000"/>
    <x v="46"/>
  </r>
  <r>
    <s v="S0423"/>
    <x v="355"/>
    <x v="2"/>
    <x v="0"/>
    <x v="3"/>
    <n v="59000"/>
    <n v="35000"/>
    <n v="7"/>
    <n v="35000"/>
    <x v="0"/>
    <n v="35000"/>
    <n v="105000"/>
    <x v="4"/>
  </r>
  <r>
    <s v="S0424"/>
    <x v="12"/>
    <x v="7"/>
    <x v="1"/>
    <x v="3"/>
    <n v="49000"/>
    <n v="49000"/>
    <n v="14"/>
    <n v="42140"/>
    <x v="1"/>
    <n v="42140"/>
    <n v="126420"/>
    <x v="3"/>
  </r>
  <r>
    <s v="S0425"/>
    <x v="172"/>
    <x v="9"/>
    <x v="2"/>
    <x v="2"/>
    <n v="55000"/>
    <n v="69000"/>
    <n v="12"/>
    <n v="69000"/>
    <x v="0"/>
    <n v="69000"/>
    <n v="138000"/>
    <x v="4"/>
  </r>
  <r>
    <s v="S0426"/>
    <x v="176"/>
    <x v="4"/>
    <x v="0"/>
    <x v="3"/>
    <n v="59000"/>
    <n v="59000"/>
    <n v="5"/>
    <n v="59000"/>
    <x v="0"/>
    <n v="59000"/>
    <n v="177000"/>
    <x v="27"/>
  </r>
  <r>
    <s v="S0427"/>
    <x v="58"/>
    <x v="0"/>
    <x v="1"/>
    <x v="3"/>
    <n v="59000"/>
    <n v="59000"/>
    <n v="14"/>
    <n v="50740"/>
    <x v="1"/>
    <n v="50740"/>
    <n v="152220"/>
    <x v="43"/>
  </r>
  <r>
    <s v="S0428"/>
    <x v="356"/>
    <x v="3"/>
    <x v="1"/>
    <x v="3"/>
    <n v="65000"/>
    <n v="75000"/>
    <n v="9"/>
    <n v="59150"/>
    <x v="1"/>
    <n v="59150"/>
    <n v="177450"/>
    <x v="11"/>
  </r>
  <r>
    <s v="S0429"/>
    <x v="357"/>
    <x v="6"/>
    <x v="1"/>
    <x v="4"/>
    <n v="59000"/>
    <n v="65000"/>
    <n v="14"/>
    <n v="65000"/>
    <x v="0"/>
    <n v="65000"/>
    <n v="65000"/>
    <x v="39"/>
  </r>
  <r>
    <s v="S0430"/>
    <x v="358"/>
    <x v="3"/>
    <x v="2"/>
    <x v="4"/>
    <n v="49000"/>
    <n v="75000"/>
    <n v="10"/>
    <n v="75000"/>
    <x v="0"/>
    <n v="75000"/>
    <n v="75000"/>
    <x v="30"/>
  </r>
  <r>
    <s v="S0431"/>
    <x v="359"/>
    <x v="1"/>
    <x v="1"/>
    <x v="3"/>
    <n v="39000"/>
    <n v="69000"/>
    <n v="15"/>
    <n v="69000"/>
    <x v="0"/>
    <n v="69000"/>
    <n v="207000"/>
    <x v="13"/>
  </r>
  <r>
    <s v="S0432"/>
    <x v="208"/>
    <x v="7"/>
    <x v="1"/>
    <x v="0"/>
    <n v="69000"/>
    <n v="49000"/>
    <n v="5"/>
    <n v="65550"/>
    <x v="1"/>
    <n v="65550"/>
    <n v="262200"/>
    <x v="12"/>
  </r>
  <r>
    <s v="S0433"/>
    <x v="360"/>
    <x v="6"/>
    <x v="0"/>
    <x v="1"/>
    <n v="65000"/>
    <n v="49000"/>
    <n v="8"/>
    <n v="49000"/>
    <x v="0"/>
    <n v="49000"/>
    <n v="245000"/>
    <x v="0"/>
  </r>
  <r>
    <s v="S0434"/>
    <x v="187"/>
    <x v="3"/>
    <x v="0"/>
    <x v="0"/>
    <n v="65000"/>
    <n v="49000"/>
    <n v="5"/>
    <n v="49000"/>
    <x v="0"/>
    <n v="49000"/>
    <n v="196000"/>
    <x v="45"/>
  </r>
  <r>
    <s v="S0435"/>
    <x v="361"/>
    <x v="6"/>
    <x v="1"/>
    <x v="4"/>
    <n v="65000"/>
    <n v="49000"/>
    <n v="9"/>
    <n v="49000"/>
    <x v="0"/>
    <n v="49000"/>
    <n v="49000"/>
    <x v="23"/>
  </r>
  <r>
    <s v="S0436"/>
    <x v="310"/>
    <x v="9"/>
    <x v="0"/>
    <x v="2"/>
    <n v="49000"/>
    <n v="65000"/>
    <n v="6"/>
    <n v="46060"/>
    <x v="1"/>
    <n v="46060"/>
    <n v="92120"/>
    <x v="8"/>
  </r>
  <r>
    <s v="S0437"/>
    <x v="362"/>
    <x v="2"/>
    <x v="0"/>
    <x v="2"/>
    <n v="65000"/>
    <n v="65000"/>
    <n v="12"/>
    <n v="65000"/>
    <x v="0"/>
    <n v="65000"/>
    <n v="130000"/>
    <x v="39"/>
  </r>
  <r>
    <s v="S0438"/>
    <x v="363"/>
    <x v="3"/>
    <x v="2"/>
    <x v="1"/>
    <n v="65000"/>
    <n v="29000"/>
    <n v="7"/>
    <n v="60449.999999999993"/>
    <x v="1"/>
    <n v="60449.999999999993"/>
    <n v="302249.99999999994"/>
    <x v="34"/>
  </r>
  <r>
    <s v="S0439"/>
    <x v="364"/>
    <x v="6"/>
    <x v="2"/>
    <x v="0"/>
    <n v="65000"/>
    <n v="49000"/>
    <n v="11"/>
    <n v="57850"/>
    <x v="1"/>
    <n v="57850"/>
    <n v="231400"/>
    <x v="19"/>
  </r>
  <r>
    <s v="S0440"/>
    <x v="24"/>
    <x v="9"/>
    <x v="2"/>
    <x v="0"/>
    <n v="55000"/>
    <n v="65000"/>
    <n v="11"/>
    <n v="65000"/>
    <x v="0"/>
    <n v="65000"/>
    <n v="260000"/>
    <x v="24"/>
  </r>
  <r>
    <s v="S0441"/>
    <x v="365"/>
    <x v="2"/>
    <x v="1"/>
    <x v="1"/>
    <n v="65000"/>
    <n v="39000"/>
    <n v="6"/>
    <n v="61100"/>
    <x v="1"/>
    <n v="61100"/>
    <n v="305500"/>
    <x v="38"/>
  </r>
  <r>
    <s v="S0442"/>
    <x v="366"/>
    <x v="3"/>
    <x v="2"/>
    <x v="0"/>
    <n v="69000"/>
    <n v="59000"/>
    <n v="10"/>
    <n v="59000"/>
    <x v="0"/>
    <n v="59000"/>
    <n v="236000"/>
    <x v="33"/>
  </r>
  <r>
    <s v="S0443"/>
    <x v="367"/>
    <x v="7"/>
    <x v="1"/>
    <x v="1"/>
    <n v="59000"/>
    <n v="65000"/>
    <n v="8"/>
    <n v="65000"/>
    <x v="0"/>
    <n v="65000"/>
    <n v="325000"/>
    <x v="33"/>
  </r>
  <r>
    <s v="S0444"/>
    <x v="273"/>
    <x v="3"/>
    <x v="0"/>
    <x v="3"/>
    <n v="49000"/>
    <n v="35000"/>
    <n v="14"/>
    <n v="42140"/>
    <x v="1"/>
    <n v="42140"/>
    <n v="126420"/>
    <x v="24"/>
  </r>
  <r>
    <s v="S0445"/>
    <x v="368"/>
    <x v="7"/>
    <x v="2"/>
    <x v="3"/>
    <n v="65000"/>
    <n v="35000"/>
    <n v="10"/>
    <n v="58500"/>
    <x v="1"/>
    <n v="58500"/>
    <n v="175500"/>
    <x v="44"/>
  </r>
  <r>
    <s v="S0446"/>
    <x v="369"/>
    <x v="8"/>
    <x v="2"/>
    <x v="4"/>
    <n v="29000"/>
    <n v="55000"/>
    <n v="6"/>
    <n v="55000"/>
    <x v="0"/>
    <n v="55000"/>
    <n v="55000"/>
    <x v="38"/>
  </r>
  <r>
    <s v="S0447"/>
    <x v="196"/>
    <x v="6"/>
    <x v="1"/>
    <x v="1"/>
    <n v="55000"/>
    <n v="65000"/>
    <n v="14"/>
    <n v="47300"/>
    <x v="1"/>
    <n v="47300"/>
    <n v="236500"/>
    <x v="43"/>
  </r>
  <r>
    <s v="S0448"/>
    <x v="370"/>
    <x v="9"/>
    <x v="0"/>
    <x v="1"/>
    <n v="39000"/>
    <n v="39000"/>
    <n v="10"/>
    <n v="39000"/>
    <x v="0"/>
    <n v="39000"/>
    <n v="195000"/>
    <x v="41"/>
  </r>
  <r>
    <s v="S0449"/>
    <x v="240"/>
    <x v="7"/>
    <x v="0"/>
    <x v="2"/>
    <n v="65000"/>
    <n v="59000"/>
    <n v="8"/>
    <n v="59000"/>
    <x v="0"/>
    <n v="59000"/>
    <n v="118000"/>
    <x v="19"/>
  </r>
  <r>
    <s v="S0450"/>
    <x v="269"/>
    <x v="2"/>
    <x v="2"/>
    <x v="4"/>
    <n v="39000"/>
    <n v="65000"/>
    <n v="14"/>
    <n v="33540"/>
    <x v="1"/>
    <n v="33540"/>
    <n v="33540"/>
    <x v="20"/>
  </r>
  <r>
    <s v="S0451"/>
    <x v="310"/>
    <x v="2"/>
    <x v="0"/>
    <x v="3"/>
    <n v="65000"/>
    <n v="49000"/>
    <n v="11"/>
    <n v="49000"/>
    <x v="0"/>
    <n v="49000"/>
    <n v="147000"/>
    <x v="22"/>
  </r>
  <r>
    <s v="S0452"/>
    <x v="149"/>
    <x v="0"/>
    <x v="2"/>
    <x v="0"/>
    <n v="65000"/>
    <n v="69000"/>
    <n v="9"/>
    <n v="59150"/>
    <x v="1"/>
    <n v="59150"/>
    <n v="236600"/>
    <x v="19"/>
  </r>
  <r>
    <s v="S0453"/>
    <x v="149"/>
    <x v="9"/>
    <x v="1"/>
    <x v="2"/>
    <n v="35000"/>
    <n v="59000"/>
    <n v="9"/>
    <n v="31850"/>
    <x v="1"/>
    <n v="31850"/>
    <n v="63700"/>
    <x v="33"/>
  </r>
  <r>
    <s v="S0454"/>
    <x v="371"/>
    <x v="9"/>
    <x v="2"/>
    <x v="3"/>
    <n v="49000"/>
    <n v="59000"/>
    <n v="14"/>
    <n v="59000"/>
    <x v="0"/>
    <n v="59000"/>
    <n v="177000"/>
    <x v="42"/>
  </r>
  <r>
    <s v="S0455"/>
    <x v="372"/>
    <x v="8"/>
    <x v="1"/>
    <x v="4"/>
    <n v="65000"/>
    <n v="65000"/>
    <n v="15"/>
    <n v="65000"/>
    <x v="0"/>
    <n v="65000"/>
    <n v="65000"/>
    <x v="26"/>
  </r>
  <r>
    <s v="S0456"/>
    <x v="373"/>
    <x v="9"/>
    <x v="2"/>
    <x v="3"/>
    <n v="59000"/>
    <n v="49000"/>
    <n v="5"/>
    <n v="49000"/>
    <x v="0"/>
    <n v="49000"/>
    <n v="147000"/>
    <x v="33"/>
  </r>
  <r>
    <s v="S0457"/>
    <x v="374"/>
    <x v="3"/>
    <x v="2"/>
    <x v="4"/>
    <n v="49000"/>
    <n v="39000"/>
    <n v="7"/>
    <n v="45570"/>
    <x v="1"/>
    <n v="45570"/>
    <n v="45570"/>
    <x v="44"/>
  </r>
  <r>
    <s v="S0458"/>
    <x v="375"/>
    <x v="4"/>
    <x v="1"/>
    <x v="2"/>
    <n v="39000"/>
    <n v="39000"/>
    <n v="13"/>
    <n v="39000"/>
    <x v="0"/>
    <n v="39000"/>
    <n v="78000"/>
    <x v="23"/>
  </r>
  <r>
    <s v="S0459"/>
    <x v="376"/>
    <x v="5"/>
    <x v="0"/>
    <x v="1"/>
    <n v="65000"/>
    <n v="69000"/>
    <n v="15"/>
    <n v="69000"/>
    <x v="0"/>
    <n v="69000"/>
    <n v="345000"/>
    <x v="1"/>
  </r>
  <r>
    <s v="S0460"/>
    <x v="377"/>
    <x v="3"/>
    <x v="2"/>
    <x v="3"/>
    <n v="35000"/>
    <n v="59000"/>
    <n v="6"/>
    <n v="32900"/>
    <x v="1"/>
    <n v="32900"/>
    <n v="98700"/>
    <x v="40"/>
  </r>
  <r>
    <s v="S0461"/>
    <x v="226"/>
    <x v="9"/>
    <x v="0"/>
    <x v="0"/>
    <n v="55000"/>
    <n v="65000"/>
    <n v="11"/>
    <n v="48950"/>
    <x v="1"/>
    <n v="48950"/>
    <n v="195800"/>
    <x v="7"/>
  </r>
  <r>
    <s v="S0462"/>
    <x v="166"/>
    <x v="9"/>
    <x v="0"/>
    <x v="1"/>
    <n v="59000"/>
    <n v="65000"/>
    <n v="6"/>
    <n v="65000"/>
    <x v="0"/>
    <n v="65000"/>
    <n v="325000"/>
    <x v="25"/>
  </r>
  <r>
    <s v="S0463"/>
    <x v="378"/>
    <x v="0"/>
    <x v="1"/>
    <x v="3"/>
    <n v="55000"/>
    <n v="65000"/>
    <n v="6"/>
    <n v="65000"/>
    <x v="0"/>
    <n v="65000"/>
    <n v="195000"/>
    <x v="36"/>
  </r>
  <r>
    <s v="S0464"/>
    <x v="379"/>
    <x v="7"/>
    <x v="2"/>
    <x v="3"/>
    <n v="39000"/>
    <n v="49000"/>
    <n v="10"/>
    <n v="49000"/>
    <x v="0"/>
    <n v="49000"/>
    <n v="147000"/>
    <x v="2"/>
  </r>
  <r>
    <s v="S0465"/>
    <x v="380"/>
    <x v="9"/>
    <x v="2"/>
    <x v="3"/>
    <n v="59000"/>
    <n v="75000"/>
    <n v="13"/>
    <n v="51330"/>
    <x v="1"/>
    <n v="51330"/>
    <n v="153990"/>
    <x v="32"/>
  </r>
  <r>
    <s v="S0466"/>
    <x v="381"/>
    <x v="8"/>
    <x v="1"/>
    <x v="3"/>
    <n v="39000"/>
    <n v="69000"/>
    <n v="12"/>
    <n v="69000"/>
    <x v="0"/>
    <n v="69000"/>
    <n v="207000"/>
    <x v="0"/>
  </r>
  <r>
    <s v="S0467"/>
    <x v="382"/>
    <x v="2"/>
    <x v="1"/>
    <x v="0"/>
    <n v="59000"/>
    <n v="35000"/>
    <n v="13"/>
    <n v="35000"/>
    <x v="0"/>
    <n v="35000"/>
    <n v="140000"/>
    <x v="40"/>
  </r>
  <r>
    <s v="S0468"/>
    <x v="383"/>
    <x v="2"/>
    <x v="1"/>
    <x v="0"/>
    <n v="75000"/>
    <n v="39000"/>
    <n v="9"/>
    <n v="68250"/>
    <x v="1"/>
    <n v="68250"/>
    <n v="273000"/>
    <x v="48"/>
  </r>
  <r>
    <s v="S0469"/>
    <x v="384"/>
    <x v="1"/>
    <x v="1"/>
    <x v="3"/>
    <n v="49000"/>
    <n v="65000"/>
    <n v="5"/>
    <n v="65000"/>
    <x v="0"/>
    <n v="65000"/>
    <n v="195000"/>
    <x v="10"/>
  </r>
  <r>
    <s v="S0470"/>
    <x v="385"/>
    <x v="5"/>
    <x v="1"/>
    <x v="2"/>
    <n v="69000"/>
    <n v="65000"/>
    <n v="13"/>
    <n v="60030"/>
    <x v="1"/>
    <n v="60030"/>
    <n v="120060"/>
    <x v="33"/>
  </r>
  <r>
    <s v="S0471"/>
    <x v="386"/>
    <x v="8"/>
    <x v="1"/>
    <x v="0"/>
    <n v="45000"/>
    <n v="35000"/>
    <n v="15"/>
    <n v="35000"/>
    <x v="0"/>
    <n v="35000"/>
    <n v="140000"/>
    <x v="47"/>
  </r>
  <r>
    <s v="S0472"/>
    <x v="387"/>
    <x v="3"/>
    <x v="0"/>
    <x v="4"/>
    <n v="65000"/>
    <n v="65000"/>
    <n v="14"/>
    <n v="55900"/>
    <x v="1"/>
    <n v="55900"/>
    <n v="55900"/>
    <x v="35"/>
  </r>
  <r>
    <s v="S0473"/>
    <x v="388"/>
    <x v="1"/>
    <x v="1"/>
    <x v="4"/>
    <n v="59000"/>
    <n v="55000"/>
    <n v="9"/>
    <n v="55000"/>
    <x v="0"/>
    <n v="55000"/>
    <n v="55000"/>
    <x v="46"/>
  </r>
  <r>
    <s v="S0474"/>
    <x v="170"/>
    <x v="7"/>
    <x v="1"/>
    <x v="1"/>
    <n v="55000"/>
    <n v="59000"/>
    <n v="5"/>
    <n v="52250"/>
    <x v="1"/>
    <n v="52250"/>
    <n v="261250"/>
    <x v="17"/>
  </r>
  <r>
    <s v="S0475"/>
    <x v="389"/>
    <x v="7"/>
    <x v="0"/>
    <x v="0"/>
    <n v="49000"/>
    <n v="59000"/>
    <n v="7"/>
    <n v="45570"/>
    <x v="1"/>
    <n v="45570"/>
    <n v="182280"/>
    <x v="48"/>
  </r>
  <r>
    <s v="S0476"/>
    <x v="41"/>
    <x v="5"/>
    <x v="2"/>
    <x v="2"/>
    <n v="55000"/>
    <n v="65000"/>
    <n v="6"/>
    <n v="65000"/>
    <x v="0"/>
    <n v="65000"/>
    <n v="130000"/>
    <x v="5"/>
  </r>
  <r>
    <s v="S0477"/>
    <x v="390"/>
    <x v="7"/>
    <x v="0"/>
    <x v="3"/>
    <n v="49000"/>
    <n v="59000"/>
    <n v="13"/>
    <n v="59000"/>
    <x v="0"/>
    <n v="59000"/>
    <n v="177000"/>
    <x v="26"/>
  </r>
  <r>
    <s v="S0478"/>
    <x v="391"/>
    <x v="1"/>
    <x v="0"/>
    <x v="2"/>
    <n v="55000"/>
    <n v="39000"/>
    <n v="5"/>
    <n v="52250"/>
    <x v="1"/>
    <n v="52250"/>
    <n v="104500"/>
    <x v="13"/>
  </r>
  <r>
    <s v="S0479"/>
    <x v="392"/>
    <x v="1"/>
    <x v="0"/>
    <x v="4"/>
    <n v="29000"/>
    <n v="49000"/>
    <n v="8"/>
    <n v="26680"/>
    <x v="1"/>
    <n v="26680"/>
    <n v="26680"/>
    <x v="24"/>
  </r>
  <r>
    <s v="S0480"/>
    <x v="393"/>
    <x v="8"/>
    <x v="2"/>
    <x v="4"/>
    <n v="59000"/>
    <n v="45000"/>
    <n v="9"/>
    <n v="45000"/>
    <x v="0"/>
    <n v="45000"/>
    <n v="45000"/>
    <x v="22"/>
  </r>
  <r>
    <s v="S0481"/>
    <x v="394"/>
    <x v="6"/>
    <x v="1"/>
    <x v="0"/>
    <n v="49000"/>
    <n v="65000"/>
    <n v="7"/>
    <n v="65000"/>
    <x v="0"/>
    <n v="65000"/>
    <n v="260000"/>
    <x v="47"/>
  </r>
  <r>
    <s v="S0482"/>
    <x v="395"/>
    <x v="6"/>
    <x v="2"/>
    <x v="3"/>
    <n v="59000"/>
    <n v="69000"/>
    <n v="6"/>
    <n v="55460"/>
    <x v="1"/>
    <n v="55460"/>
    <n v="166380"/>
    <x v="16"/>
  </r>
  <r>
    <s v="S0483"/>
    <x v="331"/>
    <x v="7"/>
    <x v="1"/>
    <x v="0"/>
    <n v="59000"/>
    <n v="59000"/>
    <n v="7"/>
    <n v="54869.999999999993"/>
    <x v="1"/>
    <n v="54869.999999999993"/>
    <n v="219479.99999999997"/>
    <x v="48"/>
  </r>
  <r>
    <s v="S0484"/>
    <x v="53"/>
    <x v="9"/>
    <x v="1"/>
    <x v="2"/>
    <n v="65000"/>
    <n v="59000"/>
    <n v="14"/>
    <n v="55900"/>
    <x v="1"/>
    <n v="55900"/>
    <n v="111800"/>
    <x v="6"/>
  </r>
  <r>
    <s v="S0485"/>
    <x v="396"/>
    <x v="9"/>
    <x v="0"/>
    <x v="4"/>
    <n v="59000"/>
    <n v="75000"/>
    <n v="8"/>
    <n v="75000"/>
    <x v="0"/>
    <n v="75000"/>
    <n v="75000"/>
    <x v="42"/>
  </r>
  <r>
    <s v="S0486"/>
    <x v="397"/>
    <x v="2"/>
    <x v="2"/>
    <x v="3"/>
    <n v="65000"/>
    <n v="49000"/>
    <n v="12"/>
    <n v="49000"/>
    <x v="0"/>
    <n v="49000"/>
    <n v="147000"/>
    <x v="40"/>
  </r>
  <r>
    <s v="S0487"/>
    <x v="398"/>
    <x v="9"/>
    <x v="2"/>
    <x v="0"/>
    <n v="69000"/>
    <n v="59000"/>
    <n v="10"/>
    <n v="62100"/>
    <x v="1"/>
    <n v="62100"/>
    <n v="248400"/>
    <x v="41"/>
  </r>
  <r>
    <s v="S0488"/>
    <x v="171"/>
    <x v="7"/>
    <x v="0"/>
    <x v="4"/>
    <n v="55000"/>
    <n v="65000"/>
    <n v="6"/>
    <n v="51700"/>
    <x v="1"/>
    <n v="51700"/>
    <n v="51700"/>
    <x v="1"/>
  </r>
  <r>
    <s v="S0489"/>
    <x v="186"/>
    <x v="3"/>
    <x v="1"/>
    <x v="4"/>
    <n v="69000"/>
    <n v="59000"/>
    <n v="12"/>
    <n v="60720"/>
    <x v="1"/>
    <n v="60720"/>
    <n v="60720"/>
    <x v="0"/>
  </r>
  <r>
    <s v="S0490"/>
    <x v="399"/>
    <x v="3"/>
    <x v="0"/>
    <x v="4"/>
    <n v="59000"/>
    <n v="35000"/>
    <n v="6"/>
    <n v="35000"/>
    <x v="0"/>
    <n v="35000"/>
    <n v="35000"/>
    <x v="10"/>
  </r>
  <r>
    <s v="S0491"/>
    <x v="163"/>
    <x v="2"/>
    <x v="0"/>
    <x v="3"/>
    <n v="49000"/>
    <n v="35000"/>
    <n v="8"/>
    <n v="35000"/>
    <x v="0"/>
    <n v="35000"/>
    <n v="105000"/>
    <x v="12"/>
  </r>
  <r>
    <s v="S0492"/>
    <x v="400"/>
    <x v="9"/>
    <x v="0"/>
    <x v="4"/>
    <n v="39000"/>
    <n v="65000"/>
    <n v="14"/>
    <n v="33540"/>
    <x v="1"/>
    <n v="33540"/>
    <n v="33540"/>
    <x v="31"/>
  </r>
  <r>
    <s v="S0493"/>
    <x v="401"/>
    <x v="9"/>
    <x v="2"/>
    <x v="2"/>
    <n v="45000"/>
    <n v="65000"/>
    <n v="11"/>
    <n v="65000"/>
    <x v="0"/>
    <n v="65000"/>
    <n v="130000"/>
    <x v="40"/>
  </r>
  <r>
    <s v="S0494"/>
    <x v="402"/>
    <x v="8"/>
    <x v="1"/>
    <x v="1"/>
    <n v="65000"/>
    <n v="35000"/>
    <n v="8"/>
    <n v="35000"/>
    <x v="0"/>
    <n v="35000"/>
    <n v="175000"/>
    <x v="12"/>
  </r>
  <r>
    <s v="S0495"/>
    <x v="354"/>
    <x v="6"/>
    <x v="0"/>
    <x v="1"/>
    <n v="49000"/>
    <n v="29000"/>
    <n v="14"/>
    <n v="29000"/>
    <x v="0"/>
    <n v="29000"/>
    <n v="145000"/>
    <x v="13"/>
  </r>
  <r>
    <s v="S0496"/>
    <x v="403"/>
    <x v="8"/>
    <x v="0"/>
    <x v="0"/>
    <n v="65000"/>
    <n v="65000"/>
    <n v="5"/>
    <n v="65000"/>
    <x v="0"/>
    <n v="65000"/>
    <n v="260000"/>
    <x v="34"/>
  </r>
  <r>
    <s v="S0497"/>
    <x v="324"/>
    <x v="6"/>
    <x v="0"/>
    <x v="3"/>
    <n v="59000"/>
    <n v="29000"/>
    <n v="6"/>
    <n v="29000"/>
    <x v="0"/>
    <n v="29000"/>
    <n v="87000"/>
    <x v="42"/>
  </r>
  <r>
    <s v="S0498"/>
    <x v="62"/>
    <x v="5"/>
    <x v="0"/>
    <x v="4"/>
    <n v="29000"/>
    <n v="59000"/>
    <n v="7"/>
    <n v="26970"/>
    <x v="1"/>
    <n v="26970"/>
    <n v="26970"/>
    <x v="20"/>
  </r>
  <r>
    <s v="S0499"/>
    <x v="329"/>
    <x v="6"/>
    <x v="2"/>
    <x v="4"/>
    <n v="59000"/>
    <n v="45000"/>
    <n v="13"/>
    <n v="51330"/>
    <x v="1"/>
    <n v="51330"/>
    <n v="51330"/>
    <x v="21"/>
  </r>
  <r>
    <s v="S0500"/>
    <x v="36"/>
    <x v="9"/>
    <x v="0"/>
    <x v="1"/>
    <n v="69000"/>
    <n v="45000"/>
    <n v="5"/>
    <n v="45000"/>
    <x v="0"/>
    <n v="45000"/>
    <n v="225000"/>
    <x v="48"/>
  </r>
  <r>
    <s v="S0501"/>
    <x v="404"/>
    <x v="1"/>
    <x v="1"/>
    <x v="1"/>
    <n v="45000"/>
    <n v="49000"/>
    <n v="6"/>
    <n v="49000"/>
    <x v="0"/>
    <n v="49000"/>
    <n v="245000"/>
    <x v="17"/>
  </r>
  <r>
    <s v="S0502"/>
    <x v="405"/>
    <x v="2"/>
    <x v="1"/>
    <x v="4"/>
    <n v="35000"/>
    <n v="59000"/>
    <n v="10"/>
    <n v="59000"/>
    <x v="0"/>
    <n v="59000"/>
    <n v="59000"/>
    <x v="19"/>
  </r>
  <r>
    <s v="S0503"/>
    <x v="406"/>
    <x v="3"/>
    <x v="0"/>
    <x v="4"/>
    <n v="49000"/>
    <n v="55000"/>
    <n v="9"/>
    <n v="55000"/>
    <x v="0"/>
    <n v="55000"/>
    <n v="55000"/>
    <x v="19"/>
  </r>
  <r>
    <s v="S0504"/>
    <x v="154"/>
    <x v="6"/>
    <x v="2"/>
    <x v="4"/>
    <n v="35000"/>
    <n v="65000"/>
    <n v="9"/>
    <n v="31850"/>
    <x v="1"/>
    <n v="31850"/>
    <n v="31850"/>
    <x v="19"/>
  </r>
  <r>
    <s v="S0505"/>
    <x v="407"/>
    <x v="0"/>
    <x v="1"/>
    <x v="0"/>
    <n v="65000"/>
    <n v="39000"/>
    <n v="10"/>
    <n v="39000"/>
    <x v="0"/>
    <n v="39000"/>
    <n v="156000"/>
    <x v="30"/>
  </r>
  <r>
    <s v="S0506"/>
    <x v="408"/>
    <x v="6"/>
    <x v="0"/>
    <x v="4"/>
    <n v="59000"/>
    <n v="49000"/>
    <n v="9"/>
    <n v="53690"/>
    <x v="1"/>
    <n v="53690"/>
    <n v="53690"/>
    <x v="36"/>
  </r>
  <r>
    <s v="S0507"/>
    <x v="409"/>
    <x v="7"/>
    <x v="2"/>
    <x v="3"/>
    <n v="29000"/>
    <n v="75000"/>
    <n v="5"/>
    <n v="27550"/>
    <x v="1"/>
    <n v="27550"/>
    <n v="82650"/>
    <x v="47"/>
  </r>
  <r>
    <s v="S0508"/>
    <x v="410"/>
    <x v="1"/>
    <x v="0"/>
    <x v="1"/>
    <n v="65000"/>
    <n v="65000"/>
    <n v="7"/>
    <n v="65000"/>
    <x v="0"/>
    <n v="65000"/>
    <n v="325000"/>
    <x v="42"/>
  </r>
  <r>
    <s v="S0509"/>
    <x v="411"/>
    <x v="0"/>
    <x v="0"/>
    <x v="3"/>
    <n v="45000"/>
    <n v="69000"/>
    <n v="6"/>
    <n v="42300"/>
    <x v="1"/>
    <n v="42300"/>
    <n v="126900"/>
    <x v="31"/>
  </r>
  <r>
    <s v="S0510"/>
    <x v="406"/>
    <x v="5"/>
    <x v="0"/>
    <x v="0"/>
    <n v="59000"/>
    <n v="35000"/>
    <n v="9"/>
    <n v="53690"/>
    <x v="1"/>
    <n v="53690"/>
    <n v="214760"/>
    <x v="3"/>
  </r>
  <r>
    <s v="S0511"/>
    <x v="412"/>
    <x v="3"/>
    <x v="1"/>
    <x v="4"/>
    <n v="39000"/>
    <n v="65000"/>
    <n v="11"/>
    <n v="34710"/>
    <x v="1"/>
    <n v="34710"/>
    <n v="34710"/>
    <x v="48"/>
  </r>
  <r>
    <s v="S0512"/>
    <x v="413"/>
    <x v="5"/>
    <x v="1"/>
    <x v="1"/>
    <n v="59000"/>
    <n v="65000"/>
    <n v="10"/>
    <n v="53100"/>
    <x v="1"/>
    <n v="53100"/>
    <n v="265500"/>
    <x v="47"/>
  </r>
  <r>
    <s v="S0513"/>
    <x v="414"/>
    <x v="4"/>
    <x v="2"/>
    <x v="2"/>
    <n v="49000"/>
    <n v="59000"/>
    <n v="10"/>
    <n v="44100"/>
    <x v="1"/>
    <n v="44100"/>
    <n v="88200"/>
    <x v="11"/>
  </r>
  <r>
    <s v="S0514"/>
    <x v="51"/>
    <x v="2"/>
    <x v="0"/>
    <x v="3"/>
    <n v="49000"/>
    <n v="59000"/>
    <n v="9"/>
    <n v="59000"/>
    <x v="0"/>
    <n v="59000"/>
    <n v="177000"/>
    <x v="5"/>
  </r>
  <r>
    <s v="S0515"/>
    <x v="415"/>
    <x v="0"/>
    <x v="0"/>
    <x v="4"/>
    <n v="39000"/>
    <n v="65000"/>
    <n v="10"/>
    <n v="65000"/>
    <x v="0"/>
    <n v="65000"/>
    <n v="65000"/>
    <x v="37"/>
  </r>
  <r>
    <s v="S0516"/>
    <x v="268"/>
    <x v="8"/>
    <x v="2"/>
    <x v="0"/>
    <n v="69000"/>
    <n v="55000"/>
    <n v="6"/>
    <n v="55000"/>
    <x v="0"/>
    <n v="55000"/>
    <n v="220000"/>
    <x v="13"/>
  </r>
  <r>
    <s v="S0517"/>
    <x v="416"/>
    <x v="8"/>
    <x v="0"/>
    <x v="3"/>
    <n v="55000"/>
    <n v="49000"/>
    <n v="8"/>
    <n v="50600"/>
    <x v="1"/>
    <n v="50600"/>
    <n v="151800"/>
    <x v="15"/>
  </r>
  <r>
    <s v="S0518"/>
    <x v="417"/>
    <x v="8"/>
    <x v="2"/>
    <x v="4"/>
    <n v="29000"/>
    <n v="59000"/>
    <n v="5"/>
    <n v="27550"/>
    <x v="1"/>
    <n v="27550"/>
    <n v="27550"/>
    <x v="18"/>
  </r>
  <r>
    <s v="S0519"/>
    <x v="65"/>
    <x v="2"/>
    <x v="2"/>
    <x v="2"/>
    <n v="45000"/>
    <n v="55000"/>
    <n v="7"/>
    <n v="55000"/>
    <x v="0"/>
    <n v="55000"/>
    <n v="110000"/>
    <x v="32"/>
  </r>
  <r>
    <s v="S0520"/>
    <x v="418"/>
    <x v="4"/>
    <x v="2"/>
    <x v="0"/>
    <n v="29000"/>
    <n v="59000"/>
    <n v="13"/>
    <n v="59000"/>
    <x v="0"/>
    <n v="59000"/>
    <n v="236000"/>
    <x v="23"/>
  </r>
  <r>
    <s v="S0521"/>
    <x v="419"/>
    <x v="4"/>
    <x v="2"/>
    <x v="4"/>
    <n v="65000"/>
    <n v="65000"/>
    <n v="9"/>
    <n v="59150"/>
    <x v="1"/>
    <n v="59150"/>
    <n v="59150"/>
    <x v="49"/>
  </r>
  <r>
    <s v="S0522"/>
    <x v="78"/>
    <x v="0"/>
    <x v="1"/>
    <x v="2"/>
    <n v="65000"/>
    <n v="49000"/>
    <n v="5"/>
    <n v="49000"/>
    <x v="0"/>
    <n v="49000"/>
    <n v="98000"/>
    <x v="43"/>
  </r>
  <r>
    <s v="S0523"/>
    <x v="89"/>
    <x v="7"/>
    <x v="0"/>
    <x v="1"/>
    <n v="55000"/>
    <n v="65000"/>
    <n v="12"/>
    <n v="48400"/>
    <x v="1"/>
    <n v="48400"/>
    <n v="242000"/>
    <x v="41"/>
  </r>
  <r>
    <s v="S0524"/>
    <x v="39"/>
    <x v="3"/>
    <x v="2"/>
    <x v="4"/>
    <n v="65000"/>
    <n v="69000"/>
    <n v="12"/>
    <n v="69000"/>
    <x v="0"/>
    <n v="69000"/>
    <n v="69000"/>
    <x v="34"/>
  </r>
  <r>
    <s v="S0525"/>
    <x v="420"/>
    <x v="0"/>
    <x v="2"/>
    <x v="2"/>
    <n v="55000"/>
    <n v="59000"/>
    <n v="8"/>
    <n v="59000"/>
    <x v="0"/>
    <n v="59000"/>
    <n v="118000"/>
    <x v="1"/>
  </r>
  <r>
    <s v="S0526"/>
    <x v="389"/>
    <x v="6"/>
    <x v="0"/>
    <x v="0"/>
    <n v="65000"/>
    <n v="55000"/>
    <n v="7"/>
    <n v="60449.999999999993"/>
    <x v="1"/>
    <n v="60449.999999999993"/>
    <n v="241799.99999999997"/>
    <x v="13"/>
  </r>
  <r>
    <s v="S0527"/>
    <x v="421"/>
    <x v="2"/>
    <x v="2"/>
    <x v="1"/>
    <n v="49000"/>
    <n v="55000"/>
    <n v="9"/>
    <n v="44590"/>
    <x v="1"/>
    <n v="44590"/>
    <n v="222950"/>
    <x v="33"/>
  </r>
  <r>
    <s v="S0528"/>
    <x v="422"/>
    <x v="1"/>
    <x v="0"/>
    <x v="4"/>
    <n v="35000"/>
    <n v="39000"/>
    <n v="7"/>
    <n v="32549.999999999996"/>
    <x v="1"/>
    <n v="32549.999999999996"/>
    <n v="32549.999999999996"/>
    <x v="27"/>
  </r>
  <r>
    <s v="S0529"/>
    <x v="423"/>
    <x v="2"/>
    <x v="0"/>
    <x v="4"/>
    <n v="39000"/>
    <n v="75000"/>
    <n v="7"/>
    <n v="75000"/>
    <x v="0"/>
    <n v="75000"/>
    <n v="75000"/>
    <x v="44"/>
  </r>
  <r>
    <s v="S0530"/>
    <x v="424"/>
    <x v="2"/>
    <x v="2"/>
    <x v="2"/>
    <n v="39000"/>
    <n v="75000"/>
    <n v="6"/>
    <n v="75000"/>
    <x v="0"/>
    <n v="75000"/>
    <n v="150000"/>
    <x v="22"/>
  </r>
  <r>
    <s v="S0531"/>
    <x v="425"/>
    <x v="0"/>
    <x v="0"/>
    <x v="0"/>
    <n v="59000"/>
    <n v="49000"/>
    <n v="8"/>
    <n v="49000"/>
    <x v="0"/>
    <n v="49000"/>
    <n v="196000"/>
    <x v="8"/>
  </r>
  <r>
    <s v="S0532"/>
    <x v="412"/>
    <x v="4"/>
    <x v="1"/>
    <x v="0"/>
    <n v="65000"/>
    <n v="65000"/>
    <n v="14"/>
    <n v="65000"/>
    <x v="0"/>
    <n v="65000"/>
    <n v="260000"/>
    <x v="36"/>
  </r>
  <r>
    <s v="S0533"/>
    <x v="426"/>
    <x v="9"/>
    <x v="1"/>
    <x v="3"/>
    <n v="39000"/>
    <n v="49000"/>
    <n v="15"/>
    <n v="33150"/>
    <x v="1"/>
    <n v="33150"/>
    <n v="99450"/>
    <x v="3"/>
  </r>
  <r>
    <s v="S0534"/>
    <x v="427"/>
    <x v="8"/>
    <x v="1"/>
    <x v="1"/>
    <n v="45000"/>
    <n v="65000"/>
    <n v="9"/>
    <n v="40950"/>
    <x v="1"/>
    <n v="40950"/>
    <n v="204750"/>
    <x v="2"/>
  </r>
  <r>
    <s v="S0535"/>
    <x v="428"/>
    <x v="2"/>
    <x v="1"/>
    <x v="2"/>
    <n v="49000"/>
    <n v="59000"/>
    <n v="8"/>
    <n v="45080"/>
    <x v="1"/>
    <n v="45080"/>
    <n v="90160"/>
    <x v="33"/>
  </r>
  <r>
    <s v="S0536"/>
    <x v="188"/>
    <x v="1"/>
    <x v="0"/>
    <x v="2"/>
    <n v="59000"/>
    <n v="49000"/>
    <n v="15"/>
    <n v="49000"/>
    <x v="0"/>
    <n v="49000"/>
    <n v="98000"/>
    <x v="32"/>
  </r>
  <r>
    <s v="S0537"/>
    <x v="184"/>
    <x v="2"/>
    <x v="0"/>
    <x v="1"/>
    <n v="59000"/>
    <n v="59000"/>
    <n v="11"/>
    <n v="52510"/>
    <x v="1"/>
    <n v="52510"/>
    <n v="262550"/>
    <x v="1"/>
  </r>
  <r>
    <s v="S0538"/>
    <x v="41"/>
    <x v="5"/>
    <x v="1"/>
    <x v="2"/>
    <n v="59000"/>
    <n v="69000"/>
    <n v="14"/>
    <n v="69000"/>
    <x v="0"/>
    <n v="69000"/>
    <n v="138000"/>
    <x v="4"/>
  </r>
  <r>
    <s v="S0539"/>
    <x v="429"/>
    <x v="9"/>
    <x v="1"/>
    <x v="3"/>
    <n v="65000"/>
    <n v="35000"/>
    <n v="10"/>
    <n v="35000"/>
    <x v="0"/>
    <n v="35000"/>
    <n v="105000"/>
    <x v="20"/>
  </r>
  <r>
    <s v="S0540"/>
    <x v="315"/>
    <x v="0"/>
    <x v="0"/>
    <x v="2"/>
    <n v="59000"/>
    <n v="65000"/>
    <n v="7"/>
    <n v="65000"/>
    <x v="0"/>
    <n v="65000"/>
    <n v="130000"/>
    <x v="15"/>
  </r>
  <r>
    <s v="S0541"/>
    <x v="86"/>
    <x v="9"/>
    <x v="1"/>
    <x v="1"/>
    <n v="65000"/>
    <n v="49000"/>
    <n v="8"/>
    <n v="59800"/>
    <x v="1"/>
    <n v="59800"/>
    <n v="299000"/>
    <x v="23"/>
  </r>
  <r>
    <s v="S0542"/>
    <x v="430"/>
    <x v="7"/>
    <x v="2"/>
    <x v="1"/>
    <n v="59000"/>
    <n v="59000"/>
    <n v="6"/>
    <n v="59000"/>
    <x v="0"/>
    <n v="59000"/>
    <n v="295000"/>
    <x v="34"/>
  </r>
  <r>
    <s v="S0543"/>
    <x v="90"/>
    <x v="5"/>
    <x v="2"/>
    <x v="3"/>
    <n v="59000"/>
    <n v="65000"/>
    <n v="15"/>
    <n v="65000"/>
    <x v="0"/>
    <n v="65000"/>
    <n v="195000"/>
    <x v="7"/>
  </r>
  <r>
    <s v="S0544"/>
    <x v="35"/>
    <x v="5"/>
    <x v="1"/>
    <x v="0"/>
    <n v="59000"/>
    <n v="49000"/>
    <n v="10"/>
    <n v="49000"/>
    <x v="0"/>
    <n v="49000"/>
    <n v="196000"/>
    <x v="17"/>
  </r>
  <r>
    <s v="S0545"/>
    <x v="431"/>
    <x v="0"/>
    <x v="2"/>
    <x v="1"/>
    <n v="65000"/>
    <n v="69000"/>
    <n v="14"/>
    <n v="55900"/>
    <x v="1"/>
    <n v="55900"/>
    <n v="279500"/>
    <x v="14"/>
  </r>
  <r>
    <s v="S0546"/>
    <x v="129"/>
    <x v="0"/>
    <x v="0"/>
    <x v="4"/>
    <n v="65000"/>
    <n v="45000"/>
    <n v="13"/>
    <n v="56550"/>
    <x v="1"/>
    <n v="56550"/>
    <n v="56550"/>
    <x v="0"/>
  </r>
  <r>
    <s v="S0547"/>
    <x v="432"/>
    <x v="6"/>
    <x v="1"/>
    <x v="0"/>
    <n v="59000"/>
    <n v="65000"/>
    <n v="14"/>
    <n v="65000"/>
    <x v="0"/>
    <n v="65000"/>
    <n v="260000"/>
    <x v="0"/>
  </r>
  <r>
    <s v="S0548"/>
    <x v="157"/>
    <x v="9"/>
    <x v="0"/>
    <x v="4"/>
    <n v="55000"/>
    <n v="59000"/>
    <n v="13"/>
    <n v="59000"/>
    <x v="0"/>
    <n v="59000"/>
    <n v="59000"/>
    <x v="11"/>
  </r>
  <r>
    <s v="S0549"/>
    <x v="433"/>
    <x v="1"/>
    <x v="0"/>
    <x v="3"/>
    <n v="69000"/>
    <n v="75000"/>
    <n v="13"/>
    <n v="60030"/>
    <x v="1"/>
    <n v="60030"/>
    <n v="180090"/>
    <x v="26"/>
  </r>
  <r>
    <s v="S0550"/>
    <x v="416"/>
    <x v="2"/>
    <x v="2"/>
    <x v="2"/>
    <n v="65000"/>
    <n v="69000"/>
    <n v="5"/>
    <n v="69000"/>
    <x v="0"/>
    <n v="69000"/>
    <n v="138000"/>
    <x v="40"/>
  </r>
  <r>
    <s v="S0551"/>
    <x v="149"/>
    <x v="6"/>
    <x v="0"/>
    <x v="2"/>
    <n v="59000"/>
    <n v="59000"/>
    <n v="5"/>
    <n v="56050"/>
    <x v="1"/>
    <n v="56050"/>
    <n v="112100"/>
    <x v="16"/>
  </r>
  <r>
    <s v="S0552"/>
    <x v="93"/>
    <x v="8"/>
    <x v="0"/>
    <x v="2"/>
    <n v="35000"/>
    <n v="49000"/>
    <n v="8"/>
    <n v="49000"/>
    <x v="0"/>
    <n v="49000"/>
    <n v="98000"/>
    <x v="25"/>
  </r>
  <r>
    <s v="S0553"/>
    <x v="434"/>
    <x v="7"/>
    <x v="0"/>
    <x v="2"/>
    <n v="59000"/>
    <n v="39000"/>
    <n v="13"/>
    <n v="39000"/>
    <x v="0"/>
    <n v="39000"/>
    <n v="78000"/>
    <x v="2"/>
  </r>
  <r>
    <s v="S0554"/>
    <x v="182"/>
    <x v="4"/>
    <x v="2"/>
    <x v="3"/>
    <n v="55000"/>
    <n v="59000"/>
    <n v="7"/>
    <n v="59000"/>
    <x v="0"/>
    <n v="59000"/>
    <n v="177000"/>
    <x v="15"/>
  </r>
  <r>
    <s v="S0555"/>
    <x v="435"/>
    <x v="2"/>
    <x v="2"/>
    <x v="3"/>
    <n v="49000"/>
    <n v="49000"/>
    <n v="15"/>
    <n v="41650"/>
    <x v="1"/>
    <n v="41650"/>
    <n v="124950"/>
    <x v="45"/>
  </r>
  <r>
    <s v="S0556"/>
    <x v="116"/>
    <x v="8"/>
    <x v="0"/>
    <x v="3"/>
    <n v="65000"/>
    <n v="55000"/>
    <n v="13"/>
    <n v="55000"/>
    <x v="0"/>
    <n v="55000"/>
    <n v="165000"/>
    <x v="31"/>
  </r>
  <r>
    <s v="S0557"/>
    <x v="436"/>
    <x v="9"/>
    <x v="0"/>
    <x v="4"/>
    <n v="59000"/>
    <n v="69000"/>
    <n v="12"/>
    <n v="69000"/>
    <x v="0"/>
    <n v="69000"/>
    <n v="69000"/>
    <x v="2"/>
  </r>
  <r>
    <s v="S0558"/>
    <x v="437"/>
    <x v="0"/>
    <x v="1"/>
    <x v="3"/>
    <n v="69000"/>
    <n v="49000"/>
    <n v="10"/>
    <n v="49000"/>
    <x v="0"/>
    <n v="49000"/>
    <n v="147000"/>
    <x v="7"/>
  </r>
  <r>
    <s v="S0559"/>
    <x v="438"/>
    <x v="5"/>
    <x v="2"/>
    <x v="1"/>
    <n v="35000"/>
    <n v="65000"/>
    <n v="9"/>
    <n v="65000"/>
    <x v="0"/>
    <n v="65000"/>
    <n v="325000"/>
    <x v="36"/>
  </r>
  <r>
    <s v="S0560"/>
    <x v="439"/>
    <x v="4"/>
    <x v="1"/>
    <x v="1"/>
    <n v="65000"/>
    <n v="65000"/>
    <n v="10"/>
    <n v="65000"/>
    <x v="0"/>
    <n v="65000"/>
    <n v="325000"/>
    <x v="41"/>
  </r>
  <r>
    <s v="S0561"/>
    <x v="230"/>
    <x v="5"/>
    <x v="0"/>
    <x v="2"/>
    <n v="65000"/>
    <n v="65000"/>
    <n v="12"/>
    <n v="65000"/>
    <x v="0"/>
    <n v="65000"/>
    <n v="130000"/>
    <x v="25"/>
  </r>
  <r>
    <s v="S0562"/>
    <x v="440"/>
    <x v="9"/>
    <x v="0"/>
    <x v="3"/>
    <n v="55000"/>
    <n v="49000"/>
    <n v="14"/>
    <n v="47300"/>
    <x v="1"/>
    <n v="47300"/>
    <n v="141900"/>
    <x v="33"/>
  </r>
  <r>
    <s v="S0563"/>
    <x v="441"/>
    <x v="1"/>
    <x v="0"/>
    <x v="4"/>
    <n v="65000"/>
    <n v="75000"/>
    <n v="10"/>
    <n v="75000"/>
    <x v="0"/>
    <n v="75000"/>
    <n v="75000"/>
    <x v="41"/>
  </r>
  <r>
    <s v="S0564"/>
    <x v="126"/>
    <x v="8"/>
    <x v="2"/>
    <x v="3"/>
    <n v="65000"/>
    <n v="55000"/>
    <n v="14"/>
    <n v="55000"/>
    <x v="0"/>
    <n v="55000"/>
    <n v="165000"/>
    <x v="36"/>
  </r>
  <r>
    <s v="S0565"/>
    <x v="442"/>
    <x v="2"/>
    <x v="0"/>
    <x v="0"/>
    <n v="65000"/>
    <n v="59000"/>
    <n v="14"/>
    <n v="55900"/>
    <x v="1"/>
    <n v="55900"/>
    <n v="223600"/>
    <x v="33"/>
  </r>
  <r>
    <s v="S0566"/>
    <x v="443"/>
    <x v="9"/>
    <x v="0"/>
    <x v="1"/>
    <n v="65000"/>
    <n v="65000"/>
    <n v="13"/>
    <n v="65000"/>
    <x v="0"/>
    <n v="65000"/>
    <n v="325000"/>
    <x v="17"/>
  </r>
  <r>
    <s v="S0567"/>
    <x v="233"/>
    <x v="5"/>
    <x v="2"/>
    <x v="1"/>
    <n v="49000"/>
    <n v="49000"/>
    <n v="6"/>
    <n v="46060"/>
    <x v="1"/>
    <n v="46060"/>
    <n v="230300"/>
    <x v="11"/>
  </r>
  <r>
    <s v="S0568"/>
    <x v="270"/>
    <x v="6"/>
    <x v="2"/>
    <x v="1"/>
    <n v="65000"/>
    <n v="65000"/>
    <n v="11"/>
    <n v="57850"/>
    <x v="1"/>
    <n v="57850"/>
    <n v="289250"/>
    <x v="36"/>
  </r>
  <r>
    <s v="S0569"/>
    <x v="306"/>
    <x v="5"/>
    <x v="1"/>
    <x v="3"/>
    <n v="49000"/>
    <n v="65000"/>
    <n v="14"/>
    <n v="65000"/>
    <x v="0"/>
    <n v="65000"/>
    <n v="195000"/>
    <x v="36"/>
  </r>
  <r>
    <s v="S0570"/>
    <x v="444"/>
    <x v="6"/>
    <x v="2"/>
    <x v="0"/>
    <n v="35000"/>
    <n v="65000"/>
    <n v="6"/>
    <n v="32900"/>
    <x v="1"/>
    <n v="32900"/>
    <n v="131600"/>
    <x v="34"/>
  </r>
  <r>
    <s v="S0571"/>
    <x v="445"/>
    <x v="4"/>
    <x v="0"/>
    <x v="2"/>
    <n v="59000"/>
    <n v="49000"/>
    <n v="7"/>
    <n v="49000"/>
    <x v="0"/>
    <n v="49000"/>
    <n v="98000"/>
    <x v="28"/>
  </r>
  <r>
    <s v="S0572"/>
    <x v="34"/>
    <x v="8"/>
    <x v="1"/>
    <x v="2"/>
    <n v="39000"/>
    <n v="69000"/>
    <n v="12"/>
    <n v="69000"/>
    <x v="0"/>
    <n v="69000"/>
    <n v="138000"/>
    <x v="12"/>
  </r>
  <r>
    <s v="S0573"/>
    <x v="53"/>
    <x v="9"/>
    <x v="0"/>
    <x v="3"/>
    <n v="35000"/>
    <n v="45000"/>
    <n v="5"/>
    <n v="45000"/>
    <x v="0"/>
    <n v="45000"/>
    <n v="135000"/>
    <x v="5"/>
  </r>
  <r>
    <s v="S0574"/>
    <x v="446"/>
    <x v="4"/>
    <x v="0"/>
    <x v="1"/>
    <n v="35000"/>
    <n v="69000"/>
    <n v="7"/>
    <n v="32549.999999999996"/>
    <x v="1"/>
    <n v="32549.999999999996"/>
    <n v="162749.99999999997"/>
    <x v="25"/>
  </r>
  <r>
    <s v="S0575"/>
    <x v="447"/>
    <x v="8"/>
    <x v="1"/>
    <x v="4"/>
    <n v="65000"/>
    <n v="49000"/>
    <n v="5"/>
    <n v="49000"/>
    <x v="0"/>
    <n v="49000"/>
    <n v="49000"/>
    <x v="17"/>
  </r>
  <r>
    <s v="S0576"/>
    <x v="448"/>
    <x v="7"/>
    <x v="2"/>
    <x v="4"/>
    <n v="49000"/>
    <n v="49000"/>
    <n v="6"/>
    <n v="49000"/>
    <x v="0"/>
    <n v="49000"/>
    <n v="49000"/>
    <x v="49"/>
  </r>
  <r>
    <s v="S0577"/>
    <x v="32"/>
    <x v="8"/>
    <x v="1"/>
    <x v="3"/>
    <n v="65000"/>
    <n v="55000"/>
    <n v="10"/>
    <n v="55000"/>
    <x v="0"/>
    <n v="55000"/>
    <n v="165000"/>
    <x v="16"/>
  </r>
  <r>
    <s v="S0578"/>
    <x v="15"/>
    <x v="3"/>
    <x v="0"/>
    <x v="3"/>
    <n v="49000"/>
    <n v="65000"/>
    <n v="7"/>
    <n v="65000"/>
    <x v="0"/>
    <n v="65000"/>
    <n v="195000"/>
    <x v="15"/>
  </r>
  <r>
    <s v="S0579"/>
    <x v="146"/>
    <x v="8"/>
    <x v="1"/>
    <x v="2"/>
    <n v="55000"/>
    <n v="59000"/>
    <n v="9"/>
    <n v="59000"/>
    <x v="0"/>
    <n v="59000"/>
    <n v="118000"/>
    <x v="22"/>
  </r>
  <r>
    <s v="S0580"/>
    <x v="449"/>
    <x v="1"/>
    <x v="1"/>
    <x v="2"/>
    <n v="29000"/>
    <n v="59000"/>
    <n v="9"/>
    <n v="26390"/>
    <x v="1"/>
    <n v="26390"/>
    <n v="52780"/>
    <x v="22"/>
  </r>
  <r>
    <s v="S0581"/>
    <x v="450"/>
    <x v="7"/>
    <x v="0"/>
    <x v="3"/>
    <n v="55000"/>
    <n v="55000"/>
    <n v="12"/>
    <n v="55000"/>
    <x v="0"/>
    <n v="55000"/>
    <n v="165000"/>
    <x v="24"/>
  </r>
  <r>
    <s v="S0582"/>
    <x v="432"/>
    <x v="4"/>
    <x v="1"/>
    <x v="2"/>
    <n v="65000"/>
    <n v="59000"/>
    <n v="5"/>
    <n v="61750"/>
    <x v="1"/>
    <n v="61750"/>
    <n v="123500"/>
    <x v="2"/>
  </r>
  <r>
    <s v="S0583"/>
    <x v="451"/>
    <x v="1"/>
    <x v="0"/>
    <x v="3"/>
    <n v="55000"/>
    <n v="49000"/>
    <n v="7"/>
    <n v="49000"/>
    <x v="0"/>
    <n v="49000"/>
    <n v="147000"/>
    <x v="45"/>
  </r>
  <r>
    <s v="S0584"/>
    <x v="452"/>
    <x v="2"/>
    <x v="1"/>
    <x v="1"/>
    <n v="39000"/>
    <n v="59000"/>
    <n v="14"/>
    <n v="59000"/>
    <x v="0"/>
    <n v="59000"/>
    <n v="295000"/>
    <x v="11"/>
  </r>
  <r>
    <s v="S0585"/>
    <x v="125"/>
    <x v="7"/>
    <x v="1"/>
    <x v="1"/>
    <n v="55000"/>
    <n v="65000"/>
    <n v="12"/>
    <n v="48400"/>
    <x v="1"/>
    <n v="48400"/>
    <n v="242000"/>
    <x v="47"/>
  </r>
  <r>
    <s v="S0586"/>
    <x v="413"/>
    <x v="0"/>
    <x v="0"/>
    <x v="4"/>
    <n v="49000"/>
    <n v="65000"/>
    <n v="7"/>
    <n v="45570"/>
    <x v="1"/>
    <n v="45570"/>
    <n v="45570"/>
    <x v="31"/>
  </r>
  <r>
    <s v="S0587"/>
    <x v="208"/>
    <x v="6"/>
    <x v="2"/>
    <x v="2"/>
    <n v="59000"/>
    <n v="65000"/>
    <n v="5"/>
    <n v="65000"/>
    <x v="0"/>
    <n v="65000"/>
    <n v="130000"/>
    <x v="37"/>
  </r>
  <r>
    <s v="S0588"/>
    <x v="126"/>
    <x v="8"/>
    <x v="0"/>
    <x v="2"/>
    <n v="59000"/>
    <n v="49000"/>
    <n v="14"/>
    <n v="50740"/>
    <x v="1"/>
    <n v="50740"/>
    <n v="101480"/>
    <x v="2"/>
  </r>
  <r>
    <s v="S0589"/>
    <x v="246"/>
    <x v="3"/>
    <x v="2"/>
    <x v="4"/>
    <n v="65000"/>
    <n v="29000"/>
    <n v="11"/>
    <n v="29000"/>
    <x v="0"/>
    <n v="29000"/>
    <n v="29000"/>
    <x v="0"/>
  </r>
  <r>
    <s v="S0590"/>
    <x v="57"/>
    <x v="5"/>
    <x v="2"/>
    <x v="3"/>
    <n v="75000"/>
    <n v="49000"/>
    <n v="13"/>
    <n v="49000"/>
    <x v="0"/>
    <n v="49000"/>
    <n v="147000"/>
    <x v="22"/>
  </r>
  <r>
    <s v="S0591"/>
    <x v="453"/>
    <x v="6"/>
    <x v="1"/>
    <x v="1"/>
    <n v="39000"/>
    <n v="59000"/>
    <n v="13"/>
    <n v="33930"/>
    <x v="1"/>
    <n v="33930"/>
    <n v="169650"/>
    <x v="6"/>
  </r>
  <r>
    <s v="S0592"/>
    <x v="153"/>
    <x v="5"/>
    <x v="2"/>
    <x v="4"/>
    <n v="35000"/>
    <n v="69000"/>
    <n v="9"/>
    <n v="31850"/>
    <x v="1"/>
    <n v="31850"/>
    <n v="31850"/>
    <x v="14"/>
  </r>
  <r>
    <s v="S0593"/>
    <x v="4"/>
    <x v="4"/>
    <x v="1"/>
    <x v="3"/>
    <n v="59000"/>
    <n v="59000"/>
    <n v="7"/>
    <n v="54869.999999999993"/>
    <x v="1"/>
    <n v="54869.999999999993"/>
    <n v="164609.99999999997"/>
    <x v="18"/>
  </r>
  <r>
    <s v="S0594"/>
    <x v="454"/>
    <x v="3"/>
    <x v="1"/>
    <x v="2"/>
    <n v="59000"/>
    <n v="49000"/>
    <n v="11"/>
    <n v="49000"/>
    <x v="0"/>
    <n v="49000"/>
    <n v="98000"/>
    <x v="15"/>
  </r>
  <r>
    <s v="S0595"/>
    <x v="455"/>
    <x v="3"/>
    <x v="2"/>
    <x v="4"/>
    <n v="65000"/>
    <n v="65000"/>
    <n v="7"/>
    <n v="60449.999999999993"/>
    <x v="1"/>
    <n v="60449.999999999993"/>
    <n v="60449.999999999993"/>
    <x v="48"/>
  </r>
  <r>
    <s v="S0596"/>
    <x v="456"/>
    <x v="3"/>
    <x v="0"/>
    <x v="1"/>
    <n v="65000"/>
    <n v="65000"/>
    <n v="9"/>
    <n v="65000"/>
    <x v="0"/>
    <n v="65000"/>
    <n v="325000"/>
    <x v="26"/>
  </r>
  <r>
    <s v="S0597"/>
    <x v="453"/>
    <x v="9"/>
    <x v="2"/>
    <x v="0"/>
    <n v="29000"/>
    <n v="65000"/>
    <n v="5"/>
    <n v="27550"/>
    <x v="1"/>
    <n v="27550"/>
    <n v="110200"/>
    <x v="46"/>
  </r>
  <r>
    <s v="S0598"/>
    <x v="115"/>
    <x v="3"/>
    <x v="0"/>
    <x v="2"/>
    <n v="65000"/>
    <n v="69000"/>
    <n v="5"/>
    <n v="69000"/>
    <x v="0"/>
    <n v="69000"/>
    <n v="138000"/>
    <x v="20"/>
  </r>
  <r>
    <s v="S0599"/>
    <x v="457"/>
    <x v="6"/>
    <x v="1"/>
    <x v="4"/>
    <n v="69000"/>
    <n v="59000"/>
    <n v="5"/>
    <n v="65550"/>
    <x v="1"/>
    <n v="65550"/>
    <n v="65550"/>
    <x v="27"/>
  </r>
  <r>
    <s v="S0600"/>
    <x v="101"/>
    <x v="8"/>
    <x v="0"/>
    <x v="2"/>
    <n v="59000"/>
    <n v="49000"/>
    <n v="13"/>
    <n v="49000"/>
    <x v="0"/>
    <n v="49000"/>
    <n v="98000"/>
    <x v="14"/>
  </r>
  <r>
    <s v="S0601"/>
    <x v="458"/>
    <x v="7"/>
    <x v="0"/>
    <x v="2"/>
    <n v="65000"/>
    <n v="59000"/>
    <n v="15"/>
    <n v="59000"/>
    <x v="0"/>
    <n v="59000"/>
    <n v="118000"/>
    <x v="48"/>
  </r>
  <r>
    <s v="S0602"/>
    <x v="459"/>
    <x v="8"/>
    <x v="2"/>
    <x v="2"/>
    <n v="65000"/>
    <n v="65000"/>
    <n v="9"/>
    <n v="65000"/>
    <x v="0"/>
    <n v="65000"/>
    <n v="130000"/>
    <x v="14"/>
  </r>
  <r>
    <s v="S0603"/>
    <x v="460"/>
    <x v="9"/>
    <x v="2"/>
    <x v="3"/>
    <n v="49000"/>
    <n v="65000"/>
    <n v="9"/>
    <n v="44590"/>
    <x v="1"/>
    <n v="44590"/>
    <n v="133770"/>
    <x v="35"/>
  </r>
  <r>
    <s v="S0604"/>
    <x v="261"/>
    <x v="8"/>
    <x v="1"/>
    <x v="0"/>
    <n v="35000"/>
    <n v="59000"/>
    <n v="9"/>
    <n v="31850"/>
    <x v="1"/>
    <n v="31850"/>
    <n v="127400"/>
    <x v="27"/>
  </r>
  <r>
    <s v="S0605"/>
    <x v="461"/>
    <x v="5"/>
    <x v="2"/>
    <x v="3"/>
    <n v="65000"/>
    <n v="59000"/>
    <n v="12"/>
    <n v="59000"/>
    <x v="0"/>
    <n v="59000"/>
    <n v="177000"/>
    <x v="33"/>
  </r>
  <r>
    <s v="S0606"/>
    <x v="442"/>
    <x v="5"/>
    <x v="1"/>
    <x v="0"/>
    <n v="55000"/>
    <n v="75000"/>
    <n v="7"/>
    <n v="51150"/>
    <x v="1"/>
    <n v="51150"/>
    <n v="204600"/>
    <x v="11"/>
  </r>
  <r>
    <s v="S0607"/>
    <x v="462"/>
    <x v="2"/>
    <x v="1"/>
    <x v="4"/>
    <n v="49000"/>
    <n v="49000"/>
    <n v="11"/>
    <n v="43610"/>
    <x v="1"/>
    <n v="43610"/>
    <n v="43610"/>
    <x v="44"/>
  </r>
  <r>
    <s v="S0608"/>
    <x v="463"/>
    <x v="7"/>
    <x v="1"/>
    <x v="2"/>
    <n v="49000"/>
    <n v="59000"/>
    <n v="6"/>
    <n v="59000"/>
    <x v="0"/>
    <n v="59000"/>
    <n v="118000"/>
    <x v="10"/>
  </r>
  <r>
    <s v="S0609"/>
    <x v="348"/>
    <x v="5"/>
    <x v="1"/>
    <x v="2"/>
    <n v="49000"/>
    <n v="35000"/>
    <n v="14"/>
    <n v="35000"/>
    <x v="0"/>
    <n v="35000"/>
    <n v="70000"/>
    <x v="22"/>
  </r>
  <r>
    <s v="S0610"/>
    <x v="464"/>
    <x v="4"/>
    <x v="2"/>
    <x v="3"/>
    <n v="65000"/>
    <n v="55000"/>
    <n v="11"/>
    <n v="55000"/>
    <x v="0"/>
    <n v="55000"/>
    <n v="165000"/>
    <x v="44"/>
  </r>
  <r>
    <s v="S0611"/>
    <x v="149"/>
    <x v="4"/>
    <x v="2"/>
    <x v="2"/>
    <n v="45000"/>
    <n v="49000"/>
    <n v="10"/>
    <n v="40500"/>
    <x v="1"/>
    <n v="40500"/>
    <n v="81000"/>
    <x v="27"/>
  </r>
  <r>
    <s v="S0612"/>
    <x v="465"/>
    <x v="7"/>
    <x v="2"/>
    <x v="3"/>
    <n v="29000"/>
    <n v="59000"/>
    <n v="6"/>
    <n v="27260"/>
    <x v="1"/>
    <n v="27260"/>
    <n v="81780"/>
    <x v="9"/>
  </r>
  <r>
    <s v="S0613"/>
    <x v="225"/>
    <x v="0"/>
    <x v="2"/>
    <x v="4"/>
    <n v="59000"/>
    <n v="35000"/>
    <n v="13"/>
    <n v="35000"/>
    <x v="0"/>
    <n v="35000"/>
    <n v="35000"/>
    <x v="6"/>
  </r>
  <r>
    <s v="S0614"/>
    <x v="156"/>
    <x v="6"/>
    <x v="2"/>
    <x v="4"/>
    <n v="29000"/>
    <n v="69000"/>
    <n v="11"/>
    <n v="69000"/>
    <x v="0"/>
    <n v="69000"/>
    <n v="69000"/>
    <x v="34"/>
  </r>
  <r>
    <s v="S0615"/>
    <x v="159"/>
    <x v="3"/>
    <x v="2"/>
    <x v="0"/>
    <n v="49000"/>
    <n v="65000"/>
    <n v="8"/>
    <n v="45080"/>
    <x v="1"/>
    <n v="45080"/>
    <n v="180320"/>
    <x v="41"/>
  </r>
  <r>
    <s v="S0616"/>
    <x v="352"/>
    <x v="3"/>
    <x v="2"/>
    <x v="4"/>
    <n v="65000"/>
    <n v="69000"/>
    <n v="12"/>
    <n v="57200"/>
    <x v="1"/>
    <n v="57200"/>
    <n v="57200"/>
    <x v="3"/>
  </r>
  <r>
    <s v="S0617"/>
    <x v="466"/>
    <x v="6"/>
    <x v="0"/>
    <x v="2"/>
    <n v="29000"/>
    <n v="59000"/>
    <n v="8"/>
    <n v="26680"/>
    <x v="1"/>
    <n v="26680"/>
    <n v="53360"/>
    <x v="27"/>
  </r>
  <r>
    <s v="S0618"/>
    <x v="467"/>
    <x v="3"/>
    <x v="0"/>
    <x v="4"/>
    <n v="59000"/>
    <n v="59000"/>
    <n v="12"/>
    <n v="51920"/>
    <x v="1"/>
    <n v="51920"/>
    <n v="51920"/>
    <x v="33"/>
  </r>
  <r>
    <s v="S0619"/>
    <x v="468"/>
    <x v="8"/>
    <x v="2"/>
    <x v="4"/>
    <n v="55000"/>
    <n v="49000"/>
    <n v="13"/>
    <n v="47850"/>
    <x v="1"/>
    <n v="47850"/>
    <n v="47850"/>
    <x v="42"/>
  </r>
  <r>
    <s v="S0620"/>
    <x v="469"/>
    <x v="7"/>
    <x v="2"/>
    <x v="1"/>
    <n v="49000"/>
    <n v="59000"/>
    <n v="9"/>
    <n v="44590"/>
    <x v="1"/>
    <n v="44590"/>
    <n v="222950"/>
    <x v="37"/>
  </r>
  <r>
    <s v="S0621"/>
    <x v="270"/>
    <x v="3"/>
    <x v="1"/>
    <x v="4"/>
    <n v="55000"/>
    <n v="69000"/>
    <n v="14"/>
    <n v="47300"/>
    <x v="1"/>
    <n v="47300"/>
    <n v="47300"/>
    <x v="24"/>
  </r>
  <r>
    <s v="S0622"/>
    <x v="470"/>
    <x v="8"/>
    <x v="1"/>
    <x v="3"/>
    <n v="55000"/>
    <n v="59000"/>
    <n v="6"/>
    <n v="59000"/>
    <x v="0"/>
    <n v="59000"/>
    <n v="177000"/>
    <x v="21"/>
  </r>
  <r>
    <s v="S0623"/>
    <x v="41"/>
    <x v="0"/>
    <x v="1"/>
    <x v="0"/>
    <n v="49000"/>
    <n v="39000"/>
    <n v="14"/>
    <n v="42140"/>
    <x v="1"/>
    <n v="42140"/>
    <n v="168560"/>
    <x v="12"/>
  </r>
  <r>
    <s v="S0624"/>
    <x v="208"/>
    <x v="4"/>
    <x v="1"/>
    <x v="3"/>
    <n v="65000"/>
    <n v="59000"/>
    <n v="6"/>
    <n v="61100"/>
    <x v="1"/>
    <n v="61100"/>
    <n v="183300"/>
    <x v="37"/>
  </r>
  <r>
    <s v="S0625"/>
    <x v="77"/>
    <x v="5"/>
    <x v="1"/>
    <x v="0"/>
    <n v="65000"/>
    <n v="39000"/>
    <n v="15"/>
    <n v="55250"/>
    <x v="1"/>
    <n v="55250"/>
    <n v="221000"/>
    <x v="10"/>
  </r>
  <r>
    <s v="S0626"/>
    <x v="471"/>
    <x v="5"/>
    <x v="0"/>
    <x v="2"/>
    <n v="39000"/>
    <n v="45000"/>
    <n v="15"/>
    <n v="45000"/>
    <x v="0"/>
    <n v="45000"/>
    <n v="90000"/>
    <x v="13"/>
  </r>
  <r>
    <s v="S0627"/>
    <x v="472"/>
    <x v="0"/>
    <x v="0"/>
    <x v="1"/>
    <n v="65000"/>
    <n v="35000"/>
    <n v="11"/>
    <n v="35000"/>
    <x v="0"/>
    <n v="35000"/>
    <n v="175000"/>
    <x v="24"/>
  </r>
  <r>
    <s v="S0628"/>
    <x v="473"/>
    <x v="7"/>
    <x v="0"/>
    <x v="2"/>
    <n v="69000"/>
    <n v="59000"/>
    <n v="9"/>
    <n v="59000"/>
    <x v="0"/>
    <n v="59000"/>
    <n v="118000"/>
    <x v="45"/>
  </r>
  <r>
    <s v="S0629"/>
    <x v="474"/>
    <x v="0"/>
    <x v="0"/>
    <x v="2"/>
    <n v="49000"/>
    <n v="39000"/>
    <n v="9"/>
    <n v="39000"/>
    <x v="0"/>
    <n v="39000"/>
    <n v="78000"/>
    <x v="21"/>
  </r>
  <r>
    <s v="S0630"/>
    <x v="397"/>
    <x v="1"/>
    <x v="2"/>
    <x v="0"/>
    <n v="29000"/>
    <n v="49000"/>
    <n v="9"/>
    <n v="49000"/>
    <x v="0"/>
    <n v="49000"/>
    <n v="196000"/>
    <x v="1"/>
  </r>
  <r>
    <s v="S0631"/>
    <x v="388"/>
    <x v="7"/>
    <x v="1"/>
    <x v="3"/>
    <n v="65000"/>
    <n v="45000"/>
    <n v="6"/>
    <n v="45000"/>
    <x v="0"/>
    <n v="45000"/>
    <n v="135000"/>
    <x v="2"/>
  </r>
  <r>
    <s v="S0632"/>
    <x v="475"/>
    <x v="7"/>
    <x v="1"/>
    <x v="2"/>
    <n v="59000"/>
    <n v="65000"/>
    <n v="5"/>
    <n v="65000"/>
    <x v="0"/>
    <n v="65000"/>
    <n v="130000"/>
    <x v="0"/>
  </r>
  <r>
    <s v="S0633"/>
    <x v="476"/>
    <x v="8"/>
    <x v="2"/>
    <x v="4"/>
    <n v="65000"/>
    <n v="59000"/>
    <n v="10"/>
    <n v="59000"/>
    <x v="0"/>
    <n v="59000"/>
    <n v="59000"/>
    <x v="28"/>
  </r>
  <r>
    <s v="S0634"/>
    <x v="477"/>
    <x v="3"/>
    <x v="0"/>
    <x v="2"/>
    <n v="49000"/>
    <n v="69000"/>
    <n v="15"/>
    <n v="69000"/>
    <x v="0"/>
    <n v="69000"/>
    <n v="138000"/>
    <x v="38"/>
  </r>
  <r>
    <s v="S0635"/>
    <x v="247"/>
    <x v="1"/>
    <x v="2"/>
    <x v="4"/>
    <n v="59000"/>
    <n v="65000"/>
    <n v="11"/>
    <n v="65000"/>
    <x v="0"/>
    <n v="65000"/>
    <n v="65000"/>
    <x v="47"/>
  </r>
  <r>
    <s v="S0636"/>
    <x v="159"/>
    <x v="9"/>
    <x v="0"/>
    <x v="0"/>
    <n v="49000"/>
    <n v="39000"/>
    <n v="7"/>
    <n v="45570"/>
    <x v="1"/>
    <n v="45570"/>
    <n v="182280"/>
    <x v="3"/>
  </r>
  <r>
    <s v="S0637"/>
    <x v="17"/>
    <x v="8"/>
    <x v="0"/>
    <x v="1"/>
    <n v="65000"/>
    <n v="29000"/>
    <n v="10"/>
    <n v="58500"/>
    <x v="1"/>
    <n v="58500"/>
    <n v="292500"/>
    <x v="14"/>
  </r>
  <r>
    <s v="S0638"/>
    <x v="478"/>
    <x v="0"/>
    <x v="1"/>
    <x v="1"/>
    <n v="75000"/>
    <n v="65000"/>
    <n v="6"/>
    <n v="65000"/>
    <x v="0"/>
    <n v="65000"/>
    <n v="325000"/>
    <x v="33"/>
  </r>
  <r>
    <s v="S0639"/>
    <x v="277"/>
    <x v="4"/>
    <x v="1"/>
    <x v="0"/>
    <n v="59000"/>
    <n v="49000"/>
    <n v="11"/>
    <n v="49000"/>
    <x v="0"/>
    <n v="49000"/>
    <n v="196000"/>
    <x v="27"/>
  </r>
  <r>
    <s v="S0640"/>
    <x v="479"/>
    <x v="8"/>
    <x v="0"/>
    <x v="3"/>
    <n v="75000"/>
    <n v="65000"/>
    <n v="9"/>
    <n v="68250"/>
    <x v="1"/>
    <n v="68250"/>
    <n v="204750"/>
    <x v="17"/>
  </r>
  <r>
    <s v="S0641"/>
    <x v="480"/>
    <x v="1"/>
    <x v="2"/>
    <x v="4"/>
    <n v="29000"/>
    <n v="49000"/>
    <n v="8"/>
    <n v="49000"/>
    <x v="0"/>
    <n v="49000"/>
    <n v="49000"/>
    <x v="37"/>
  </r>
  <r>
    <s v="S0642"/>
    <x v="481"/>
    <x v="4"/>
    <x v="0"/>
    <x v="4"/>
    <n v="55000"/>
    <n v="49000"/>
    <n v="14"/>
    <n v="47300"/>
    <x v="1"/>
    <n v="47300"/>
    <n v="47300"/>
    <x v="35"/>
  </r>
  <r>
    <s v="S0643"/>
    <x v="482"/>
    <x v="1"/>
    <x v="2"/>
    <x v="3"/>
    <n v="35000"/>
    <n v="49000"/>
    <n v="13"/>
    <n v="30450"/>
    <x v="1"/>
    <n v="30450"/>
    <n v="91350"/>
    <x v="0"/>
  </r>
  <r>
    <s v="S0644"/>
    <x v="418"/>
    <x v="5"/>
    <x v="2"/>
    <x v="2"/>
    <n v="55000"/>
    <n v="39000"/>
    <n v="5"/>
    <n v="39000"/>
    <x v="0"/>
    <n v="39000"/>
    <n v="78000"/>
    <x v="49"/>
  </r>
  <r>
    <s v="S0645"/>
    <x v="11"/>
    <x v="9"/>
    <x v="1"/>
    <x v="3"/>
    <n v="65000"/>
    <n v="35000"/>
    <n v="7"/>
    <n v="35000"/>
    <x v="0"/>
    <n v="35000"/>
    <n v="105000"/>
    <x v="7"/>
  </r>
  <r>
    <s v="S0646"/>
    <x v="483"/>
    <x v="3"/>
    <x v="0"/>
    <x v="3"/>
    <n v="49000"/>
    <n v="59000"/>
    <n v="12"/>
    <n v="59000"/>
    <x v="0"/>
    <n v="59000"/>
    <n v="177000"/>
    <x v="16"/>
  </r>
  <r>
    <s v="S0647"/>
    <x v="134"/>
    <x v="9"/>
    <x v="0"/>
    <x v="2"/>
    <n v="49000"/>
    <n v="59000"/>
    <n v="15"/>
    <n v="59000"/>
    <x v="0"/>
    <n v="59000"/>
    <n v="118000"/>
    <x v="0"/>
  </r>
  <r>
    <s v="S0648"/>
    <x v="121"/>
    <x v="8"/>
    <x v="2"/>
    <x v="3"/>
    <n v="59000"/>
    <n v="55000"/>
    <n v="8"/>
    <n v="55000"/>
    <x v="0"/>
    <n v="55000"/>
    <n v="165000"/>
    <x v="11"/>
  </r>
  <r>
    <s v="S0649"/>
    <x v="484"/>
    <x v="2"/>
    <x v="0"/>
    <x v="0"/>
    <n v="59000"/>
    <n v="49000"/>
    <n v="11"/>
    <n v="49000"/>
    <x v="0"/>
    <n v="49000"/>
    <n v="196000"/>
    <x v="14"/>
  </r>
  <r>
    <s v="S0650"/>
    <x v="485"/>
    <x v="5"/>
    <x v="1"/>
    <x v="0"/>
    <n v="49000"/>
    <n v="55000"/>
    <n v="9"/>
    <n v="44590"/>
    <x v="1"/>
    <n v="44590"/>
    <n v="178360"/>
    <x v="1"/>
  </r>
  <r>
    <s v="S0651"/>
    <x v="486"/>
    <x v="5"/>
    <x v="0"/>
    <x v="0"/>
    <n v="45000"/>
    <n v="39000"/>
    <n v="13"/>
    <n v="39000"/>
    <x v="0"/>
    <n v="39000"/>
    <n v="156000"/>
    <x v="11"/>
  </r>
  <r>
    <s v="S0652"/>
    <x v="132"/>
    <x v="9"/>
    <x v="2"/>
    <x v="1"/>
    <n v="59000"/>
    <n v="29000"/>
    <n v="5"/>
    <n v="56050"/>
    <x v="1"/>
    <n v="56050"/>
    <n v="280250"/>
    <x v="46"/>
  </r>
  <r>
    <s v="S0653"/>
    <x v="487"/>
    <x v="1"/>
    <x v="1"/>
    <x v="0"/>
    <n v="65000"/>
    <n v="65000"/>
    <n v="12"/>
    <n v="65000"/>
    <x v="0"/>
    <n v="65000"/>
    <n v="260000"/>
    <x v="31"/>
  </r>
  <r>
    <s v="S0654"/>
    <x v="476"/>
    <x v="4"/>
    <x v="2"/>
    <x v="2"/>
    <n v="39000"/>
    <n v="59000"/>
    <n v="6"/>
    <n v="36660"/>
    <x v="1"/>
    <n v="36660"/>
    <n v="73320"/>
    <x v="30"/>
  </r>
  <r>
    <s v="S0655"/>
    <x v="488"/>
    <x v="3"/>
    <x v="2"/>
    <x v="1"/>
    <n v="65000"/>
    <n v="49000"/>
    <n v="11"/>
    <n v="57850"/>
    <x v="1"/>
    <n v="57850"/>
    <n v="289250"/>
    <x v="5"/>
  </r>
  <r>
    <s v="S0656"/>
    <x v="489"/>
    <x v="4"/>
    <x v="2"/>
    <x v="2"/>
    <n v="29000"/>
    <n v="59000"/>
    <n v="9"/>
    <n v="59000"/>
    <x v="0"/>
    <n v="59000"/>
    <n v="118000"/>
    <x v="32"/>
  </r>
  <r>
    <s v="S0657"/>
    <x v="490"/>
    <x v="4"/>
    <x v="1"/>
    <x v="0"/>
    <n v="49000"/>
    <n v="55000"/>
    <n v="12"/>
    <n v="55000"/>
    <x v="0"/>
    <n v="55000"/>
    <n v="220000"/>
    <x v="49"/>
  </r>
  <r>
    <s v="S0658"/>
    <x v="491"/>
    <x v="1"/>
    <x v="0"/>
    <x v="2"/>
    <n v="29000"/>
    <n v="65000"/>
    <n v="6"/>
    <n v="27260"/>
    <x v="1"/>
    <n v="27260"/>
    <n v="54520"/>
    <x v="12"/>
  </r>
  <r>
    <s v="S0659"/>
    <x v="257"/>
    <x v="6"/>
    <x v="0"/>
    <x v="1"/>
    <n v="65000"/>
    <n v="65000"/>
    <n v="13"/>
    <n v="56550"/>
    <x v="1"/>
    <n v="56550"/>
    <n v="282750"/>
    <x v="31"/>
  </r>
  <r>
    <s v="S0660"/>
    <x v="492"/>
    <x v="7"/>
    <x v="1"/>
    <x v="0"/>
    <n v="35000"/>
    <n v="59000"/>
    <n v="11"/>
    <n v="59000"/>
    <x v="0"/>
    <n v="59000"/>
    <n v="236000"/>
    <x v="9"/>
  </r>
  <r>
    <s v="S0661"/>
    <x v="493"/>
    <x v="4"/>
    <x v="2"/>
    <x v="4"/>
    <n v="35000"/>
    <n v="49000"/>
    <n v="6"/>
    <n v="49000"/>
    <x v="0"/>
    <n v="49000"/>
    <n v="49000"/>
    <x v="29"/>
  </r>
  <r>
    <s v="S0662"/>
    <x v="494"/>
    <x v="9"/>
    <x v="2"/>
    <x v="4"/>
    <n v="75000"/>
    <n v="49000"/>
    <n v="11"/>
    <n v="66750"/>
    <x v="1"/>
    <n v="66750"/>
    <n v="66750"/>
    <x v="0"/>
  </r>
  <r>
    <s v="S0663"/>
    <x v="30"/>
    <x v="6"/>
    <x v="1"/>
    <x v="3"/>
    <n v="35000"/>
    <n v="65000"/>
    <n v="11"/>
    <n v="65000"/>
    <x v="0"/>
    <n v="65000"/>
    <n v="195000"/>
    <x v="45"/>
  </r>
  <r>
    <s v="S0664"/>
    <x v="442"/>
    <x v="2"/>
    <x v="1"/>
    <x v="2"/>
    <n v="55000"/>
    <n v="59000"/>
    <n v="10"/>
    <n v="59000"/>
    <x v="0"/>
    <n v="59000"/>
    <n v="118000"/>
    <x v="7"/>
  </r>
  <r>
    <s v="S0665"/>
    <x v="495"/>
    <x v="3"/>
    <x v="1"/>
    <x v="3"/>
    <n v="49000"/>
    <n v="65000"/>
    <n v="6"/>
    <n v="65000"/>
    <x v="0"/>
    <n v="65000"/>
    <n v="195000"/>
    <x v="17"/>
  </r>
  <r>
    <s v="S0666"/>
    <x v="427"/>
    <x v="4"/>
    <x v="2"/>
    <x v="3"/>
    <n v="55000"/>
    <n v="39000"/>
    <n v="15"/>
    <n v="39000"/>
    <x v="0"/>
    <n v="39000"/>
    <n v="117000"/>
    <x v="37"/>
  </r>
  <r>
    <s v="S0667"/>
    <x v="496"/>
    <x v="1"/>
    <x v="0"/>
    <x v="1"/>
    <n v="35000"/>
    <n v="35000"/>
    <n v="7"/>
    <n v="35000"/>
    <x v="0"/>
    <n v="35000"/>
    <n v="175000"/>
    <x v="38"/>
  </r>
  <r>
    <s v="S0668"/>
    <x v="378"/>
    <x v="6"/>
    <x v="1"/>
    <x v="1"/>
    <n v="59000"/>
    <n v="59000"/>
    <n v="5"/>
    <n v="56050"/>
    <x v="1"/>
    <n v="56050"/>
    <n v="280250"/>
    <x v="2"/>
  </r>
  <r>
    <s v="S0669"/>
    <x v="497"/>
    <x v="4"/>
    <x v="2"/>
    <x v="2"/>
    <n v="35000"/>
    <n v="35000"/>
    <n v="10"/>
    <n v="35000"/>
    <x v="0"/>
    <n v="35000"/>
    <n v="70000"/>
    <x v="2"/>
  </r>
  <r>
    <s v="S0670"/>
    <x v="318"/>
    <x v="9"/>
    <x v="0"/>
    <x v="0"/>
    <n v="49000"/>
    <n v="29000"/>
    <n v="8"/>
    <n v="29000"/>
    <x v="0"/>
    <n v="29000"/>
    <n v="116000"/>
    <x v="1"/>
  </r>
  <r>
    <s v="S0671"/>
    <x v="498"/>
    <x v="5"/>
    <x v="1"/>
    <x v="1"/>
    <n v="49000"/>
    <n v="49000"/>
    <n v="14"/>
    <n v="42140"/>
    <x v="1"/>
    <n v="42140"/>
    <n v="210700"/>
    <x v="32"/>
  </r>
  <r>
    <s v="S0672"/>
    <x v="49"/>
    <x v="3"/>
    <x v="1"/>
    <x v="0"/>
    <n v="55000"/>
    <n v="69000"/>
    <n v="14"/>
    <n v="47300"/>
    <x v="1"/>
    <n v="47300"/>
    <n v="189200"/>
    <x v="36"/>
  </r>
  <r>
    <s v="S0673"/>
    <x v="499"/>
    <x v="3"/>
    <x v="0"/>
    <x v="3"/>
    <n v="55000"/>
    <n v="39000"/>
    <n v="12"/>
    <n v="39000"/>
    <x v="0"/>
    <n v="39000"/>
    <n v="117000"/>
    <x v="1"/>
  </r>
  <r>
    <s v="S0674"/>
    <x v="244"/>
    <x v="9"/>
    <x v="0"/>
    <x v="2"/>
    <n v="49000"/>
    <n v="45000"/>
    <n v="5"/>
    <n v="45000"/>
    <x v="0"/>
    <n v="45000"/>
    <n v="90000"/>
    <x v="32"/>
  </r>
  <r>
    <s v="S0675"/>
    <x v="345"/>
    <x v="2"/>
    <x v="0"/>
    <x v="0"/>
    <n v="65000"/>
    <n v="69000"/>
    <n v="15"/>
    <n v="69000"/>
    <x v="0"/>
    <n v="69000"/>
    <n v="276000"/>
    <x v="8"/>
  </r>
  <r>
    <s v="S0676"/>
    <x v="500"/>
    <x v="1"/>
    <x v="0"/>
    <x v="4"/>
    <n v="65000"/>
    <n v="29000"/>
    <n v="15"/>
    <n v="55250"/>
    <x v="1"/>
    <n v="55250"/>
    <n v="55250"/>
    <x v="27"/>
  </r>
  <r>
    <s v="S0677"/>
    <x v="103"/>
    <x v="3"/>
    <x v="2"/>
    <x v="1"/>
    <n v="29000"/>
    <n v="69000"/>
    <n v="5"/>
    <n v="27550"/>
    <x v="1"/>
    <n v="27550"/>
    <n v="137750"/>
    <x v="34"/>
  </r>
  <r>
    <s v="S0678"/>
    <x v="47"/>
    <x v="4"/>
    <x v="0"/>
    <x v="2"/>
    <n v="29000"/>
    <n v="65000"/>
    <n v="15"/>
    <n v="65000"/>
    <x v="0"/>
    <n v="65000"/>
    <n v="130000"/>
    <x v="21"/>
  </r>
  <r>
    <s v="S0679"/>
    <x v="249"/>
    <x v="7"/>
    <x v="0"/>
    <x v="3"/>
    <n v="65000"/>
    <n v="59000"/>
    <n v="15"/>
    <n v="59000"/>
    <x v="0"/>
    <n v="59000"/>
    <n v="177000"/>
    <x v="45"/>
  </r>
  <r>
    <s v="S0680"/>
    <x v="501"/>
    <x v="7"/>
    <x v="0"/>
    <x v="2"/>
    <n v="55000"/>
    <n v="49000"/>
    <n v="7"/>
    <n v="51150"/>
    <x v="1"/>
    <n v="51150"/>
    <n v="102300"/>
    <x v="29"/>
  </r>
  <r>
    <s v="S0681"/>
    <x v="502"/>
    <x v="6"/>
    <x v="0"/>
    <x v="1"/>
    <n v="59000"/>
    <n v="55000"/>
    <n v="9"/>
    <n v="53690"/>
    <x v="1"/>
    <n v="53690"/>
    <n v="268450"/>
    <x v="4"/>
  </r>
  <r>
    <s v="S0682"/>
    <x v="478"/>
    <x v="0"/>
    <x v="1"/>
    <x v="2"/>
    <n v="65000"/>
    <n v="49000"/>
    <n v="12"/>
    <n v="49000"/>
    <x v="0"/>
    <n v="49000"/>
    <n v="98000"/>
    <x v="30"/>
  </r>
  <r>
    <s v="S0683"/>
    <x v="503"/>
    <x v="2"/>
    <x v="1"/>
    <x v="3"/>
    <n v="69000"/>
    <n v="59000"/>
    <n v="13"/>
    <n v="59000"/>
    <x v="0"/>
    <n v="59000"/>
    <n v="177000"/>
    <x v="32"/>
  </r>
  <r>
    <s v="S0684"/>
    <x v="234"/>
    <x v="0"/>
    <x v="0"/>
    <x v="0"/>
    <n v="65000"/>
    <n v="59000"/>
    <n v="14"/>
    <n v="55900"/>
    <x v="1"/>
    <n v="55900"/>
    <n v="223600"/>
    <x v="5"/>
  </r>
  <r>
    <s v="S0685"/>
    <x v="504"/>
    <x v="9"/>
    <x v="2"/>
    <x v="2"/>
    <n v="65000"/>
    <n v="49000"/>
    <n v="7"/>
    <n v="49000"/>
    <x v="0"/>
    <n v="49000"/>
    <n v="98000"/>
    <x v="43"/>
  </r>
  <r>
    <s v="S0686"/>
    <x v="241"/>
    <x v="1"/>
    <x v="0"/>
    <x v="0"/>
    <n v="69000"/>
    <n v="59000"/>
    <n v="11"/>
    <n v="61410"/>
    <x v="1"/>
    <n v="61410"/>
    <n v="245640"/>
    <x v="48"/>
  </r>
  <r>
    <s v="S0687"/>
    <x v="505"/>
    <x v="7"/>
    <x v="1"/>
    <x v="4"/>
    <n v="65000"/>
    <n v="65000"/>
    <n v="13"/>
    <n v="65000"/>
    <x v="0"/>
    <n v="65000"/>
    <n v="65000"/>
    <x v="0"/>
  </r>
  <r>
    <s v="S0688"/>
    <x v="283"/>
    <x v="0"/>
    <x v="1"/>
    <x v="1"/>
    <n v="59000"/>
    <n v="59000"/>
    <n v="12"/>
    <n v="51920"/>
    <x v="1"/>
    <n v="51920"/>
    <n v="259600"/>
    <x v="6"/>
  </r>
  <r>
    <s v="S0689"/>
    <x v="383"/>
    <x v="7"/>
    <x v="1"/>
    <x v="2"/>
    <n v="59000"/>
    <n v="69000"/>
    <n v="8"/>
    <n v="69000"/>
    <x v="0"/>
    <n v="69000"/>
    <n v="138000"/>
    <x v="44"/>
  </r>
  <r>
    <s v="S0690"/>
    <x v="506"/>
    <x v="4"/>
    <x v="1"/>
    <x v="3"/>
    <n v="59000"/>
    <n v="65000"/>
    <n v="11"/>
    <n v="52510"/>
    <x v="1"/>
    <n v="52510"/>
    <n v="157530"/>
    <x v="46"/>
  </r>
  <r>
    <s v="S0691"/>
    <x v="507"/>
    <x v="0"/>
    <x v="1"/>
    <x v="2"/>
    <n v="45000"/>
    <n v="39000"/>
    <n v="13"/>
    <n v="39150"/>
    <x v="1"/>
    <n v="39150"/>
    <n v="78300"/>
    <x v="3"/>
  </r>
  <r>
    <s v="S0692"/>
    <x v="508"/>
    <x v="9"/>
    <x v="2"/>
    <x v="3"/>
    <n v="65000"/>
    <n v="59000"/>
    <n v="6"/>
    <n v="61100"/>
    <x v="1"/>
    <n v="61100"/>
    <n v="183300"/>
    <x v="41"/>
  </r>
  <r>
    <s v="S0693"/>
    <x v="509"/>
    <x v="6"/>
    <x v="1"/>
    <x v="1"/>
    <n v="69000"/>
    <n v="49000"/>
    <n v="10"/>
    <n v="62100"/>
    <x v="1"/>
    <n v="62100"/>
    <n v="310500"/>
    <x v="20"/>
  </r>
  <r>
    <s v="S0694"/>
    <x v="510"/>
    <x v="4"/>
    <x v="1"/>
    <x v="4"/>
    <n v="35000"/>
    <n v="65000"/>
    <n v="12"/>
    <n v="65000"/>
    <x v="0"/>
    <n v="65000"/>
    <n v="65000"/>
    <x v="46"/>
  </r>
  <r>
    <s v="S0695"/>
    <x v="506"/>
    <x v="8"/>
    <x v="1"/>
    <x v="3"/>
    <n v="65000"/>
    <n v="65000"/>
    <n v="7"/>
    <n v="60449.999999999993"/>
    <x v="1"/>
    <n v="60449.999999999993"/>
    <n v="181349.99999999997"/>
    <x v="34"/>
  </r>
  <r>
    <s v="S0696"/>
    <x v="511"/>
    <x v="4"/>
    <x v="2"/>
    <x v="0"/>
    <n v="49000"/>
    <n v="49000"/>
    <n v="7"/>
    <n v="45570"/>
    <x v="1"/>
    <n v="45570"/>
    <n v="182280"/>
    <x v="41"/>
  </r>
  <r>
    <s v="S0697"/>
    <x v="512"/>
    <x v="2"/>
    <x v="2"/>
    <x v="1"/>
    <n v="49000"/>
    <n v="35000"/>
    <n v="9"/>
    <n v="44590"/>
    <x v="1"/>
    <n v="44590"/>
    <n v="222950"/>
    <x v="25"/>
  </r>
  <r>
    <s v="S0698"/>
    <x v="513"/>
    <x v="6"/>
    <x v="0"/>
    <x v="4"/>
    <n v="35000"/>
    <n v="69000"/>
    <n v="8"/>
    <n v="32200"/>
    <x v="1"/>
    <n v="32200"/>
    <n v="32200"/>
    <x v="18"/>
  </r>
  <r>
    <s v="S0699"/>
    <x v="514"/>
    <x v="2"/>
    <x v="1"/>
    <x v="0"/>
    <n v="35000"/>
    <n v="49000"/>
    <n v="6"/>
    <n v="49000"/>
    <x v="0"/>
    <n v="49000"/>
    <n v="196000"/>
    <x v="48"/>
  </r>
  <r>
    <s v="S0700"/>
    <x v="515"/>
    <x v="1"/>
    <x v="2"/>
    <x v="0"/>
    <n v="59000"/>
    <n v="59000"/>
    <n v="15"/>
    <n v="59000"/>
    <x v="0"/>
    <n v="59000"/>
    <n v="236000"/>
    <x v="44"/>
  </r>
  <r>
    <s v="S0701"/>
    <x v="516"/>
    <x v="3"/>
    <x v="0"/>
    <x v="2"/>
    <n v="65000"/>
    <n v="49000"/>
    <n v="6"/>
    <n v="61100"/>
    <x v="1"/>
    <n v="61100"/>
    <n v="122200"/>
    <x v="0"/>
  </r>
  <r>
    <s v="S0702"/>
    <x v="274"/>
    <x v="7"/>
    <x v="2"/>
    <x v="0"/>
    <n v="69000"/>
    <n v="49000"/>
    <n v="10"/>
    <n v="62100"/>
    <x v="1"/>
    <n v="62100"/>
    <n v="248400"/>
    <x v="4"/>
  </r>
  <r>
    <s v="S0703"/>
    <x v="454"/>
    <x v="3"/>
    <x v="0"/>
    <x v="0"/>
    <n v="49000"/>
    <n v="59000"/>
    <n v="6"/>
    <n v="59000"/>
    <x v="0"/>
    <n v="59000"/>
    <n v="236000"/>
    <x v="31"/>
  </r>
  <r>
    <s v="S0704"/>
    <x v="517"/>
    <x v="1"/>
    <x v="0"/>
    <x v="0"/>
    <n v="45000"/>
    <n v="59000"/>
    <n v="12"/>
    <n v="39600"/>
    <x v="1"/>
    <n v="39600"/>
    <n v="158400"/>
    <x v="45"/>
  </r>
  <r>
    <s v="S0705"/>
    <x v="518"/>
    <x v="1"/>
    <x v="1"/>
    <x v="3"/>
    <n v="59000"/>
    <n v="49000"/>
    <n v="6"/>
    <n v="49000"/>
    <x v="0"/>
    <n v="49000"/>
    <n v="147000"/>
    <x v="31"/>
  </r>
  <r>
    <s v="S0706"/>
    <x v="519"/>
    <x v="6"/>
    <x v="2"/>
    <x v="2"/>
    <n v="59000"/>
    <n v="65000"/>
    <n v="13"/>
    <n v="65000"/>
    <x v="0"/>
    <n v="65000"/>
    <n v="130000"/>
    <x v="26"/>
  </r>
  <r>
    <s v="S0707"/>
    <x v="520"/>
    <x v="9"/>
    <x v="0"/>
    <x v="0"/>
    <n v="65000"/>
    <n v="59000"/>
    <n v="7"/>
    <n v="60449.999999999993"/>
    <x v="1"/>
    <n v="60449.999999999993"/>
    <n v="241799.99999999997"/>
    <x v="9"/>
  </r>
  <r>
    <s v="S0708"/>
    <x v="521"/>
    <x v="0"/>
    <x v="2"/>
    <x v="4"/>
    <n v="65000"/>
    <n v="75000"/>
    <n v="15"/>
    <n v="75000"/>
    <x v="0"/>
    <n v="75000"/>
    <n v="75000"/>
    <x v="1"/>
  </r>
  <r>
    <s v="S0709"/>
    <x v="522"/>
    <x v="5"/>
    <x v="1"/>
    <x v="4"/>
    <n v="65000"/>
    <n v="69000"/>
    <n v="8"/>
    <n v="69000"/>
    <x v="0"/>
    <n v="69000"/>
    <n v="69000"/>
    <x v="5"/>
  </r>
  <r>
    <s v="S0710"/>
    <x v="523"/>
    <x v="0"/>
    <x v="0"/>
    <x v="1"/>
    <n v="35000"/>
    <n v="39000"/>
    <n v="6"/>
    <n v="32900"/>
    <x v="1"/>
    <n v="32900"/>
    <n v="164500"/>
    <x v="10"/>
  </r>
  <r>
    <s v="S0711"/>
    <x v="524"/>
    <x v="9"/>
    <x v="2"/>
    <x v="1"/>
    <n v="65000"/>
    <n v="65000"/>
    <n v="10"/>
    <n v="58500"/>
    <x v="1"/>
    <n v="58500"/>
    <n v="292500"/>
    <x v="23"/>
  </r>
  <r>
    <s v="S0712"/>
    <x v="525"/>
    <x v="6"/>
    <x v="1"/>
    <x v="3"/>
    <n v="65000"/>
    <n v="69000"/>
    <n v="8"/>
    <n v="59800"/>
    <x v="1"/>
    <n v="59800"/>
    <n v="179400"/>
    <x v="17"/>
  </r>
  <r>
    <s v="S0713"/>
    <x v="474"/>
    <x v="0"/>
    <x v="1"/>
    <x v="1"/>
    <n v="59000"/>
    <n v="39000"/>
    <n v="14"/>
    <n v="39000"/>
    <x v="0"/>
    <n v="39000"/>
    <n v="195000"/>
    <x v="30"/>
  </r>
  <r>
    <s v="S0714"/>
    <x v="336"/>
    <x v="8"/>
    <x v="1"/>
    <x v="3"/>
    <n v="49000"/>
    <n v="59000"/>
    <n v="7"/>
    <n v="45570"/>
    <x v="1"/>
    <n v="45570"/>
    <n v="136710"/>
    <x v="24"/>
  </r>
  <r>
    <s v="S0715"/>
    <x v="526"/>
    <x v="8"/>
    <x v="1"/>
    <x v="4"/>
    <n v="35000"/>
    <n v="65000"/>
    <n v="10"/>
    <n v="65000"/>
    <x v="0"/>
    <n v="65000"/>
    <n v="65000"/>
    <x v="11"/>
  </r>
  <r>
    <s v="S0716"/>
    <x v="446"/>
    <x v="6"/>
    <x v="1"/>
    <x v="2"/>
    <n v="39000"/>
    <n v="49000"/>
    <n v="5"/>
    <n v="49000"/>
    <x v="0"/>
    <n v="49000"/>
    <n v="98000"/>
    <x v="25"/>
  </r>
  <r>
    <s v="S0717"/>
    <x v="47"/>
    <x v="8"/>
    <x v="0"/>
    <x v="4"/>
    <n v="65000"/>
    <n v="49000"/>
    <n v="6"/>
    <n v="61100"/>
    <x v="1"/>
    <n v="61100"/>
    <n v="61100"/>
    <x v="24"/>
  </r>
  <r>
    <s v="S0718"/>
    <x v="111"/>
    <x v="1"/>
    <x v="2"/>
    <x v="0"/>
    <n v="55000"/>
    <n v="49000"/>
    <n v="11"/>
    <n v="49000"/>
    <x v="0"/>
    <n v="49000"/>
    <n v="196000"/>
    <x v="2"/>
  </r>
  <r>
    <s v="S0719"/>
    <x v="527"/>
    <x v="5"/>
    <x v="2"/>
    <x v="0"/>
    <n v="55000"/>
    <n v="65000"/>
    <n v="5"/>
    <n v="65000"/>
    <x v="0"/>
    <n v="65000"/>
    <n v="260000"/>
    <x v="26"/>
  </r>
  <r>
    <s v="S0720"/>
    <x v="528"/>
    <x v="8"/>
    <x v="2"/>
    <x v="0"/>
    <n v="55000"/>
    <n v="65000"/>
    <n v="15"/>
    <n v="46750"/>
    <x v="1"/>
    <n v="46750"/>
    <n v="187000"/>
    <x v="21"/>
  </r>
  <r>
    <s v="S0721"/>
    <x v="529"/>
    <x v="2"/>
    <x v="2"/>
    <x v="1"/>
    <n v="65000"/>
    <n v="69000"/>
    <n v="8"/>
    <n v="69000"/>
    <x v="0"/>
    <n v="69000"/>
    <n v="345000"/>
    <x v="19"/>
  </r>
  <r>
    <s v="S0722"/>
    <x v="30"/>
    <x v="9"/>
    <x v="2"/>
    <x v="0"/>
    <n v="49000"/>
    <n v="49000"/>
    <n v="12"/>
    <n v="43120"/>
    <x v="1"/>
    <n v="43120"/>
    <n v="172480"/>
    <x v="8"/>
  </r>
  <r>
    <s v="S0723"/>
    <x v="118"/>
    <x v="0"/>
    <x v="2"/>
    <x v="1"/>
    <n v="35000"/>
    <n v="35000"/>
    <n v="11"/>
    <n v="35000"/>
    <x v="0"/>
    <n v="35000"/>
    <n v="175000"/>
    <x v="23"/>
  </r>
  <r>
    <s v="S0724"/>
    <x v="369"/>
    <x v="5"/>
    <x v="1"/>
    <x v="4"/>
    <n v="39000"/>
    <n v="65000"/>
    <n v="12"/>
    <n v="34320"/>
    <x v="1"/>
    <n v="34320"/>
    <n v="34320"/>
    <x v="30"/>
  </r>
  <r>
    <s v="S0725"/>
    <x v="222"/>
    <x v="5"/>
    <x v="1"/>
    <x v="1"/>
    <n v="65000"/>
    <n v="65000"/>
    <n v="15"/>
    <n v="65000"/>
    <x v="0"/>
    <n v="65000"/>
    <n v="325000"/>
    <x v="1"/>
  </r>
  <r>
    <s v="S0726"/>
    <x v="530"/>
    <x v="6"/>
    <x v="1"/>
    <x v="3"/>
    <n v="49000"/>
    <n v="65000"/>
    <n v="14"/>
    <n v="42140"/>
    <x v="1"/>
    <n v="42140"/>
    <n v="126420"/>
    <x v="37"/>
  </r>
  <r>
    <s v="S0727"/>
    <x v="395"/>
    <x v="0"/>
    <x v="0"/>
    <x v="3"/>
    <n v="55000"/>
    <n v="65000"/>
    <n v="7"/>
    <n v="65000"/>
    <x v="0"/>
    <n v="65000"/>
    <n v="195000"/>
    <x v="32"/>
  </r>
  <r>
    <s v="S0728"/>
    <x v="383"/>
    <x v="3"/>
    <x v="1"/>
    <x v="2"/>
    <n v="69000"/>
    <n v="29000"/>
    <n v="10"/>
    <n v="62100"/>
    <x v="1"/>
    <n v="62100"/>
    <n v="124200"/>
    <x v="33"/>
  </r>
  <r>
    <s v="S0729"/>
    <x v="313"/>
    <x v="1"/>
    <x v="0"/>
    <x v="0"/>
    <n v="65000"/>
    <n v="59000"/>
    <n v="15"/>
    <n v="55250"/>
    <x v="1"/>
    <n v="55250"/>
    <n v="221000"/>
    <x v="48"/>
  </r>
  <r>
    <s v="S0730"/>
    <x v="531"/>
    <x v="9"/>
    <x v="1"/>
    <x v="1"/>
    <n v="45000"/>
    <n v="45000"/>
    <n v="6"/>
    <n v="42300"/>
    <x v="1"/>
    <n v="42300"/>
    <n v="211500"/>
    <x v="13"/>
  </r>
  <r>
    <s v="S0731"/>
    <x v="325"/>
    <x v="8"/>
    <x v="2"/>
    <x v="1"/>
    <n v="49000"/>
    <n v="59000"/>
    <n v="6"/>
    <n v="59000"/>
    <x v="0"/>
    <n v="59000"/>
    <n v="295000"/>
    <x v="34"/>
  </r>
  <r>
    <s v="S0732"/>
    <x v="532"/>
    <x v="4"/>
    <x v="2"/>
    <x v="1"/>
    <n v="75000"/>
    <n v="59000"/>
    <n v="13"/>
    <n v="65250"/>
    <x v="1"/>
    <n v="65250"/>
    <n v="326250"/>
    <x v="44"/>
  </r>
  <r>
    <s v="S0733"/>
    <x v="58"/>
    <x v="9"/>
    <x v="0"/>
    <x v="4"/>
    <n v="65000"/>
    <n v="69000"/>
    <n v="13"/>
    <n v="56550"/>
    <x v="1"/>
    <n v="56550"/>
    <n v="56550"/>
    <x v="31"/>
  </r>
  <r>
    <s v="S0734"/>
    <x v="426"/>
    <x v="4"/>
    <x v="0"/>
    <x v="0"/>
    <n v="59000"/>
    <n v="55000"/>
    <n v="12"/>
    <n v="51920"/>
    <x v="1"/>
    <n v="51920"/>
    <n v="207680"/>
    <x v="38"/>
  </r>
  <r>
    <s v="S0735"/>
    <x v="11"/>
    <x v="3"/>
    <x v="2"/>
    <x v="4"/>
    <n v="39000"/>
    <n v="35000"/>
    <n v="8"/>
    <n v="35000"/>
    <x v="0"/>
    <n v="35000"/>
    <n v="35000"/>
    <x v="34"/>
  </r>
  <r>
    <s v="S0736"/>
    <x v="533"/>
    <x v="1"/>
    <x v="1"/>
    <x v="2"/>
    <n v="35000"/>
    <n v="49000"/>
    <n v="13"/>
    <n v="30450"/>
    <x v="1"/>
    <n v="30450"/>
    <n v="60900"/>
    <x v="35"/>
  </r>
  <r>
    <s v="S0737"/>
    <x v="534"/>
    <x v="8"/>
    <x v="1"/>
    <x v="0"/>
    <n v="65000"/>
    <n v="65000"/>
    <n v="12"/>
    <n v="57200"/>
    <x v="1"/>
    <n v="57200"/>
    <n v="228800"/>
    <x v="0"/>
  </r>
  <r>
    <s v="S0738"/>
    <x v="535"/>
    <x v="0"/>
    <x v="0"/>
    <x v="1"/>
    <n v="59000"/>
    <n v="59000"/>
    <n v="7"/>
    <n v="54869.999999999993"/>
    <x v="1"/>
    <n v="54869.999999999993"/>
    <n v="274349.99999999994"/>
    <x v="30"/>
  </r>
  <r>
    <s v="S0739"/>
    <x v="384"/>
    <x v="3"/>
    <x v="0"/>
    <x v="1"/>
    <n v="35000"/>
    <n v="29000"/>
    <n v="7"/>
    <n v="29000"/>
    <x v="0"/>
    <n v="29000"/>
    <n v="145000"/>
    <x v="35"/>
  </r>
  <r>
    <s v="S0740"/>
    <x v="536"/>
    <x v="7"/>
    <x v="2"/>
    <x v="0"/>
    <n v="59000"/>
    <n v="65000"/>
    <n v="12"/>
    <n v="65000"/>
    <x v="0"/>
    <n v="65000"/>
    <n v="260000"/>
    <x v="2"/>
  </r>
  <r>
    <s v="S0741"/>
    <x v="537"/>
    <x v="0"/>
    <x v="0"/>
    <x v="1"/>
    <n v="49000"/>
    <n v="69000"/>
    <n v="5"/>
    <n v="46550"/>
    <x v="1"/>
    <n v="46550"/>
    <n v="232750"/>
    <x v="30"/>
  </r>
  <r>
    <s v="S0742"/>
    <x v="63"/>
    <x v="3"/>
    <x v="2"/>
    <x v="2"/>
    <n v="59000"/>
    <n v="75000"/>
    <n v="5"/>
    <n v="56050"/>
    <x v="1"/>
    <n v="56050"/>
    <n v="112100"/>
    <x v="18"/>
  </r>
  <r>
    <s v="S0743"/>
    <x v="302"/>
    <x v="6"/>
    <x v="2"/>
    <x v="2"/>
    <n v="59000"/>
    <n v="29000"/>
    <n v="5"/>
    <n v="29000"/>
    <x v="0"/>
    <n v="29000"/>
    <n v="58000"/>
    <x v="39"/>
  </r>
  <r>
    <s v="S0744"/>
    <x v="538"/>
    <x v="1"/>
    <x v="1"/>
    <x v="4"/>
    <n v="69000"/>
    <n v="59000"/>
    <n v="11"/>
    <n v="59000"/>
    <x v="0"/>
    <n v="59000"/>
    <n v="59000"/>
    <x v="16"/>
  </r>
  <r>
    <s v="S0745"/>
    <x v="162"/>
    <x v="1"/>
    <x v="2"/>
    <x v="0"/>
    <n v="59000"/>
    <n v="65000"/>
    <n v="10"/>
    <n v="53100"/>
    <x v="1"/>
    <n v="53100"/>
    <n v="212400"/>
    <x v="18"/>
  </r>
  <r>
    <s v="S0746"/>
    <x v="385"/>
    <x v="6"/>
    <x v="2"/>
    <x v="3"/>
    <n v="39000"/>
    <n v="49000"/>
    <n v="11"/>
    <n v="49000"/>
    <x v="0"/>
    <n v="49000"/>
    <n v="147000"/>
    <x v="5"/>
  </r>
  <r>
    <s v="S0747"/>
    <x v="364"/>
    <x v="1"/>
    <x v="0"/>
    <x v="4"/>
    <n v="49000"/>
    <n v="59000"/>
    <n v="11"/>
    <n v="43610"/>
    <x v="1"/>
    <n v="43610"/>
    <n v="43610"/>
    <x v="42"/>
  </r>
  <r>
    <s v="S0748"/>
    <x v="539"/>
    <x v="3"/>
    <x v="2"/>
    <x v="2"/>
    <n v="65000"/>
    <n v="65000"/>
    <n v="5"/>
    <n v="65000"/>
    <x v="0"/>
    <n v="65000"/>
    <n v="130000"/>
    <x v="24"/>
  </r>
  <r>
    <s v="S0749"/>
    <x v="540"/>
    <x v="0"/>
    <x v="0"/>
    <x v="4"/>
    <n v="69000"/>
    <n v="49000"/>
    <n v="15"/>
    <n v="58650"/>
    <x v="1"/>
    <n v="58650"/>
    <n v="58650"/>
    <x v="5"/>
  </r>
  <r>
    <s v="S0750"/>
    <x v="333"/>
    <x v="0"/>
    <x v="0"/>
    <x v="3"/>
    <n v="39000"/>
    <n v="65000"/>
    <n v="13"/>
    <n v="65000"/>
    <x v="0"/>
    <n v="65000"/>
    <n v="195000"/>
    <x v="42"/>
  </r>
  <r>
    <s v="S0751"/>
    <x v="268"/>
    <x v="3"/>
    <x v="2"/>
    <x v="4"/>
    <n v="49000"/>
    <n v="55000"/>
    <n v="10"/>
    <n v="55000"/>
    <x v="0"/>
    <n v="55000"/>
    <n v="55000"/>
    <x v="21"/>
  </r>
  <r>
    <s v="S0752"/>
    <x v="541"/>
    <x v="4"/>
    <x v="2"/>
    <x v="0"/>
    <n v="65000"/>
    <n v="39000"/>
    <n v="6"/>
    <n v="61100"/>
    <x v="1"/>
    <n v="61100"/>
    <n v="244400"/>
    <x v="25"/>
  </r>
  <r>
    <s v="S0753"/>
    <x v="542"/>
    <x v="4"/>
    <x v="1"/>
    <x v="1"/>
    <n v="65000"/>
    <n v="49000"/>
    <n v="10"/>
    <n v="58500"/>
    <x v="1"/>
    <n v="58500"/>
    <n v="292500"/>
    <x v="24"/>
  </r>
  <r>
    <s v="S0754"/>
    <x v="543"/>
    <x v="8"/>
    <x v="2"/>
    <x v="4"/>
    <n v="59000"/>
    <n v="69000"/>
    <n v="5"/>
    <n v="69000"/>
    <x v="0"/>
    <n v="69000"/>
    <n v="69000"/>
    <x v="41"/>
  </r>
  <r>
    <s v="S0755"/>
    <x v="544"/>
    <x v="5"/>
    <x v="1"/>
    <x v="2"/>
    <n v="69000"/>
    <n v="69000"/>
    <n v="10"/>
    <n v="62100"/>
    <x v="1"/>
    <n v="62100"/>
    <n v="124200"/>
    <x v="35"/>
  </r>
  <r>
    <s v="S0756"/>
    <x v="545"/>
    <x v="1"/>
    <x v="1"/>
    <x v="0"/>
    <n v="59000"/>
    <n v="29000"/>
    <n v="14"/>
    <n v="50740"/>
    <x v="1"/>
    <n v="50740"/>
    <n v="202960"/>
    <x v="47"/>
  </r>
  <r>
    <s v="S0757"/>
    <x v="546"/>
    <x v="6"/>
    <x v="1"/>
    <x v="4"/>
    <n v="49000"/>
    <n v="39000"/>
    <n v="10"/>
    <n v="44100"/>
    <x v="1"/>
    <n v="44100"/>
    <n v="44100"/>
    <x v="31"/>
  </r>
  <r>
    <s v="S0758"/>
    <x v="547"/>
    <x v="5"/>
    <x v="0"/>
    <x v="3"/>
    <n v="65000"/>
    <n v="49000"/>
    <n v="5"/>
    <n v="61750"/>
    <x v="1"/>
    <n v="61750"/>
    <n v="185250"/>
    <x v="45"/>
  </r>
  <r>
    <s v="S0759"/>
    <x v="548"/>
    <x v="2"/>
    <x v="0"/>
    <x v="0"/>
    <n v="49000"/>
    <n v="49000"/>
    <n v="9"/>
    <n v="44590"/>
    <x v="1"/>
    <n v="44590"/>
    <n v="178360"/>
    <x v="33"/>
  </r>
  <r>
    <s v="S0760"/>
    <x v="549"/>
    <x v="9"/>
    <x v="0"/>
    <x v="4"/>
    <n v="65000"/>
    <n v="65000"/>
    <n v="5"/>
    <n v="65000"/>
    <x v="0"/>
    <n v="65000"/>
    <n v="65000"/>
    <x v="16"/>
  </r>
  <r>
    <s v="S0761"/>
    <x v="550"/>
    <x v="5"/>
    <x v="2"/>
    <x v="0"/>
    <n v="49000"/>
    <n v="69000"/>
    <n v="13"/>
    <n v="42630"/>
    <x v="1"/>
    <n v="42630"/>
    <n v="170520"/>
    <x v="37"/>
  </r>
  <r>
    <s v="S0762"/>
    <x v="75"/>
    <x v="5"/>
    <x v="0"/>
    <x v="1"/>
    <n v="39000"/>
    <n v="49000"/>
    <n v="7"/>
    <n v="49000"/>
    <x v="0"/>
    <n v="49000"/>
    <n v="245000"/>
    <x v="28"/>
  </r>
  <r>
    <s v="S0763"/>
    <x v="95"/>
    <x v="7"/>
    <x v="0"/>
    <x v="0"/>
    <n v="49000"/>
    <n v="49000"/>
    <n v="14"/>
    <n v="49000"/>
    <x v="0"/>
    <n v="49000"/>
    <n v="196000"/>
    <x v="18"/>
  </r>
  <r>
    <s v="S0764"/>
    <x v="543"/>
    <x v="3"/>
    <x v="0"/>
    <x v="2"/>
    <n v="55000"/>
    <n v="49000"/>
    <n v="6"/>
    <n v="51700"/>
    <x v="1"/>
    <n v="51700"/>
    <n v="103400"/>
    <x v="28"/>
  </r>
  <r>
    <s v="S0765"/>
    <x v="551"/>
    <x v="7"/>
    <x v="2"/>
    <x v="4"/>
    <n v="69000"/>
    <n v="65000"/>
    <n v="8"/>
    <n v="65000"/>
    <x v="0"/>
    <n v="65000"/>
    <n v="65000"/>
    <x v="20"/>
  </r>
  <r>
    <s v="S0766"/>
    <x v="290"/>
    <x v="2"/>
    <x v="0"/>
    <x v="2"/>
    <n v="65000"/>
    <n v="75000"/>
    <n v="10"/>
    <n v="58500"/>
    <x v="1"/>
    <n v="58500"/>
    <n v="117000"/>
    <x v="32"/>
  </r>
  <r>
    <s v="S0767"/>
    <x v="297"/>
    <x v="1"/>
    <x v="2"/>
    <x v="4"/>
    <n v="55000"/>
    <n v="59000"/>
    <n v="5"/>
    <n v="52250"/>
    <x v="1"/>
    <n v="52250"/>
    <n v="52250"/>
    <x v="47"/>
  </r>
  <r>
    <s v="S0768"/>
    <x v="518"/>
    <x v="0"/>
    <x v="1"/>
    <x v="0"/>
    <n v="59000"/>
    <n v="65000"/>
    <n v="7"/>
    <n v="65000"/>
    <x v="0"/>
    <n v="65000"/>
    <n v="260000"/>
    <x v="28"/>
  </r>
  <r>
    <s v="S0769"/>
    <x v="552"/>
    <x v="1"/>
    <x v="1"/>
    <x v="2"/>
    <n v="35000"/>
    <n v="59000"/>
    <n v="9"/>
    <n v="59000"/>
    <x v="0"/>
    <n v="59000"/>
    <n v="118000"/>
    <x v="5"/>
  </r>
  <r>
    <s v="S0770"/>
    <x v="553"/>
    <x v="8"/>
    <x v="1"/>
    <x v="2"/>
    <n v="59000"/>
    <n v="55000"/>
    <n v="11"/>
    <n v="52510"/>
    <x v="1"/>
    <n v="52510"/>
    <n v="105020"/>
    <x v="13"/>
  </r>
  <r>
    <s v="S0771"/>
    <x v="101"/>
    <x v="0"/>
    <x v="1"/>
    <x v="3"/>
    <n v="65000"/>
    <n v="59000"/>
    <n v="15"/>
    <n v="59000"/>
    <x v="0"/>
    <n v="59000"/>
    <n v="177000"/>
    <x v="9"/>
  </r>
  <r>
    <s v="S0772"/>
    <x v="84"/>
    <x v="2"/>
    <x v="0"/>
    <x v="1"/>
    <n v="55000"/>
    <n v="59000"/>
    <n v="6"/>
    <n v="51700"/>
    <x v="1"/>
    <n v="51700"/>
    <n v="258500"/>
    <x v="14"/>
  </r>
  <r>
    <s v="S0773"/>
    <x v="554"/>
    <x v="3"/>
    <x v="2"/>
    <x v="1"/>
    <n v="49000"/>
    <n v="65000"/>
    <n v="13"/>
    <n v="65000"/>
    <x v="0"/>
    <n v="65000"/>
    <n v="325000"/>
    <x v="34"/>
  </r>
  <r>
    <s v="S0774"/>
    <x v="219"/>
    <x v="8"/>
    <x v="2"/>
    <x v="0"/>
    <n v="55000"/>
    <n v="59000"/>
    <n v="8"/>
    <n v="50600"/>
    <x v="1"/>
    <n v="50600"/>
    <n v="202400"/>
    <x v="4"/>
  </r>
  <r>
    <s v="S0775"/>
    <x v="555"/>
    <x v="9"/>
    <x v="2"/>
    <x v="1"/>
    <n v="65000"/>
    <n v="35000"/>
    <n v="9"/>
    <n v="35000"/>
    <x v="0"/>
    <n v="35000"/>
    <n v="175000"/>
    <x v="42"/>
  </r>
  <r>
    <s v="S0776"/>
    <x v="556"/>
    <x v="3"/>
    <x v="2"/>
    <x v="2"/>
    <n v="59000"/>
    <n v="59000"/>
    <n v="7"/>
    <n v="54869.999999999993"/>
    <x v="1"/>
    <n v="54869.999999999993"/>
    <n v="109739.99999999999"/>
    <x v="39"/>
  </r>
  <r>
    <s v="S0777"/>
    <x v="284"/>
    <x v="1"/>
    <x v="0"/>
    <x v="3"/>
    <n v="39000"/>
    <n v="59000"/>
    <n v="11"/>
    <n v="59000"/>
    <x v="0"/>
    <n v="59000"/>
    <n v="177000"/>
    <x v="39"/>
  </r>
  <r>
    <s v="S0778"/>
    <x v="24"/>
    <x v="8"/>
    <x v="1"/>
    <x v="0"/>
    <n v="49000"/>
    <n v="59000"/>
    <n v="12"/>
    <n v="43120"/>
    <x v="1"/>
    <n v="43120"/>
    <n v="172480"/>
    <x v="27"/>
  </r>
  <r>
    <s v="S0779"/>
    <x v="557"/>
    <x v="2"/>
    <x v="0"/>
    <x v="2"/>
    <n v="65000"/>
    <n v="39000"/>
    <n v="10"/>
    <n v="58500"/>
    <x v="1"/>
    <n v="58500"/>
    <n v="117000"/>
    <x v="47"/>
  </r>
  <r>
    <s v="S0780"/>
    <x v="324"/>
    <x v="8"/>
    <x v="1"/>
    <x v="3"/>
    <n v="69000"/>
    <n v="69000"/>
    <n v="13"/>
    <n v="69000"/>
    <x v="0"/>
    <n v="69000"/>
    <n v="207000"/>
    <x v="22"/>
  </r>
  <r>
    <s v="S0781"/>
    <x v="197"/>
    <x v="2"/>
    <x v="2"/>
    <x v="4"/>
    <n v="55000"/>
    <n v="39000"/>
    <n v="10"/>
    <n v="49500"/>
    <x v="1"/>
    <n v="49500"/>
    <n v="49500"/>
    <x v="0"/>
  </r>
  <r>
    <s v="S0782"/>
    <x v="558"/>
    <x v="9"/>
    <x v="1"/>
    <x v="1"/>
    <n v="65000"/>
    <n v="65000"/>
    <n v="10"/>
    <n v="58500"/>
    <x v="1"/>
    <n v="58500"/>
    <n v="292500"/>
    <x v="15"/>
  </r>
  <r>
    <s v="S0783"/>
    <x v="310"/>
    <x v="8"/>
    <x v="0"/>
    <x v="1"/>
    <n v="59000"/>
    <n v="49000"/>
    <n v="6"/>
    <n v="49000"/>
    <x v="0"/>
    <n v="49000"/>
    <n v="245000"/>
    <x v="1"/>
  </r>
  <r>
    <s v="S0784"/>
    <x v="559"/>
    <x v="4"/>
    <x v="2"/>
    <x v="2"/>
    <n v="49000"/>
    <n v="59000"/>
    <n v="12"/>
    <n v="59000"/>
    <x v="0"/>
    <n v="59000"/>
    <n v="118000"/>
    <x v="10"/>
  </r>
  <r>
    <s v="S0785"/>
    <x v="560"/>
    <x v="5"/>
    <x v="2"/>
    <x v="4"/>
    <n v="49000"/>
    <n v="55000"/>
    <n v="9"/>
    <n v="55000"/>
    <x v="0"/>
    <n v="55000"/>
    <n v="55000"/>
    <x v="47"/>
  </r>
  <r>
    <s v="S0786"/>
    <x v="32"/>
    <x v="8"/>
    <x v="2"/>
    <x v="2"/>
    <n v="55000"/>
    <n v="59000"/>
    <n v="6"/>
    <n v="51700"/>
    <x v="1"/>
    <n v="51700"/>
    <n v="103400"/>
    <x v="15"/>
  </r>
  <r>
    <s v="S0787"/>
    <x v="107"/>
    <x v="8"/>
    <x v="2"/>
    <x v="0"/>
    <n v="75000"/>
    <n v="49000"/>
    <n v="11"/>
    <n v="49000"/>
    <x v="0"/>
    <n v="49000"/>
    <n v="196000"/>
    <x v="19"/>
  </r>
  <r>
    <s v="S0788"/>
    <x v="367"/>
    <x v="9"/>
    <x v="2"/>
    <x v="0"/>
    <n v="69000"/>
    <n v="35000"/>
    <n v="11"/>
    <n v="35000"/>
    <x v="0"/>
    <n v="35000"/>
    <n v="140000"/>
    <x v="17"/>
  </r>
  <r>
    <s v="S0789"/>
    <x v="561"/>
    <x v="0"/>
    <x v="0"/>
    <x v="3"/>
    <n v="49000"/>
    <n v="49000"/>
    <n v="15"/>
    <n v="49000"/>
    <x v="0"/>
    <n v="49000"/>
    <n v="147000"/>
    <x v="49"/>
  </r>
  <r>
    <s v="S0790"/>
    <x v="394"/>
    <x v="2"/>
    <x v="1"/>
    <x v="2"/>
    <n v="65000"/>
    <n v="59000"/>
    <n v="12"/>
    <n v="59000"/>
    <x v="0"/>
    <n v="59000"/>
    <n v="118000"/>
    <x v="49"/>
  </r>
  <r>
    <s v="S0791"/>
    <x v="562"/>
    <x v="0"/>
    <x v="0"/>
    <x v="3"/>
    <n v="59000"/>
    <n v="39000"/>
    <n v="14"/>
    <n v="39000"/>
    <x v="0"/>
    <n v="39000"/>
    <n v="117000"/>
    <x v="37"/>
  </r>
  <r>
    <s v="S0792"/>
    <x v="563"/>
    <x v="1"/>
    <x v="1"/>
    <x v="0"/>
    <n v="35000"/>
    <n v="55000"/>
    <n v="13"/>
    <n v="30450"/>
    <x v="1"/>
    <n v="30450"/>
    <n v="121800"/>
    <x v="31"/>
  </r>
  <r>
    <s v="S0793"/>
    <x v="564"/>
    <x v="9"/>
    <x v="2"/>
    <x v="3"/>
    <n v="59000"/>
    <n v="39000"/>
    <n v="6"/>
    <n v="39000"/>
    <x v="0"/>
    <n v="39000"/>
    <n v="117000"/>
    <x v="40"/>
  </r>
  <r>
    <s v="S0794"/>
    <x v="289"/>
    <x v="8"/>
    <x v="2"/>
    <x v="3"/>
    <n v="49000"/>
    <n v="39000"/>
    <n v="14"/>
    <n v="42140"/>
    <x v="1"/>
    <n v="42140"/>
    <n v="126420"/>
    <x v="0"/>
  </r>
  <r>
    <s v="S0795"/>
    <x v="565"/>
    <x v="5"/>
    <x v="1"/>
    <x v="3"/>
    <n v="69000"/>
    <n v="69000"/>
    <n v="11"/>
    <n v="69000"/>
    <x v="0"/>
    <n v="69000"/>
    <n v="207000"/>
    <x v="42"/>
  </r>
  <r>
    <s v="S0796"/>
    <x v="566"/>
    <x v="1"/>
    <x v="2"/>
    <x v="3"/>
    <n v="55000"/>
    <n v="69000"/>
    <n v="6"/>
    <n v="69000"/>
    <x v="0"/>
    <n v="69000"/>
    <n v="207000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C9795-07B1-4906-B513-EBE80B392704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9:F7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1">
        <item x="37"/>
        <item x="8"/>
        <item x="20"/>
        <item x="31"/>
        <item x="27"/>
        <item x="25"/>
        <item x="48"/>
        <item x="26"/>
        <item x="10"/>
        <item x="9"/>
        <item x="3"/>
        <item x="17"/>
        <item x="15"/>
        <item x="0"/>
        <item x="19"/>
        <item x="46"/>
        <item x="13"/>
        <item x="7"/>
        <item x="30"/>
        <item x="4"/>
        <item x="32"/>
        <item x="29"/>
        <item x="1"/>
        <item x="36"/>
        <item x="49"/>
        <item x="24"/>
        <item x="14"/>
        <item x="47"/>
        <item x="23"/>
        <item x="6"/>
        <item x="42"/>
        <item x="16"/>
        <item x="12"/>
        <item x="45"/>
        <item x="28"/>
        <item x="41"/>
        <item x="40"/>
        <item x="22"/>
        <item x="11"/>
        <item x="5"/>
        <item x="38"/>
        <item x="43"/>
        <item x="21"/>
        <item x="18"/>
        <item x="39"/>
        <item x="33"/>
        <item x="35"/>
        <item x="2"/>
        <item x="44"/>
        <item x="34"/>
        <item t="default"/>
      </items>
    </pivotField>
    <pivotField showAll="0" defaultSubtotal="0"/>
    <pivotField showAll="0" defaultSubtota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4AAD-AC42-439F-844A-63177B97B113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:F7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041E5-D87F-458E-9D70-AFA27CB24E59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B74" firstHeaderRow="1" firstDataRow="1" firstDataCol="1"/>
  <pivotFields count="15">
    <pivotField showAll="0"/>
    <pivotField axis="axisRow" numFmtId="14" showAll="0" sortType="descending">
      <items count="15">
        <item h="1" x="13"/>
        <item h="1"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h="1" x="0"/>
        <item x="1"/>
        <item x="2"/>
        <item x="3"/>
        <item x="4"/>
        <item h="1" x="5"/>
        <item t="default"/>
      </items>
    </pivotField>
    <pivotField axis="axisRow" showAll="0">
      <items count="7">
        <item h="1" x="0"/>
        <item x="1"/>
        <item x="2"/>
        <item x="3"/>
        <item x="4"/>
        <item h="1" x="5"/>
        <item t="default"/>
      </items>
    </pivotField>
  </pivotFields>
  <rowFields count="3">
    <field x="14"/>
    <field x="13"/>
    <field x="1"/>
  </rowFields>
  <rowItems count="55">
    <i>
      <x v="1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2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3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4"/>
    </i>
    <i r="1">
      <x v="1"/>
    </i>
    <i r="2">
      <x v="1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11DAA-7709-48AE-A30B-D4CBB453C9F7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5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1"/>
        <item x="5"/>
        <item x="2"/>
        <item x="9"/>
        <item x="8"/>
        <item x="4"/>
        <item x="7"/>
        <item x="3"/>
        <item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597D-0823-4223-A5F4-DE3FF21654D2}">
  <dimension ref="A1:M797"/>
  <sheetViews>
    <sheetView zoomScale="94" workbookViewId="0">
      <selection activeCell="C2" sqref="C2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</cols>
  <sheetData>
    <row r="1" spans="1:13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</row>
    <row r="2" spans="1:13" ht="16.8" x14ac:dyDescent="0.3">
      <c r="A2" s="7" t="s">
        <v>277</v>
      </c>
      <c r="B2" s="8">
        <v>44713</v>
      </c>
      <c r="C2" s="15" t="s">
        <v>5</v>
      </c>
      <c r="D2" s="10" t="s">
        <v>222</v>
      </c>
      <c r="E2">
        <v>4</v>
      </c>
      <c r="F2">
        <v>75000</v>
      </c>
      <c r="G2">
        <v>49000</v>
      </c>
      <c r="H2">
        <v>7</v>
      </c>
      <c r="I2">
        <v>49000</v>
      </c>
      <c r="J2" s="10" t="s">
        <v>279</v>
      </c>
      <c r="K2" s="10">
        <v>49000</v>
      </c>
      <c r="L2" s="10">
        <v>196000</v>
      </c>
      <c r="M2" s="12" t="s">
        <v>254</v>
      </c>
    </row>
    <row r="3" spans="1:13" ht="16.8" x14ac:dyDescent="0.3">
      <c r="A3" s="7" t="s">
        <v>22</v>
      </c>
      <c r="B3" s="8">
        <v>44735</v>
      </c>
      <c r="C3" s="23" t="s">
        <v>6</v>
      </c>
      <c r="D3" s="10" t="s">
        <v>224</v>
      </c>
      <c r="E3">
        <v>5</v>
      </c>
      <c r="F3">
        <v>59000</v>
      </c>
      <c r="G3">
        <v>39000</v>
      </c>
      <c r="H3">
        <v>10</v>
      </c>
      <c r="I3">
        <v>53100</v>
      </c>
      <c r="J3" s="10" t="s">
        <v>278</v>
      </c>
      <c r="K3" s="10">
        <v>53100</v>
      </c>
      <c r="L3" s="10">
        <v>265500</v>
      </c>
      <c r="M3" s="12" t="s">
        <v>246</v>
      </c>
    </row>
    <row r="4" spans="1:13" ht="16.8" x14ac:dyDescent="0.3">
      <c r="A4" s="7" t="s">
        <v>23</v>
      </c>
      <c r="B4" s="8">
        <v>45166</v>
      </c>
      <c r="C4" s="15" t="s">
        <v>270</v>
      </c>
      <c r="D4" s="10" t="s">
        <v>222</v>
      </c>
      <c r="E4">
        <v>5</v>
      </c>
      <c r="F4">
        <v>69000</v>
      </c>
      <c r="G4">
        <v>65000</v>
      </c>
      <c r="H4">
        <v>13</v>
      </c>
      <c r="I4">
        <v>65000</v>
      </c>
      <c r="J4" s="10" t="s">
        <v>279</v>
      </c>
      <c r="K4" s="10">
        <v>65000</v>
      </c>
      <c r="L4" s="10">
        <v>325000</v>
      </c>
      <c r="M4" s="12" t="s">
        <v>11</v>
      </c>
    </row>
    <row r="5" spans="1:13" ht="16.8" x14ac:dyDescent="0.3">
      <c r="A5" s="7" t="s">
        <v>24</v>
      </c>
      <c r="B5" s="8">
        <v>45211</v>
      </c>
      <c r="C5" s="15" t="s">
        <v>272</v>
      </c>
      <c r="D5" s="10" t="s">
        <v>224</v>
      </c>
      <c r="E5">
        <v>2</v>
      </c>
      <c r="F5">
        <v>49000</v>
      </c>
      <c r="G5">
        <v>49000</v>
      </c>
      <c r="H5">
        <v>9</v>
      </c>
      <c r="I5">
        <v>49000</v>
      </c>
      <c r="J5" s="10" t="s">
        <v>279</v>
      </c>
      <c r="K5" s="10">
        <v>49000</v>
      </c>
      <c r="L5" s="10">
        <v>98000</v>
      </c>
      <c r="M5" s="12" t="s">
        <v>257</v>
      </c>
    </row>
    <row r="6" spans="1:13" ht="16.8" x14ac:dyDescent="0.3">
      <c r="A6" s="7" t="s">
        <v>25</v>
      </c>
      <c r="B6" s="8">
        <v>45017</v>
      </c>
      <c r="C6" s="15" t="s">
        <v>274</v>
      </c>
      <c r="D6" s="10" t="s">
        <v>224</v>
      </c>
      <c r="E6">
        <v>4</v>
      </c>
      <c r="F6">
        <v>49000</v>
      </c>
      <c r="G6">
        <v>69000</v>
      </c>
      <c r="H6">
        <v>5</v>
      </c>
      <c r="I6">
        <v>46550</v>
      </c>
      <c r="J6" s="10" t="s">
        <v>278</v>
      </c>
      <c r="K6" s="10">
        <v>46550</v>
      </c>
      <c r="L6" s="10">
        <v>186200</v>
      </c>
      <c r="M6" s="12" t="s">
        <v>249</v>
      </c>
    </row>
    <row r="7" spans="1:13" ht="16.8" x14ac:dyDescent="0.3">
      <c r="A7" s="7" t="s">
        <v>26</v>
      </c>
      <c r="B7" s="8">
        <v>45209</v>
      </c>
      <c r="C7" s="15" t="s">
        <v>4</v>
      </c>
      <c r="D7" s="10" t="s">
        <v>223</v>
      </c>
      <c r="E7">
        <v>5</v>
      </c>
      <c r="F7">
        <v>65000</v>
      </c>
      <c r="G7">
        <v>65000</v>
      </c>
      <c r="H7">
        <v>12</v>
      </c>
      <c r="I7">
        <v>57200</v>
      </c>
      <c r="J7" s="10" t="s">
        <v>278</v>
      </c>
      <c r="K7" s="10">
        <v>57200</v>
      </c>
      <c r="L7" s="10">
        <v>286000</v>
      </c>
      <c r="M7" s="12" t="s">
        <v>231</v>
      </c>
    </row>
    <row r="8" spans="1:13" ht="16.8" x14ac:dyDescent="0.3">
      <c r="A8" s="7" t="s">
        <v>27</v>
      </c>
      <c r="B8" s="8">
        <v>44877</v>
      </c>
      <c r="C8" s="15" t="s">
        <v>3</v>
      </c>
      <c r="D8" s="10" t="s">
        <v>224</v>
      </c>
      <c r="E8">
        <v>2</v>
      </c>
      <c r="F8">
        <v>39000</v>
      </c>
      <c r="G8">
        <v>55000</v>
      </c>
      <c r="H8">
        <v>10</v>
      </c>
      <c r="I8">
        <v>35100</v>
      </c>
      <c r="J8" s="10" t="s">
        <v>278</v>
      </c>
      <c r="K8" s="10">
        <v>35100</v>
      </c>
      <c r="L8" s="10">
        <v>70200</v>
      </c>
      <c r="M8" s="12" t="s">
        <v>11</v>
      </c>
    </row>
    <row r="9" spans="1:13" ht="16.8" x14ac:dyDescent="0.3">
      <c r="A9" s="7" t="s">
        <v>28</v>
      </c>
      <c r="B9" s="8">
        <v>45240</v>
      </c>
      <c r="C9" s="15" t="s">
        <v>3</v>
      </c>
      <c r="D9" s="10" t="s">
        <v>223</v>
      </c>
      <c r="E9">
        <v>4</v>
      </c>
      <c r="F9">
        <v>65000</v>
      </c>
      <c r="G9">
        <v>29000</v>
      </c>
      <c r="H9">
        <v>11</v>
      </c>
      <c r="I9">
        <v>29000</v>
      </c>
      <c r="J9" s="10" t="s">
        <v>279</v>
      </c>
      <c r="K9" s="10">
        <v>29000</v>
      </c>
      <c r="L9" s="10">
        <v>116000</v>
      </c>
      <c r="M9" s="12" t="s">
        <v>257</v>
      </c>
    </row>
    <row r="10" spans="1:13" ht="16.8" x14ac:dyDescent="0.3">
      <c r="A10" s="7" t="s">
        <v>29</v>
      </c>
      <c r="B10" s="8">
        <v>44699</v>
      </c>
      <c r="C10" s="15" t="s">
        <v>272</v>
      </c>
      <c r="D10" s="10" t="s">
        <v>222</v>
      </c>
      <c r="E10">
        <v>5</v>
      </c>
      <c r="F10">
        <v>59000</v>
      </c>
      <c r="G10">
        <v>59000</v>
      </c>
      <c r="H10">
        <v>5</v>
      </c>
      <c r="I10">
        <v>59000</v>
      </c>
      <c r="J10" s="10" t="s">
        <v>279</v>
      </c>
      <c r="K10" s="10">
        <v>59000</v>
      </c>
      <c r="L10" s="10">
        <v>295000</v>
      </c>
      <c r="M10" s="12" t="s">
        <v>240</v>
      </c>
    </row>
    <row r="11" spans="1:13" ht="16.8" x14ac:dyDescent="0.3">
      <c r="A11" s="7" t="s">
        <v>30</v>
      </c>
      <c r="B11" s="8">
        <v>44914</v>
      </c>
      <c r="C11" s="15" t="s">
        <v>274</v>
      </c>
      <c r="D11" s="10" t="s">
        <v>224</v>
      </c>
      <c r="E11">
        <v>4</v>
      </c>
      <c r="F11">
        <v>59000</v>
      </c>
      <c r="G11">
        <v>75000</v>
      </c>
      <c r="H11">
        <v>6</v>
      </c>
      <c r="I11">
        <v>75000</v>
      </c>
      <c r="J11" s="10" t="s">
        <v>279</v>
      </c>
      <c r="K11" s="10">
        <v>75000</v>
      </c>
      <c r="L11" s="10">
        <v>300000</v>
      </c>
      <c r="M11" s="12" t="s">
        <v>251</v>
      </c>
    </row>
    <row r="12" spans="1:13" ht="16.8" x14ac:dyDescent="0.3">
      <c r="A12" s="7" t="s">
        <v>31</v>
      </c>
      <c r="B12" s="8">
        <v>44893</v>
      </c>
      <c r="C12" s="15" t="s">
        <v>6</v>
      </c>
      <c r="D12" s="10" t="s">
        <v>223</v>
      </c>
      <c r="E12">
        <v>5</v>
      </c>
      <c r="F12">
        <v>59000</v>
      </c>
      <c r="G12">
        <v>59000</v>
      </c>
      <c r="H12">
        <v>15</v>
      </c>
      <c r="I12">
        <v>50150</v>
      </c>
      <c r="J12" s="10" t="s">
        <v>278</v>
      </c>
      <c r="K12" s="10">
        <v>50150</v>
      </c>
      <c r="L12" s="10">
        <v>250750</v>
      </c>
      <c r="M12" s="12" t="s">
        <v>20</v>
      </c>
    </row>
    <row r="13" spans="1:13" ht="16.8" x14ac:dyDescent="0.3">
      <c r="A13" s="7" t="s">
        <v>32</v>
      </c>
      <c r="B13" s="8">
        <v>45074</v>
      </c>
      <c r="C13" s="15" t="s">
        <v>274</v>
      </c>
      <c r="D13" s="10" t="s">
        <v>222</v>
      </c>
      <c r="E13">
        <v>2</v>
      </c>
      <c r="F13">
        <v>59000</v>
      </c>
      <c r="G13">
        <v>75000</v>
      </c>
      <c r="H13">
        <v>6</v>
      </c>
      <c r="I13">
        <v>75000</v>
      </c>
      <c r="J13" s="10" t="s">
        <v>279</v>
      </c>
      <c r="K13" s="10">
        <v>75000</v>
      </c>
      <c r="L13" s="10">
        <v>150000</v>
      </c>
      <c r="M13" s="12" t="s">
        <v>257</v>
      </c>
    </row>
    <row r="14" spans="1:13" ht="16.8" x14ac:dyDescent="0.3">
      <c r="A14" s="7" t="s">
        <v>33</v>
      </c>
      <c r="B14" s="8">
        <v>44276</v>
      </c>
      <c r="C14" s="15" t="s">
        <v>4</v>
      </c>
      <c r="D14" s="10" t="s">
        <v>222</v>
      </c>
      <c r="E14">
        <v>3</v>
      </c>
      <c r="F14">
        <v>49000</v>
      </c>
      <c r="G14">
        <v>65000</v>
      </c>
      <c r="H14">
        <v>6</v>
      </c>
      <c r="I14">
        <v>65000</v>
      </c>
      <c r="J14" s="10" t="s">
        <v>279</v>
      </c>
      <c r="K14" s="10">
        <v>65000</v>
      </c>
      <c r="L14" s="10">
        <v>195000</v>
      </c>
      <c r="M14" s="12" t="s">
        <v>258</v>
      </c>
    </row>
    <row r="15" spans="1:13" ht="16.8" x14ac:dyDescent="0.3">
      <c r="A15" s="7" t="s">
        <v>34</v>
      </c>
      <c r="B15" s="8">
        <v>44419</v>
      </c>
      <c r="C15" s="15" t="s">
        <v>5</v>
      </c>
      <c r="D15" s="10" t="s">
        <v>223</v>
      </c>
      <c r="E15">
        <v>5</v>
      </c>
      <c r="F15">
        <v>59000</v>
      </c>
      <c r="G15">
        <v>49000</v>
      </c>
      <c r="H15">
        <v>14</v>
      </c>
      <c r="I15">
        <v>49000</v>
      </c>
      <c r="J15" s="10" t="s">
        <v>279</v>
      </c>
      <c r="K15" s="10">
        <v>49000</v>
      </c>
      <c r="L15" s="10">
        <v>245000</v>
      </c>
      <c r="M15" s="12" t="s">
        <v>259</v>
      </c>
    </row>
    <row r="16" spans="1:13" ht="16.8" x14ac:dyDescent="0.3">
      <c r="A16" s="7" t="s">
        <v>35</v>
      </c>
      <c r="B16" s="8">
        <v>44306</v>
      </c>
      <c r="C16" s="15" t="s">
        <v>3</v>
      </c>
      <c r="D16" s="10" t="s">
        <v>223</v>
      </c>
      <c r="E16">
        <v>3</v>
      </c>
      <c r="F16">
        <v>59000</v>
      </c>
      <c r="G16">
        <v>65000</v>
      </c>
      <c r="H16">
        <v>15</v>
      </c>
      <c r="I16">
        <v>65000</v>
      </c>
      <c r="J16" s="10" t="s">
        <v>279</v>
      </c>
      <c r="K16" s="10">
        <v>65000</v>
      </c>
      <c r="L16" s="10">
        <v>195000</v>
      </c>
      <c r="M16" s="12" t="s">
        <v>14</v>
      </c>
    </row>
    <row r="17" spans="1:13" ht="16.8" x14ac:dyDescent="0.3">
      <c r="A17" s="7" t="s">
        <v>36</v>
      </c>
      <c r="B17" s="8">
        <v>45008</v>
      </c>
      <c r="C17" s="15" t="s">
        <v>270</v>
      </c>
      <c r="D17" s="10" t="s">
        <v>223</v>
      </c>
      <c r="E17">
        <v>5</v>
      </c>
      <c r="F17">
        <v>59000</v>
      </c>
      <c r="G17">
        <v>65000</v>
      </c>
      <c r="H17">
        <v>14</v>
      </c>
      <c r="I17">
        <v>50740</v>
      </c>
      <c r="J17" s="10" t="s">
        <v>278</v>
      </c>
      <c r="K17" s="10">
        <v>50740</v>
      </c>
      <c r="L17" s="10">
        <v>253700</v>
      </c>
      <c r="M17" s="12" t="s">
        <v>11</v>
      </c>
    </row>
    <row r="18" spans="1:13" ht="16.8" x14ac:dyDescent="0.3">
      <c r="A18" s="7" t="s">
        <v>37</v>
      </c>
      <c r="B18" s="8">
        <v>44661</v>
      </c>
      <c r="C18" s="15" t="s">
        <v>275</v>
      </c>
      <c r="D18" s="10" t="s">
        <v>224</v>
      </c>
      <c r="E18">
        <v>5</v>
      </c>
      <c r="F18">
        <v>55000</v>
      </c>
      <c r="G18">
        <v>55000</v>
      </c>
      <c r="H18">
        <v>6</v>
      </c>
      <c r="I18">
        <v>55000</v>
      </c>
      <c r="J18" s="10" t="s">
        <v>279</v>
      </c>
      <c r="K18" s="10">
        <v>55000</v>
      </c>
      <c r="L18" s="10">
        <v>275000</v>
      </c>
      <c r="M18" s="12" t="s">
        <v>246</v>
      </c>
    </row>
    <row r="19" spans="1:13" ht="16.8" x14ac:dyDescent="0.3">
      <c r="A19" s="7" t="s">
        <v>38</v>
      </c>
      <c r="B19" s="8">
        <v>44540</v>
      </c>
      <c r="C19" s="15" t="s">
        <v>274</v>
      </c>
      <c r="D19" s="10" t="s">
        <v>223</v>
      </c>
      <c r="E19">
        <v>1</v>
      </c>
      <c r="F19">
        <v>69000</v>
      </c>
      <c r="G19">
        <v>59000</v>
      </c>
      <c r="H19">
        <v>13</v>
      </c>
      <c r="I19">
        <v>60030</v>
      </c>
      <c r="J19" s="10" t="s">
        <v>278</v>
      </c>
      <c r="K19" s="10">
        <v>60030</v>
      </c>
      <c r="L19" s="10">
        <v>60030</v>
      </c>
      <c r="M19" s="12" t="s">
        <v>237</v>
      </c>
    </row>
    <row r="20" spans="1:13" ht="16.8" x14ac:dyDescent="0.3">
      <c r="A20" s="7" t="s">
        <v>39</v>
      </c>
      <c r="B20" s="8">
        <v>44886</v>
      </c>
      <c r="C20" s="15" t="s">
        <v>6</v>
      </c>
      <c r="D20" s="10" t="s">
        <v>223</v>
      </c>
      <c r="E20">
        <v>1</v>
      </c>
      <c r="F20">
        <v>59000</v>
      </c>
      <c r="G20">
        <v>49000</v>
      </c>
      <c r="H20">
        <v>8</v>
      </c>
      <c r="I20">
        <v>49000</v>
      </c>
      <c r="J20" s="10" t="s">
        <v>279</v>
      </c>
      <c r="K20" s="10">
        <v>49000</v>
      </c>
      <c r="L20" s="10">
        <v>49000</v>
      </c>
      <c r="M20" s="12" t="s">
        <v>16</v>
      </c>
    </row>
    <row r="21" spans="1:13" ht="16.8" x14ac:dyDescent="0.3">
      <c r="A21" s="7" t="s">
        <v>40</v>
      </c>
      <c r="B21" s="8">
        <v>44244</v>
      </c>
      <c r="C21" s="15" t="s">
        <v>274</v>
      </c>
      <c r="D21" s="10" t="s">
        <v>224</v>
      </c>
      <c r="E21">
        <v>4</v>
      </c>
      <c r="F21">
        <v>65000</v>
      </c>
      <c r="G21">
        <v>65000</v>
      </c>
      <c r="H21">
        <v>11</v>
      </c>
      <c r="I21">
        <v>57850</v>
      </c>
      <c r="J21" s="10" t="s">
        <v>278</v>
      </c>
      <c r="K21" s="10">
        <v>57850</v>
      </c>
      <c r="L21" s="10">
        <v>231400</v>
      </c>
      <c r="M21" s="12" t="s">
        <v>242</v>
      </c>
    </row>
    <row r="22" spans="1:13" ht="16.8" x14ac:dyDescent="0.3">
      <c r="A22" s="7" t="s">
        <v>41</v>
      </c>
      <c r="B22" s="8">
        <v>44358</v>
      </c>
      <c r="C22" s="15" t="s">
        <v>275</v>
      </c>
      <c r="D22" s="10" t="s">
        <v>224</v>
      </c>
      <c r="E22">
        <v>3</v>
      </c>
      <c r="F22">
        <v>59000</v>
      </c>
      <c r="G22">
        <v>49000</v>
      </c>
      <c r="H22">
        <v>12</v>
      </c>
      <c r="I22">
        <v>51920</v>
      </c>
      <c r="J22" s="10" t="s">
        <v>278</v>
      </c>
      <c r="K22" s="10">
        <v>51920</v>
      </c>
      <c r="L22" s="10">
        <v>155760</v>
      </c>
      <c r="M22" s="12" t="s">
        <v>255</v>
      </c>
    </row>
    <row r="23" spans="1:13" ht="16.8" x14ac:dyDescent="0.3">
      <c r="A23" s="7" t="s">
        <v>42</v>
      </c>
      <c r="B23" s="8">
        <v>45251</v>
      </c>
      <c r="C23" s="15" t="s">
        <v>275</v>
      </c>
      <c r="D23" s="10" t="s">
        <v>223</v>
      </c>
      <c r="E23">
        <v>4</v>
      </c>
      <c r="F23">
        <v>75000</v>
      </c>
      <c r="G23">
        <v>65000</v>
      </c>
      <c r="H23">
        <v>8</v>
      </c>
      <c r="I23">
        <v>69000</v>
      </c>
      <c r="J23" s="10" t="s">
        <v>278</v>
      </c>
      <c r="K23" s="10">
        <v>69000</v>
      </c>
      <c r="L23" s="10">
        <v>276000</v>
      </c>
      <c r="M23" s="12" t="s">
        <v>238</v>
      </c>
    </row>
    <row r="24" spans="1:13" ht="16.8" x14ac:dyDescent="0.3">
      <c r="A24" s="7" t="s">
        <v>43</v>
      </c>
      <c r="B24" s="8">
        <v>44954</v>
      </c>
      <c r="C24" s="15" t="s">
        <v>275</v>
      </c>
      <c r="D24" s="10" t="s">
        <v>224</v>
      </c>
      <c r="E24">
        <v>3</v>
      </c>
      <c r="F24">
        <v>49000</v>
      </c>
      <c r="G24">
        <v>65000</v>
      </c>
      <c r="H24">
        <v>7</v>
      </c>
      <c r="I24">
        <v>65000</v>
      </c>
      <c r="J24" s="10" t="s">
        <v>279</v>
      </c>
      <c r="K24" s="10">
        <v>65000</v>
      </c>
      <c r="L24" s="10">
        <v>195000</v>
      </c>
      <c r="M24" s="12" t="s">
        <v>256</v>
      </c>
    </row>
    <row r="25" spans="1:13" ht="16.8" x14ac:dyDescent="0.3">
      <c r="A25" s="7" t="s">
        <v>44</v>
      </c>
      <c r="B25" s="8">
        <v>44897</v>
      </c>
      <c r="C25" s="15" t="s">
        <v>272</v>
      </c>
      <c r="D25" s="10" t="s">
        <v>222</v>
      </c>
      <c r="E25">
        <v>5</v>
      </c>
      <c r="F25">
        <v>59000</v>
      </c>
      <c r="G25">
        <v>65000</v>
      </c>
      <c r="H25">
        <v>14</v>
      </c>
      <c r="I25">
        <v>65000</v>
      </c>
      <c r="J25" s="10" t="s">
        <v>279</v>
      </c>
      <c r="K25" s="10">
        <v>65000</v>
      </c>
      <c r="L25" s="10">
        <v>325000</v>
      </c>
      <c r="M25" s="12" t="s">
        <v>242</v>
      </c>
    </row>
    <row r="26" spans="1:13" ht="16.8" x14ac:dyDescent="0.3">
      <c r="A26" s="7" t="s">
        <v>45</v>
      </c>
      <c r="B26" s="8">
        <v>44855</v>
      </c>
      <c r="C26" s="15" t="s">
        <v>272</v>
      </c>
      <c r="D26" s="10" t="s">
        <v>224</v>
      </c>
      <c r="E26">
        <v>4</v>
      </c>
      <c r="F26">
        <v>39000</v>
      </c>
      <c r="G26">
        <v>69000</v>
      </c>
      <c r="H26">
        <v>5</v>
      </c>
      <c r="I26">
        <v>37050</v>
      </c>
      <c r="J26" s="10" t="s">
        <v>278</v>
      </c>
      <c r="K26" s="10">
        <v>37050</v>
      </c>
      <c r="L26" s="10">
        <v>148200</v>
      </c>
      <c r="M26" s="12" t="s">
        <v>246</v>
      </c>
    </row>
    <row r="27" spans="1:13" ht="16.8" x14ac:dyDescent="0.3">
      <c r="A27" s="7" t="s">
        <v>46</v>
      </c>
      <c r="B27" s="8">
        <v>45292</v>
      </c>
      <c r="C27" s="15" t="s">
        <v>3</v>
      </c>
      <c r="D27" s="10" t="s">
        <v>223</v>
      </c>
      <c r="E27">
        <v>2</v>
      </c>
      <c r="F27">
        <v>45000</v>
      </c>
      <c r="G27">
        <v>59000</v>
      </c>
      <c r="H27">
        <v>15</v>
      </c>
      <c r="I27">
        <v>38250</v>
      </c>
      <c r="J27" s="10" t="s">
        <v>278</v>
      </c>
      <c r="K27" s="10">
        <v>38250</v>
      </c>
      <c r="L27" s="10">
        <v>76500</v>
      </c>
      <c r="M27" s="12" t="s">
        <v>11</v>
      </c>
    </row>
    <row r="28" spans="1:13" ht="16.8" x14ac:dyDescent="0.3">
      <c r="A28" s="7" t="s">
        <v>47</v>
      </c>
      <c r="B28" s="8">
        <v>44351</v>
      </c>
      <c r="C28" s="15" t="s">
        <v>5</v>
      </c>
      <c r="D28" s="10" t="s">
        <v>224</v>
      </c>
      <c r="E28">
        <v>4</v>
      </c>
      <c r="F28">
        <v>55000</v>
      </c>
      <c r="G28">
        <v>55000</v>
      </c>
      <c r="H28">
        <v>10</v>
      </c>
      <c r="I28">
        <v>49500</v>
      </c>
      <c r="J28" s="10" t="s">
        <v>278</v>
      </c>
      <c r="K28" s="10">
        <v>49500</v>
      </c>
      <c r="L28" s="10">
        <v>198000</v>
      </c>
      <c r="M28" s="12" t="s">
        <v>227</v>
      </c>
    </row>
    <row r="29" spans="1:13" ht="16.8" x14ac:dyDescent="0.3">
      <c r="A29" s="7" t="s">
        <v>48</v>
      </c>
      <c r="B29" s="8">
        <v>44548</v>
      </c>
      <c r="C29" s="15" t="s">
        <v>4</v>
      </c>
      <c r="D29" s="10" t="s">
        <v>223</v>
      </c>
      <c r="E29">
        <v>5</v>
      </c>
      <c r="F29">
        <v>39000</v>
      </c>
      <c r="G29">
        <v>45000</v>
      </c>
      <c r="H29">
        <v>5</v>
      </c>
      <c r="I29">
        <v>45000</v>
      </c>
      <c r="J29" s="10" t="s">
        <v>279</v>
      </c>
      <c r="K29" s="10">
        <v>45000</v>
      </c>
      <c r="L29" s="10">
        <v>225000</v>
      </c>
      <c r="M29" s="12" t="s">
        <v>253</v>
      </c>
    </row>
    <row r="30" spans="1:13" ht="16.8" x14ac:dyDescent="0.3">
      <c r="A30" s="7" t="s">
        <v>49</v>
      </c>
      <c r="B30" s="8">
        <v>44797</v>
      </c>
      <c r="C30" s="15" t="s">
        <v>275</v>
      </c>
      <c r="D30" s="10" t="s">
        <v>223</v>
      </c>
      <c r="E30">
        <v>2</v>
      </c>
      <c r="F30">
        <v>35000</v>
      </c>
      <c r="G30">
        <v>49000</v>
      </c>
      <c r="H30">
        <v>6</v>
      </c>
      <c r="I30">
        <v>49000</v>
      </c>
      <c r="J30" s="10" t="s">
        <v>279</v>
      </c>
      <c r="K30" s="10">
        <v>49000</v>
      </c>
      <c r="L30" s="10">
        <v>98000</v>
      </c>
      <c r="M30" s="12" t="s">
        <v>19</v>
      </c>
    </row>
    <row r="31" spans="1:13" ht="16.8" x14ac:dyDescent="0.3">
      <c r="A31" s="7" t="s">
        <v>50</v>
      </c>
      <c r="B31" s="8">
        <v>44409</v>
      </c>
      <c r="C31" s="15" t="s">
        <v>5</v>
      </c>
      <c r="D31" s="10" t="s">
        <v>223</v>
      </c>
      <c r="E31">
        <v>1</v>
      </c>
      <c r="F31">
        <v>49000</v>
      </c>
      <c r="G31">
        <v>59000</v>
      </c>
      <c r="H31">
        <v>11</v>
      </c>
      <c r="I31">
        <v>43610</v>
      </c>
      <c r="J31" s="10" t="s">
        <v>278</v>
      </c>
      <c r="K31" s="10">
        <v>43610</v>
      </c>
      <c r="L31" s="10">
        <v>43610</v>
      </c>
      <c r="M31" s="12" t="s">
        <v>228</v>
      </c>
    </row>
    <row r="32" spans="1:13" ht="16.8" x14ac:dyDescent="0.3">
      <c r="A32" s="7" t="s">
        <v>51</v>
      </c>
      <c r="B32" s="8">
        <v>44210</v>
      </c>
      <c r="C32" s="15" t="s">
        <v>5</v>
      </c>
      <c r="D32" s="10" t="s">
        <v>224</v>
      </c>
      <c r="E32">
        <v>1</v>
      </c>
      <c r="F32">
        <v>49000</v>
      </c>
      <c r="G32">
        <v>59000</v>
      </c>
      <c r="H32">
        <v>10</v>
      </c>
      <c r="I32">
        <v>44100</v>
      </c>
      <c r="J32" s="10" t="s">
        <v>278</v>
      </c>
      <c r="K32" s="10">
        <v>44100</v>
      </c>
      <c r="L32" s="10">
        <v>44100</v>
      </c>
      <c r="M32" s="12" t="s">
        <v>16</v>
      </c>
    </row>
    <row r="33" spans="1:13" ht="16.8" x14ac:dyDescent="0.3">
      <c r="A33" s="7" t="s">
        <v>52</v>
      </c>
      <c r="B33" s="8">
        <v>45050</v>
      </c>
      <c r="C33" s="15" t="s">
        <v>270</v>
      </c>
      <c r="D33" s="10" t="s">
        <v>223</v>
      </c>
      <c r="E33">
        <v>4</v>
      </c>
      <c r="F33">
        <v>49000</v>
      </c>
      <c r="G33">
        <v>55000</v>
      </c>
      <c r="H33">
        <v>8</v>
      </c>
      <c r="I33">
        <v>55000</v>
      </c>
      <c r="J33" s="10" t="s">
        <v>279</v>
      </c>
      <c r="K33" s="10">
        <v>55000</v>
      </c>
      <c r="L33" s="10">
        <v>220000</v>
      </c>
      <c r="M33" s="12" t="s">
        <v>232</v>
      </c>
    </row>
    <row r="34" spans="1:13" ht="16.8" x14ac:dyDescent="0.3">
      <c r="A34" s="7" t="s">
        <v>53</v>
      </c>
      <c r="B34" s="8">
        <v>44553</v>
      </c>
      <c r="C34" s="15" t="s">
        <v>273</v>
      </c>
      <c r="D34" s="10" t="s">
        <v>223</v>
      </c>
      <c r="E34">
        <v>3</v>
      </c>
      <c r="F34">
        <v>59000</v>
      </c>
      <c r="G34">
        <v>55000</v>
      </c>
      <c r="H34">
        <v>7</v>
      </c>
      <c r="I34">
        <v>54869.999999999993</v>
      </c>
      <c r="J34" s="10" t="s">
        <v>278</v>
      </c>
      <c r="K34" s="10">
        <v>54869.999999999993</v>
      </c>
      <c r="L34" s="10">
        <v>164609.99999999997</v>
      </c>
      <c r="M34" s="12" t="s">
        <v>241</v>
      </c>
    </row>
    <row r="35" spans="1:13" ht="16.8" x14ac:dyDescent="0.3">
      <c r="A35" s="7" t="s">
        <v>54</v>
      </c>
      <c r="B35" s="8">
        <v>44451</v>
      </c>
      <c r="C35" s="15" t="s">
        <v>275</v>
      </c>
      <c r="D35" s="10" t="s">
        <v>224</v>
      </c>
      <c r="E35">
        <v>3</v>
      </c>
      <c r="F35">
        <v>69000</v>
      </c>
      <c r="G35">
        <v>49000</v>
      </c>
      <c r="H35">
        <v>15</v>
      </c>
      <c r="I35">
        <v>58650</v>
      </c>
      <c r="J35" s="10" t="s">
        <v>278</v>
      </c>
      <c r="K35" s="10">
        <v>58650</v>
      </c>
      <c r="L35" s="10">
        <v>175950</v>
      </c>
      <c r="M35" s="12" t="s">
        <v>243</v>
      </c>
    </row>
    <row r="36" spans="1:13" ht="16.8" x14ac:dyDescent="0.3">
      <c r="A36" s="7" t="s">
        <v>55</v>
      </c>
      <c r="B36" s="8">
        <v>45284</v>
      </c>
      <c r="C36" s="15" t="s">
        <v>4</v>
      </c>
      <c r="D36" s="10" t="s">
        <v>222</v>
      </c>
      <c r="E36">
        <v>2</v>
      </c>
      <c r="F36">
        <v>59000</v>
      </c>
      <c r="G36">
        <v>75000</v>
      </c>
      <c r="H36">
        <v>11</v>
      </c>
      <c r="I36">
        <v>52510</v>
      </c>
      <c r="J36" s="10" t="s">
        <v>278</v>
      </c>
      <c r="K36" s="10">
        <v>52510</v>
      </c>
      <c r="L36" s="10">
        <v>105020</v>
      </c>
      <c r="M36" s="12" t="s">
        <v>17</v>
      </c>
    </row>
    <row r="37" spans="1:13" ht="16.8" x14ac:dyDescent="0.3">
      <c r="A37" s="7" t="s">
        <v>56</v>
      </c>
      <c r="B37" s="8">
        <v>44616</v>
      </c>
      <c r="C37" s="15" t="s">
        <v>271</v>
      </c>
      <c r="D37" s="10" t="s">
        <v>224</v>
      </c>
      <c r="E37">
        <v>4</v>
      </c>
      <c r="F37">
        <v>59000</v>
      </c>
      <c r="G37">
        <v>59000</v>
      </c>
      <c r="H37">
        <v>14</v>
      </c>
      <c r="I37">
        <v>59000</v>
      </c>
      <c r="J37" s="10" t="s">
        <v>279</v>
      </c>
      <c r="K37" s="10">
        <v>59000</v>
      </c>
      <c r="L37" s="10">
        <v>236000</v>
      </c>
      <c r="M37" s="12" t="s">
        <v>260</v>
      </c>
    </row>
    <row r="38" spans="1:13" ht="16.8" x14ac:dyDescent="0.3">
      <c r="A38" s="7" t="s">
        <v>57</v>
      </c>
      <c r="B38" s="8">
        <v>44629</v>
      </c>
      <c r="C38" s="15" t="s">
        <v>4</v>
      </c>
      <c r="D38" s="10" t="s">
        <v>224</v>
      </c>
      <c r="E38">
        <v>1</v>
      </c>
      <c r="F38">
        <v>59000</v>
      </c>
      <c r="G38">
        <v>69000</v>
      </c>
      <c r="H38">
        <v>14</v>
      </c>
      <c r="I38">
        <v>50740</v>
      </c>
      <c r="J38" s="10" t="s">
        <v>278</v>
      </c>
      <c r="K38" s="10">
        <v>50740</v>
      </c>
      <c r="L38" s="10">
        <v>50740</v>
      </c>
      <c r="M38" s="12" t="s">
        <v>262</v>
      </c>
    </row>
    <row r="39" spans="1:13" ht="16.8" x14ac:dyDescent="0.3">
      <c r="A39" s="7" t="s">
        <v>58</v>
      </c>
      <c r="B39" s="8">
        <v>44392</v>
      </c>
      <c r="C39" s="15" t="s">
        <v>270</v>
      </c>
      <c r="D39" s="10" t="s">
        <v>223</v>
      </c>
      <c r="E39">
        <v>3</v>
      </c>
      <c r="F39">
        <v>35000</v>
      </c>
      <c r="G39">
        <v>59000</v>
      </c>
      <c r="H39">
        <v>14</v>
      </c>
      <c r="I39">
        <v>59000</v>
      </c>
      <c r="J39" s="10" t="s">
        <v>279</v>
      </c>
      <c r="K39" s="10">
        <v>59000</v>
      </c>
      <c r="L39" s="10">
        <v>177000</v>
      </c>
      <c r="M39" s="12" t="s">
        <v>231</v>
      </c>
    </row>
    <row r="40" spans="1:13" ht="16.8" x14ac:dyDescent="0.3">
      <c r="A40" s="7" t="s">
        <v>59</v>
      </c>
      <c r="B40" s="8">
        <v>44953</v>
      </c>
      <c r="C40" s="15" t="s">
        <v>5</v>
      </c>
      <c r="D40" s="10" t="s">
        <v>224</v>
      </c>
      <c r="E40">
        <v>4</v>
      </c>
      <c r="F40">
        <v>65000</v>
      </c>
      <c r="G40">
        <v>75000</v>
      </c>
      <c r="H40">
        <v>13</v>
      </c>
      <c r="I40">
        <v>56550</v>
      </c>
      <c r="J40" s="10" t="s">
        <v>278</v>
      </c>
      <c r="K40" s="10">
        <v>56550</v>
      </c>
      <c r="L40" s="10">
        <v>226200</v>
      </c>
      <c r="M40" s="12" t="s">
        <v>19</v>
      </c>
    </row>
    <row r="41" spans="1:13" ht="16.8" x14ac:dyDescent="0.3">
      <c r="A41" s="7" t="s">
        <v>60</v>
      </c>
      <c r="B41" s="8">
        <v>44959</v>
      </c>
      <c r="C41" s="15" t="s">
        <v>271</v>
      </c>
      <c r="D41" s="10" t="s">
        <v>223</v>
      </c>
      <c r="E41">
        <v>3</v>
      </c>
      <c r="F41">
        <v>39000</v>
      </c>
      <c r="G41">
        <v>35000</v>
      </c>
      <c r="H41">
        <v>11</v>
      </c>
      <c r="I41">
        <v>35000</v>
      </c>
      <c r="J41" s="10" t="s">
        <v>279</v>
      </c>
      <c r="K41" s="10">
        <v>35000</v>
      </c>
      <c r="L41" s="10">
        <v>105000</v>
      </c>
      <c r="M41" s="12" t="s">
        <v>235</v>
      </c>
    </row>
    <row r="42" spans="1:13" ht="16.8" x14ac:dyDescent="0.3">
      <c r="A42" s="7" t="s">
        <v>61</v>
      </c>
      <c r="B42" s="8">
        <v>44473</v>
      </c>
      <c r="C42" s="15" t="s">
        <v>5</v>
      </c>
      <c r="D42" s="10" t="s">
        <v>223</v>
      </c>
      <c r="E42">
        <v>4</v>
      </c>
      <c r="F42">
        <v>55000</v>
      </c>
      <c r="G42">
        <v>59000</v>
      </c>
      <c r="H42">
        <v>6</v>
      </c>
      <c r="I42">
        <v>59000</v>
      </c>
      <c r="J42" s="10" t="s">
        <v>279</v>
      </c>
      <c r="K42" s="10">
        <v>59000</v>
      </c>
      <c r="L42" s="10">
        <v>236000</v>
      </c>
      <c r="M42" s="12" t="s">
        <v>241</v>
      </c>
    </row>
    <row r="43" spans="1:13" ht="16.8" x14ac:dyDescent="0.3">
      <c r="A43" s="7" t="s">
        <v>62</v>
      </c>
      <c r="B43" s="8">
        <v>45035</v>
      </c>
      <c r="C43" s="15" t="s">
        <v>270</v>
      </c>
      <c r="D43" s="10" t="s">
        <v>222</v>
      </c>
      <c r="E43">
        <v>1</v>
      </c>
      <c r="F43">
        <v>65000</v>
      </c>
      <c r="G43">
        <v>59000</v>
      </c>
      <c r="H43">
        <v>12</v>
      </c>
      <c r="I43">
        <v>59000</v>
      </c>
      <c r="J43" s="10" t="s">
        <v>279</v>
      </c>
      <c r="K43" s="10">
        <v>59000</v>
      </c>
      <c r="L43" s="10">
        <v>59000</v>
      </c>
      <c r="M43" s="12" t="s">
        <v>247</v>
      </c>
    </row>
    <row r="44" spans="1:13" ht="16.8" x14ac:dyDescent="0.3">
      <c r="A44" s="7" t="s">
        <v>63</v>
      </c>
      <c r="B44" s="8">
        <v>44468</v>
      </c>
      <c r="C44" s="15" t="s">
        <v>6</v>
      </c>
      <c r="D44" s="10" t="s">
        <v>223</v>
      </c>
      <c r="E44">
        <v>3</v>
      </c>
      <c r="F44">
        <v>65000</v>
      </c>
      <c r="G44">
        <v>55000</v>
      </c>
      <c r="H44">
        <v>12</v>
      </c>
      <c r="I44">
        <v>55000</v>
      </c>
      <c r="J44" s="10" t="s">
        <v>279</v>
      </c>
      <c r="K44" s="10">
        <v>55000</v>
      </c>
      <c r="L44" s="10">
        <v>165000</v>
      </c>
      <c r="M44" s="12" t="s">
        <v>238</v>
      </c>
    </row>
    <row r="45" spans="1:13" ht="16.8" x14ac:dyDescent="0.3">
      <c r="A45" s="7" t="s">
        <v>64</v>
      </c>
      <c r="B45" s="8">
        <v>44741</v>
      </c>
      <c r="C45" s="15" t="s">
        <v>3</v>
      </c>
      <c r="D45" s="10" t="s">
        <v>223</v>
      </c>
      <c r="E45">
        <v>5</v>
      </c>
      <c r="F45">
        <v>39000</v>
      </c>
      <c r="G45">
        <v>65000</v>
      </c>
      <c r="H45">
        <v>13</v>
      </c>
      <c r="I45">
        <v>65000</v>
      </c>
      <c r="J45" s="10" t="s">
        <v>279</v>
      </c>
      <c r="K45" s="10">
        <v>65000</v>
      </c>
      <c r="L45" s="10">
        <v>325000</v>
      </c>
      <c r="M45" s="12" t="s">
        <v>250</v>
      </c>
    </row>
    <row r="46" spans="1:13" ht="16.8" x14ac:dyDescent="0.3">
      <c r="A46" s="7" t="s">
        <v>65</v>
      </c>
      <c r="B46" s="8">
        <v>44269</v>
      </c>
      <c r="C46" s="15" t="s">
        <v>3</v>
      </c>
      <c r="D46" s="10" t="s">
        <v>223</v>
      </c>
      <c r="E46">
        <v>4</v>
      </c>
      <c r="F46">
        <v>39000</v>
      </c>
      <c r="G46">
        <v>59000</v>
      </c>
      <c r="H46">
        <v>15</v>
      </c>
      <c r="I46">
        <v>33150</v>
      </c>
      <c r="J46" s="10" t="s">
        <v>278</v>
      </c>
      <c r="K46" s="10">
        <v>33150</v>
      </c>
      <c r="L46" s="10">
        <v>132600</v>
      </c>
      <c r="M46" s="12" t="s">
        <v>262</v>
      </c>
    </row>
    <row r="47" spans="1:13" ht="16.8" x14ac:dyDescent="0.3">
      <c r="A47" s="7" t="s">
        <v>66</v>
      </c>
      <c r="B47" s="8">
        <v>44255</v>
      </c>
      <c r="C47" s="15" t="s">
        <v>271</v>
      </c>
      <c r="D47" s="10" t="s">
        <v>223</v>
      </c>
      <c r="E47">
        <v>5</v>
      </c>
      <c r="F47">
        <v>35000</v>
      </c>
      <c r="G47">
        <v>49000</v>
      </c>
      <c r="H47">
        <v>5</v>
      </c>
      <c r="I47">
        <v>49000</v>
      </c>
      <c r="J47" s="10" t="s">
        <v>279</v>
      </c>
      <c r="K47" s="10">
        <v>49000</v>
      </c>
      <c r="L47" s="10">
        <v>245000</v>
      </c>
      <c r="M47" s="12" t="s">
        <v>18</v>
      </c>
    </row>
    <row r="48" spans="1:13" ht="16.8" x14ac:dyDescent="0.3">
      <c r="A48" s="7" t="s">
        <v>67</v>
      </c>
      <c r="B48" s="8">
        <v>44433</v>
      </c>
      <c r="C48" s="15" t="s">
        <v>270</v>
      </c>
      <c r="D48" s="10" t="s">
        <v>222</v>
      </c>
      <c r="E48">
        <v>2</v>
      </c>
      <c r="F48">
        <v>59000</v>
      </c>
      <c r="G48">
        <v>49000</v>
      </c>
      <c r="H48">
        <v>13</v>
      </c>
      <c r="I48">
        <v>49000</v>
      </c>
      <c r="J48" s="10" t="s">
        <v>279</v>
      </c>
      <c r="K48" s="10">
        <v>49000</v>
      </c>
      <c r="L48" s="10">
        <v>98000</v>
      </c>
      <c r="M48" s="12" t="s">
        <v>248</v>
      </c>
    </row>
    <row r="49" spans="1:13" ht="16.8" x14ac:dyDescent="0.3">
      <c r="A49" s="7" t="s">
        <v>68</v>
      </c>
      <c r="B49" s="8">
        <v>44910</v>
      </c>
      <c r="C49" s="15" t="s">
        <v>273</v>
      </c>
      <c r="D49" s="10" t="s">
        <v>222</v>
      </c>
      <c r="E49">
        <v>4</v>
      </c>
      <c r="F49">
        <v>59000</v>
      </c>
      <c r="G49">
        <v>29000</v>
      </c>
      <c r="H49">
        <v>12</v>
      </c>
      <c r="I49">
        <v>51920</v>
      </c>
      <c r="J49" s="10" t="s">
        <v>278</v>
      </c>
      <c r="K49" s="10">
        <v>51920</v>
      </c>
      <c r="L49" s="10">
        <v>207680</v>
      </c>
      <c r="M49" s="12" t="s">
        <v>242</v>
      </c>
    </row>
    <row r="50" spans="1:13" ht="16.8" x14ac:dyDescent="0.3">
      <c r="A50" s="7" t="s">
        <v>69</v>
      </c>
      <c r="B50" s="8">
        <v>45167</v>
      </c>
      <c r="C50" s="15" t="s">
        <v>274</v>
      </c>
      <c r="D50" s="10" t="s">
        <v>222</v>
      </c>
      <c r="E50">
        <v>2</v>
      </c>
      <c r="F50">
        <v>59000</v>
      </c>
      <c r="G50">
        <v>65000</v>
      </c>
      <c r="H50">
        <v>5</v>
      </c>
      <c r="I50">
        <v>56050</v>
      </c>
      <c r="J50" s="10" t="s">
        <v>278</v>
      </c>
      <c r="K50" s="10">
        <v>56050</v>
      </c>
      <c r="L50" s="10">
        <v>112100</v>
      </c>
      <c r="M50" s="12" t="s">
        <v>225</v>
      </c>
    </row>
    <row r="51" spans="1:13" ht="16.8" x14ac:dyDescent="0.3">
      <c r="A51" s="7" t="s">
        <v>70</v>
      </c>
      <c r="B51" s="8">
        <v>44234</v>
      </c>
      <c r="C51" s="15" t="s">
        <v>4</v>
      </c>
      <c r="D51" s="10" t="s">
        <v>222</v>
      </c>
      <c r="E51">
        <v>2</v>
      </c>
      <c r="F51">
        <v>75000</v>
      </c>
      <c r="G51">
        <v>39000</v>
      </c>
      <c r="H51">
        <v>6</v>
      </c>
      <c r="I51">
        <v>70500</v>
      </c>
      <c r="J51" s="10" t="s">
        <v>278</v>
      </c>
      <c r="K51" s="10">
        <v>70500</v>
      </c>
      <c r="L51" s="10">
        <v>141000</v>
      </c>
      <c r="M51" s="12" t="s">
        <v>13</v>
      </c>
    </row>
    <row r="52" spans="1:13" ht="16.8" x14ac:dyDescent="0.3">
      <c r="A52" s="7" t="s">
        <v>71</v>
      </c>
      <c r="B52" s="8">
        <v>44386</v>
      </c>
      <c r="C52" s="15" t="s">
        <v>6</v>
      </c>
      <c r="D52" s="10" t="s">
        <v>222</v>
      </c>
      <c r="E52">
        <v>3</v>
      </c>
      <c r="F52">
        <v>69000</v>
      </c>
      <c r="G52">
        <v>65000</v>
      </c>
      <c r="H52">
        <v>8</v>
      </c>
      <c r="I52">
        <v>63480</v>
      </c>
      <c r="J52" s="10" t="s">
        <v>278</v>
      </c>
      <c r="K52" s="10">
        <v>63480</v>
      </c>
      <c r="L52" s="10">
        <v>190440</v>
      </c>
      <c r="M52" s="12" t="s">
        <v>260</v>
      </c>
    </row>
    <row r="53" spans="1:13" ht="16.8" x14ac:dyDescent="0.3">
      <c r="A53" s="7" t="s">
        <v>72</v>
      </c>
      <c r="B53" s="8">
        <v>44313</v>
      </c>
      <c r="C53" s="15" t="s">
        <v>270</v>
      </c>
      <c r="D53" s="10" t="s">
        <v>222</v>
      </c>
      <c r="E53">
        <v>5</v>
      </c>
      <c r="F53">
        <v>59000</v>
      </c>
      <c r="G53">
        <v>65000</v>
      </c>
      <c r="H53">
        <v>5</v>
      </c>
      <c r="I53">
        <v>56050</v>
      </c>
      <c r="J53" s="10" t="s">
        <v>278</v>
      </c>
      <c r="K53" s="10">
        <v>56050</v>
      </c>
      <c r="L53" s="10">
        <v>280250</v>
      </c>
      <c r="M53" s="12" t="s">
        <v>253</v>
      </c>
    </row>
    <row r="54" spans="1:13" ht="16.8" x14ac:dyDescent="0.3">
      <c r="A54" s="7" t="s">
        <v>73</v>
      </c>
      <c r="B54" s="8">
        <v>45209</v>
      </c>
      <c r="C54" s="15" t="s">
        <v>272</v>
      </c>
      <c r="D54" s="10" t="s">
        <v>224</v>
      </c>
      <c r="E54">
        <v>2</v>
      </c>
      <c r="F54">
        <v>65000</v>
      </c>
      <c r="G54">
        <v>49000</v>
      </c>
      <c r="H54">
        <v>6</v>
      </c>
      <c r="I54">
        <v>61100</v>
      </c>
      <c r="J54" s="10" t="s">
        <v>278</v>
      </c>
      <c r="K54" s="10">
        <v>61100</v>
      </c>
      <c r="L54" s="10">
        <v>122200</v>
      </c>
      <c r="M54" s="12" t="s">
        <v>12</v>
      </c>
    </row>
    <row r="55" spans="1:13" ht="16.8" x14ac:dyDescent="0.3">
      <c r="A55" s="7" t="s">
        <v>74</v>
      </c>
      <c r="B55" s="8">
        <v>44566</v>
      </c>
      <c r="C55" s="15" t="s">
        <v>272</v>
      </c>
      <c r="D55" s="10" t="s">
        <v>222</v>
      </c>
      <c r="E55">
        <v>3</v>
      </c>
      <c r="F55">
        <v>45000</v>
      </c>
      <c r="G55">
        <v>69000</v>
      </c>
      <c r="H55">
        <v>12</v>
      </c>
      <c r="I55">
        <v>39600</v>
      </c>
      <c r="J55" s="10" t="s">
        <v>278</v>
      </c>
      <c r="K55" s="10">
        <v>39600</v>
      </c>
      <c r="L55" s="10">
        <v>118800</v>
      </c>
      <c r="M55" s="12" t="s">
        <v>241</v>
      </c>
    </row>
    <row r="56" spans="1:13" ht="16.8" x14ac:dyDescent="0.3">
      <c r="A56" s="7" t="s">
        <v>75</v>
      </c>
      <c r="B56" s="8">
        <v>44623</v>
      </c>
      <c r="C56" s="15" t="s">
        <v>270</v>
      </c>
      <c r="D56" s="10" t="s">
        <v>222</v>
      </c>
      <c r="E56">
        <v>2</v>
      </c>
      <c r="F56">
        <v>49000</v>
      </c>
      <c r="G56">
        <v>39000</v>
      </c>
      <c r="H56">
        <v>5</v>
      </c>
      <c r="I56">
        <v>46550</v>
      </c>
      <c r="J56" s="10" t="s">
        <v>278</v>
      </c>
      <c r="K56" s="10">
        <v>46550</v>
      </c>
      <c r="L56" s="10">
        <v>93100</v>
      </c>
      <c r="M56" s="12" t="s">
        <v>235</v>
      </c>
    </row>
    <row r="57" spans="1:13" ht="16.8" x14ac:dyDescent="0.3">
      <c r="A57" s="7" t="s">
        <v>76</v>
      </c>
      <c r="B57" s="8">
        <v>45080</v>
      </c>
      <c r="C57" s="15" t="s">
        <v>5</v>
      </c>
      <c r="D57" s="10" t="s">
        <v>222</v>
      </c>
      <c r="E57">
        <v>2</v>
      </c>
      <c r="F57">
        <v>55000</v>
      </c>
      <c r="G57">
        <v>55000</v>
      </c>
      <c r="H57">
        <v>9</v>
      </c>
      <c r="I57">
        <v>50050</v>
      </c>
      <c r="J57" s="10" t="s">
        <v>278</v>
      </c>
      <c r="K57" s="10">
        <v>50050</v>
      </c>
      <c r="L57" s="10">
        <v>100100</v>
      </c>
      <c r="M57" s="12" t="s">
        <v>11</v>
      </c>
    </row>
    <row r="58" spans="1:13" ht="16.8" x14ac:dyDescent="0.3">
      <c r="A58" s="7" t="s">
        <v>77</v>
      </c>
      <c r="B58" s="8">
        <v>45037</v>
      </c>
      <c r="C58" s="15" t="s">
        <v>274</v>
      </c>
      <c r="D58" s="10" t="s">
        <v>224</v>
      </c>
      <c r="E58">
        <v>1</v>
      </c>
      <c r="F58">
        <v>59000</v>
      </c>
      <c r="G58">
        <v>65000</v>
      </c>
      <c r="H58">
        <v>12</v>
      </c>
      <c r="I58">
        <v>51920</v>
      </c>
      <c r="J58" s="10" t="s">
        <v>278</v>
      </c>
      <c r="K58" s="10">
        <v>51920</v>
      </c>
      <c r="L58" s="10">
        <v>51920</v>
      </c>
      <c r="M58" s="12" t="s">
        <v>255</v>
      </c>
    </row>
    <row r="59" spans="1:13" ht="16.8" x14ac:dyDescent="0.3">
      <c r="A59" s="7" t="s">
        <v>78</v>
      </c>
      <c r="B59" s="8">
        <v>44320</v>
      </c>
      <c r="C59" s="15" t="s">
        <v>273</v>
      </c>
      <c r="D59" s="10" t="s">
        <v>223</v>
      </c>
      <c r="E59">
        <v>3</v>
      </c>
      <c r="F59">
        <v>59000</v>
      </c>
      <c r="G59">
        <v>65000</v>
      </c>
      <c r="H59">
        <v>15</v>
      </c>
      <c r="I59">
        <v>50150</v>
      </c>
      <c r="J59" s="10" t="s">
        <v>278</v>
      </c>
      <c r="K59" s="10">
        <v>50150</v>
      </c>
      <c r="L59" s="10">
        <v>150450</v>
      </c>
      <c r="M59" s="12" t="s">
        <v>257</v>
      </c>
    </row>
    <row r="60" spans="1:13" ht="16.8" x14ac:dyDescent="0.3">
      <c r="A60" s="7" t="s">
        <v>79</v>
      </c>
      <c r="B60" s="8">
        <v>44492</v>
      </c>
      <c r="C60" s="15" t="s">
        <v>270</v>
      </c>
      <c r="D60" s="10" t="s">
        <v>223</v>
      </c>
      <c r="E60">
        <v>5</v>
      </c>
      <c r="F60">
        <v>59000</v>
      </c>
      <c r="G60">
        <v>49000</v>
      </c>
      <c r="H60">
        <v>8</v>
      </c>
      <c r="I60">
        <v>54280</v>
      </c>
      <c r="J60" s="10" t="s">
        <v>278</v>
      </c>
      <c r="K60" s="10">
        <v>54280</v>
      </c>
      <c r="L60" s="10">
        <v>271400</v>
      </c>
      <c r="M60" s="12" t="s">
        <v>246</v>
      </c>
    </row>
    <row r="61" spans="1:13" ht="16.8" x14ac:dyDescent="0.3">
      <c r="A61" s="7" t="s">
        <v>80</v>
      </c>
      <c r="B61" s="8">
        <v>44740</v>
      </c>
      <c r="C61" s="15" t="s">
        <v>271</v>
      </c>
      <c r="D61" s="10" t="s">
        <v>222</v>
      </c>
      <c r="E61">
        <v>3</v>
      </c>
      <c r="F61">
        <v>59000</v>
      </c>
      <c r="G61">
        <v>59000</v>
      </c>
      <c r="H61">
        <v>8</v>
      </c>
      <c r="I61">
        <v>54280</v>
      </c>
      <c r="J61" s="10" t="s">
        <v>278</v>
      </c>
      <c r="K61" s="10">
        <v>54280</v>
      </c>
      <c r="L61" s="10">
        <v>162840</v>
      </c>
      <c r="M61" s="12" t="s">
        <v>240</v>
      </c>
    </row>
    <row r="62" spans="1:13" ht="16.8" x14ac:dyDescent="0.3">
      <c r="A62" s="7" t="s">
        <v>81</v>
      </c>
      <c r="B62" s="8">
        <v>44506</v>
      </c>
      <c r="C62" s="15" t="s">
        <v>272</v>
      </c>
      <c r="D62" s="10" t="s">
        <v>222</v>
      </c>
      <c r="E62">
        <v>2</v>
      </c>
      <c r="F62">
        <v>35000</v>
      </c>
      <c r="G62">
        <v>49000</v>
      </c>
      <c r="H62">
        <v>9</v>
      </c>
      <c r="I62">
        <v>31850</v>
      </c>
      <c r="J62" s="10" t="s">
        <v>278</v>
      </c>
      <c r="K62" s="10">
        <v>31850</v>
      </c>
      <c r="L62" s="10">
        <v>63700</v>
      </c>
      <c r="M62" s="12" t="s">
        <v>245</v>
      </c>
    </row>
    <row r="63" spans="1:13" ht="16.8" x14ac:dyDescent="0.3">
      <c r="A63" s="7" t="s">
        <v>82</v>
      </c>
      <c r="B63" s="8">
        <v>44781</v>
      </c>
      <c r="C63" s="15" t="s">
        <v>273</v>
      </c>
      <c r="D63" s="10" t="s">
        <v>224</v>
      </c>
      <c r="E63">
        <v>2</v>
      </c>
      <c r="F63">
        <v>55000</v>
      </c>
      <c r="G63">
        <v>69000</v>
      </c>
      <c r="H63">
        <v>8</v>
      </c>
      <c r="I63">
        <v>69000</v>
      </c>
      <c r="J63" s="10" t="s">
        <v>279</v>
      </c>
      <c r="K63" s="10">
        <v>69000</v>
      </c>
      <c r="L63" s="10">
        <v>138000</v>
      </c>
      <c r="M63" s="12" t="s">
        <v>12</v>
      </c>
    </row>
    <row r="64" spans="1:13" ht="16.8" x14ac:dyDescent="0.3">
      <c r="A64" s="7" t="s">
        <v>83</v>
      </c>
      <c r="B64" s="8">
        <v>45138</v>
      </c>
      <c r="C64" s="15" t="s">
        <v>4</v>
      </c>
      <c r="D64" s="10" t="s">
        <v>223</v>
      </c>
      <c r="E64">
        <v>5</v>
      </c>
      <c r="F64">
        <v>59000</v>
      </c>
      <c r="G64">
        <v>39000</v>
      </c>
      <c r="H64">
        <v>12</v>
      </c>
      <c r="I64">
        <v>51920</v>
      </c>
      <c r="J64" s="10" t="s">
        <v>278</v>
      </c>
      <c r="K64" s="10">
        <v>51920</v>
      </c>
      <c r="L64" s="10">
        <v>259600</v>
      </c>
      <c r="M64" s="12" t="s">
        <v>232</v>
      </c>
    </row>
    <row r="65" spans="1:13" ht="16.8" x14ac:dyDescent="0.3">
      <c r="A65" s="7" t="s">
        <v>84</v>
      </c>
      <c r="B65" s="8">
        <v>44335</v>
      </c>
      <c r="C65" s="15" t="s">
        <v>274</v>
      </c>
      <c r="D65" s="10" t="s">
        <v>222</v>
      </c>
      <c r="E65">
        <v>1</v>
      </c>
      <c r="F65">
        <v>49000</v>
      </c>
      <c r="G65">
        <v>49000</v>
      </c>
      <c r="H65">
        <v>13</v>
      </c>
      <c r="I65">
        <v>42630</v>
      </c>
      <c r="J65" s="10" t="s">
        <v>278</v>
      </c>
      <c r="K65" s="10">
        <v>42630</v>
      </c>
      <c r="L65" s="10">
        <v>42630</v>
      </c>
      <c r="M65" s="12" t="s">
        <v>254</v>
      </c>
    </row>
    <row r="66" spans="1:13" ht="16.8" x14ac:dyDescent="0.3">
      <c r="A66" s="7" t="s">
        <v>85</v>
      </c>
      <c r="B66" s="8">
        <v>44827</v>
      </c>
      <c r="C66" s="15" t="s">
        <v>273</v>
      </c>
      <c r="D66" s="10" t="s">
        <v>222</v>
      </c>
      <c r="E66">
        <v>5</v>
      </c>
      <c r="F66">
        <v>65000</v>
      </c>
      <c r="G66">
        <v>49000</v>
      </c>
      <c r="H66">
        <v>5</v>
      </c>
      <c r="I66">
        <v>61750</v>
      </c>
      <c r="J66" s="10" t="s">
        <v>278</v>
      </c>
      <c r="K66" s="10">
        <v>61750</v>
      </c>
      <c r="L66" s="10">
        <v>308750</v>
      </c>
      <c r="M66" s="12" t="s">
        <v>21</v>
      </c>
    </row>
    <row r="67" spans="1:13" ht="16.8" x14ac:dyDescent="0.3">
      <c r="A67" s="7" t="s">
        <v>86</v>
      </c>
      <c r="B67" s="8">
        <v>44349</v>
      </c>
      <c r="C67" s="15" t="s">
        <v>3</v>
      </c>
      <c r="D67" s="10" t="s">
        <v>222</v>
      </c>
      <c r="E67">
        <v>2</v>
      </c>
      <c r="F67">
        <v>29000</v>
      </c>
      <c r="G67">
        <v>49000</v>
      </c>
      <c r="H67">
        <v>6</v>
      </c>
      <c r="I67">
        <v>27260</v>
      </c>
      <c r="J67" s="10" t="s">
        <v>278</v>
      </c>
      <c r="K67" s="10">
        <v>27260</v>
      </c>
      <c r="L67" s="10">
        <v>54520</v>
      </c>
      <c r="M67" s="12" t="s">
        <v>227</v>
      </c>
    </row>
    <row r="68" spans="1:13" ht="16.8" x14ac:dyDescent="0.3">
      <c r="A68" s="7" t="s">
        <v>87</v>
      </c>
      <c r="B68" s="8">
        <v>45010</v>
      </c>
      <c r="C68" s="15" t="s">
        <v>4</v>
      </c>
      <c r="D68" s="10" t="s">
        <v>224</v>
      </c>
      <c r="E68">
        <v>1</v>
      </c>
      <c r="F68">
        <v>45000</v>
      </c>
      <c r="G68">
        <v>39000</v>
      </c>
      <c r="H68">
        <v>9</v>
      </c>
      <c r="I68">
        <v>40950</v>
      </c>
      <c r="J68" s="10" t="s">
        <v>278</v>
      </c>
      <c r="K68" s="10">
        <v>40950</v>
      </c>
      <c r="L68" s="10">
        <v>40950</v>
      </c>
      <c r="M68" s="12" t="s">
        <v>230</v>
      </c>
    </row>
    <row r="69" spans="1:13" ht="16.8" x14ac:dyDescent="0.3">
      <c r="A69" s="7" t="s">
        <v>88</v>
      </c>
      <c r="B69" s="8">
        <v>44521</v>
      </c>
      <c r="C69" s="15" t="s">
        <v>4</v>
      </c>
      <c r="D69" s="10" t="s">
        <v>223</v>
      </c>
      <c r="E69">
        <v>4</v>
      </c>
      <c r="F69">
        <v>39000</v>
      </c>
      <c r="G69">
        <v>59000</v>
      </c>
      <c r="H69">
        <v>6</v>
      </c>
      <c r="I69">
        <v>59000</v>
      </c>
      <c r="J69" s="10" t="s">
        <v>279</v>
      </c>
      <c r="K69" s="10">
        <v>59000</v>
      </c>
      <c r="L69" s="10">
        <v>236000</v>
      </c>
      <c r="M69" s="12" t="s">
        <v>226</v>
      </c>
    </row>
    <row r="70" spans="1:13" ht="16.8" x14ac:dyDescent="0.3">
      <c r="A70" s="7" t="s">
        <v>89</v>
      </c>
      <c r="B70" s="8">
        <v>45168</v>
      </c>
      <c r="C70" s="15" t="s">
        <v>4</v>
      </c>
      <c r="D70" s="10" t="s">
        <v>223</v>
      </c>
      <c r="E70">
        <v>5</v>
      </c>
      <c r="F70">
        <v>69000</v>
      </c>
      <c r="G70">
        <v>59000</v>
      </c>
      <c r="H70">
        <v>13</v>
      </c>
      <c r="I70">
        <v>59000</v>
      </c>
      <c r="J70" s="10" t="s">
        <v>279</v>
      </c>
      <c r="K70" s="10">
        <v>59000</v>
      </c>
      <c r="L70" s="10">
        <v>295000</v>
      </c>
      <c r="M70" s="12" t="s">
        <v>227</v>
      </c>
    </row>
    <row r="71" spans="1:13" ht="16.8" x14ac:dyDescent="0.3">
      <c r="A71" s="7" t="s">
        <v>90</v>
      </c>
      <c r="B71" s="8">
        <v>44976</v>
      </c>
      <c r="C71" s="15" t="s">
        <v>5</v>
      </c>
      <c r="D71" s="10" t="s">
        <v>222</v>
      </c>
      <c r="E71">
        <v>4</v>
      </c>
      <c r="F71">
        <v>59000</v>
      </c>
      <c r="G71">
        <v>59000</v>
      </c>
      <c r="H71">
        <v>11</v>
      </c>
      <c r="I71">
        <v>59000</v>
      </c>
      <c r="J71" s="10" t="s">
        <v>279</v>
      </c>
      <c r="K71" s="10">
        <v>59000</v>
      </c>
      <c r="L71" s="10">
        <v>236000</v>
      </c>
      <c r="M71" s="12" t="s">
        <v>257</v>
      </c>
    </row>
    <row r="72" spans="1:13" ht="16.8" x14ac:dyDescent="0.3">
      <c r="A72" s="7" t="s">
        <v>91</v>
      </c>
      <c r="B72" s="8">
        <v>45236</v>
      </c>
      <c r="C72" s="15" t="s">
        <v>6</v>
      </c>
      <c r="D72" s="10" t="s">
        <v>222</v>
      </c>
      <c r="E72">
        <v>4</v>
      </c>
      <c r="F72">
        <v>49000</v>
      </c>
      <c r="G72">
        <v>59000</v>
      </c>
      <c r="H72">
        <v>12</v>
      </c>
      <c r="I72">
        <v>43120</v>
      </c>
      <c r="J72" s="10" t="s">
        <v>278</v>
      </c>
      <c r="K72" s="10">
        <v>43120</v>
      </c>
      <c r="L72" s="10">
        <v>172480</v>
      </c>
      <c r="M72" s="12" t="s">
        <v>230</v>
      </c>
    </row>
    <row r="73" spans="1:13" ht="16.8" x14ac:dyDescent="0.3">
      <c r="A73" s="7" t="s">
        <v>92</v>
      </c>
      <c r="B73" s="8">
        <v>44861</v>
      </c>
      <c r="C73" s="15" t="s">
        <v>4</v>
      </c>
      <c r="D73" s="10" t="s">
        <v>223</v>
      </c>
      <c r="E73">
        <v>2</v>
      </c>
      <c r="F73">
        <v>75000</v>
      </c>
      <c r="G73">
        <v>69000</v>
      </c>
      <c r="H73">
        <v>5</v>
      </c>
      <c r="I73">
        <v>69000</v>
      </c>
      <c r="J73" s="10" t="s">
        <v>279</v>
      </c>
      <c r="K73" s="10">
        <v>69000</v>
      </c>
      <c r="L73" s="10">
        <v>138000</v>
      </c>
      <c r="M73" s="12" t="s">
        <v>19</v>
      </c>
    </row>
    <row r="74" spans="1:13" ht="16.8" x14ac:dyDescent="0.3">
      <c r="A74" s="7" t="s">
        <v>93</v>
      </c>
      <c r="B74" s="8">
        <v>44284</v>
      </c>
      <c r="C74" s="15" t="s">
        <v>272</v>
      </c>
      <c r="D74" s="10" t="s">
        <v>224</v>
      </c>
      <c r="E74">
        <v>5</v>
      </c>
      <c r="F74">
        <v>49000</v>
      </c>
      <c r="G74">
        <v>69000</v>
      </c>
      <c r="H74">
        <v>14</v>
      </c>
      <c r="I74">
        <v>42140</v>
      </c>
      <c r="J74" s="10" t="s">
        <v>278</v>
      </c>
      <c r="K74" s="10">
        <v>42140</v>
      </c>
      <c r="L74" s="10">
        <v>210700</v>
      </c>
      <c r="M74" s="12" t="s">
        <v>257</v>
      </c>
    </row>
    <row r="75" spans="1:13" ht="16.8" x14ac:dyDescent="0.3">
      <c r="A75" s="7" t="s">
        <v>94</v>
      </c>
      <c r="B75" s="8">
        <v>44286</v>
      </c>
      <c r="C75" s="15" t="s">
        <v>271</v>
      </c>
      <c r="D75" s="10" t="s">
        <v>224</v>
      </c>
      <c r="E75">
        <v>4</v>
      </c>
      <c r="F75">
        <v>49000</v>
      </c>
      <c r="G75">
        <v>35000</v>
      </c>
      <c r="H75">
        <v>8</v>
      </c>
      <c r="I75">
        <v>35000</v>
      </c>
      <c r="J75" s="10" t="s">
        <v>279</v>
      </c>
      <c r="K75" s="10">
        <v>35000</v>
      </c>
      <c r="L75" s="10">
        <v>140000</v>
      </c>
      <c r="M75" s="12" t="s">
        <v>233</v>
      </c>
    </row>
    <row r="76" spans="1:13" ht="16.8" x14ac:dyDescent="0.3">
      <c r="A76" s="7" t="s">
        <v>95</v>
      </c>
      <c r="B76" s="8">
        <v>44310</v>
      </c>
      <c r="C76" s="15" t="s">
        <v>4</v>
      </c>
      <c r="D76" s="10" t="s">
        <v>223</v>
      </c>
      <c r="E76">
        <v>1</v>
      </c>
      <c r="F76">
        <v>35000</v>
      </c>
      <c r="G76">
        <v>69000</v>
      </c>
      <c r="H76">
        <v>9</v>
      </c>
      <c r="I76">
        <v>31850</v>
      </c>
      <c r="J76" s="10" t="s">
        <v>278</v>
      </c>
      <c r="K76" s="10">
        <v>31850</v>
      </c>
      <c r="L76" s="10">
        <v>31850</v>
      </c>
      <c r="M76" s="12" t="s">
        <v>255</v>
      </c>
    </row>
    <row r="77" spans="1:13" ht="16.8" x14ac:dyDescent="0.3">
      <c r="A77" s="7" t="s">
        <v>96</v>
      </c>
      <c r="B77" s="8">
        <v>44880</v>
      </c>
      <c r="C77" s="15" t="s">
        <v>274</v>
      </c>
      <c r="D77" s="10" t="s">
        <v>223</v>
      </c>
      <c r="E77">
        <v>3</v>
      </c>
      <c r="F77">
        <v>39000</v>
      </c>
      <c r="G77">
        <v>59000</v>
      </c>
      <c r="H77">
        <v>8</v>
      </c>
      <c r="I77">
        <v>59000</v>
      </c>
      <c r="J77" s="10" t="s">
        <v>279</v>
      </c>
      <c r="K77" s="10">
        <v>59000</v>
      </c>
      <c r="L77" s="10">
        <v>177000</v>
      </c>
      <c r="M77" s="12" t="s">
        <v>247</v>
      </c>
    </row>
    <row r="78" spans="1:13" ht="16.8" x14ac:dyDescent="0.3">
      <c r="A78" s="7" t="s">
        <v>97</v>
      </c>
      <c r="B78" s="8">
        <v>44381</v>
      </c>
      <c r="C78" s="15" t="s">
        <v>272</v>
      </c>
      <c r="D78" s="10" t="s">
        <v>224</v>
      </c>
      <c r="E78">
        <v>3</v>
      </c>
      <c r="F78">
        <v>29000</v>
      </c>
      <c r="G78">
        <v>75000</v>
      </c>
      <c r="H78">
        <v>5</v>
      </c>
      <c r="I78">
        <v>75000</v>
      </c>
      <c r="J78" s="10" t="s">
        <v>279</v>
      </c>
      <c r="K78" s="10">
        <v>75000</v>
      </c>
      <c r="L78" s="10">
        <v>225000</v>
      </c>
      <c r="M78" s="12" t="s">
        <v>18</v>
      </c>
    </row>
    <row r="79" spans="1:13" ht="16.8" x14ac:dyDescent="0.3">
      <c r="A79" s="7" t="s">
        <v>98</v>
      </c>
      <c r="B79" s="8">
        <v>44619</v>
      </c>
      <c r="C79" s="15" t="s">
        <v>275</v>
      </c>
      <c r="D79" s="10" t="s">
        <v>222</v>
      </c>
      <c r="E79">
        <v>2</v>
      </c>
      <c r="F79">
        <v>65000</v>
      </c>
      <c r="G79">
        <v>59000</v>
      </c>
      <c r="H79">
        <v>12</v>
      </c>
      <c r="I79">
        <v>59000</v>
      </c>
      <c r="J79" s="10" t="s">
        <v>279</v>
      </c>
      <c r="K79" s="10">
        <v>59000</v>
      </c>
      <c r="L79" s="10">
        <v>118000</v>
      </c>
      <c r="M79" s="12" t="s">
        <v>227</v>
      </c>
    </row>
    <row r="80" spans="1:13" ht="16.8" x14ac:dyDescent="0.3">
      <c r="A80" s="7" t="s">
        <v>99</v>
      </c>
      <c r="B80" s="8">
        <v>44953</v>
      </c>
      <c r="C80" s="15" t="s">
        <v>273</v>
      </c>
      <c r="D80" s="10" t="s">
        <v>224</v>
      </c>
      <c r="E80">
        <v>2</v>
      </c>
      <c r="F80">
        <v>59000</v>
      </c>
      <c r="G80">
        <v>59000</v>
      </c>
      <c r="H80">
        <v>5</v>
      </c>
      <c r="I80">
        <v>56050</v>
      </c>
      <c r="J80" s="10" t="s">
        <v>278</v>
      </c>
      <c r="K80" s="10">
        <v>56050</v>
      </c>
      <c r="L80" s="10">
        <v>112100</v>
      </c>
      <c r="M80" s="12" t="s">
        <v>248</v>
      </c>
    </row>
    <row r="81" spans="1:13" ht="16.8" x14ac:dyDescent="0.3">
      <c r="A81" s="7" t="s">
        <v>100</v>
      </c>
      <c r="B81" s="8">
        <v>44321</v>
      </c>
      <c r="C81" s="15" t="s">
        <v>6</v>
      </c>
      <c r="D81" s="10" t="s">
        <v>223</v>
      </c>
      <c r="E81">
        <v>1</v>
      </c>
      <c r="F81">
        <v>65000</v>
      </c>
      <c r="G81">
        <v>65000</v>
      </c>
      <c r="H81">
        <v>13</v>
      </c>
      <c r="I81">
        <v>65000</v>
      </c>
      <c r="J81" s="10" t="s">
        <v>279</v>
      </c>
      <c r="K81" s="10">
        <v>65000</v>
      </c>
      <c r="L81" s="10">
        <v>65000</v>
      </c>
      <c r="M81" s="12" t="s">
        <v>243</v>
      </c>
    </row>
    <row r="82" spans="1:13" ht="16.8" x14ac:dyDescent="0.3">
      <c r="A82" s="7" t="s">
        <v>101</v>
      </c>
      <c r="B82" s="8">
        <v>44438</v>
      </c>
      <c r="C82" s="15" t="s">
        <v>270</v>
      </c>
      <c r="D82" s="10" t="s">
        <v>223</v>
      </c>
      <c r="E82">
        <v>5</v>
      </c>
      <c r="F82">
        <v>65000</v>
      </c>
      <c r="G82">
        <v>49000</v>
      </c>
      <c r="H82">
        <v>10</v>
      </c>
      <c r="I82">
        <v>49000</v>
      </c>
      <c r="J82" s="10" t="s">
        <v>279</v>
      </c>
      <c r="K82" s="10">
        <v>49000</v>
      </c>
      <c r="L82" s="10">
        <v>245000</v>
      </c>
      <c r="M82" s="12" t="s">
        <v>12</v>
      </c>
    </row>
    <row r="83" spans="1:13" ht="16.8" x14ac:dyDescent="0.3">
      <c r="A83" s="7" t="s">
        <v>102</v>
      </c>
      <c r="B83" s="8">
        <v>45032</v>
      </c>
      <c r="C83" s="15" t="s">
        <v>4</v>
      </c>
      <c r="D83" s="10" t="s">
        <v>223</v>
      </c>
      <c r="E83">
        <v>1</v>
      </c>
      <c r="F83">
        <v>35000</v>
      </c>
      <c r="G83">
        <v>55000</v>
      </c>
      <c r="H83">
        <v>9</v>
      </c>
      <c r="I83">
        <v>31850</v>
      </c>
      <c r="J83" s="10" t="s">
        <v>278</v>
      </c>
      <c r="K83" s="10">
        <v>31850</v>
      </c>
      <c r="L83" s="10">
        <v>31850</v>
      </c>
      <c r="M83" s="12" t="s">
        <v>234</v>
      </c>
    </row>
    <row r="84" spans="1:13" ht="16.8" x14ac:dyDescent="0.3">
      <c r="A84" s="7" t="s">
        <v>103</v>
      </c>
      <c r="B84" s="8">
        <v>44990</v>
      </c>
      <c r="C84" s="15" t="s">
        <v>272</v>
      </c>
      <c r="D84" s="10" t="s">
        <v>222</v>
      </c>
      <c r="E84">
        <v>5</v>
      </c>
      <c r="F84">
        <v>65000</v>
      </c>
      <c r="G84">
        <v>49000</v>
      </c>
      <c r="H84">
        <v>11</v>
      </c>
      <c r="I84">
        <v>49000</v>
      </c>
      <c r="J84" s="10" t="s">
        <v>279</v>
      </c>
      <c r="K84" s="10">
        <v>49000</v>
      </c>
      <c r="L84" s="10">
        <v>245000</v>
      </c>
      <c r="M84" s="12" t="s">
        <v>260</v>
      </c>
    </row>
    <row r="85" spans="1:13" ht="16.8" x14ac:dyDescent="0.3">
      <c r="A85" s="7" t="s">
        <v>104</v>
      </c>
      <c r="B85" s="8">
        <v>44642</v>
      </c>
      <c r="C85" s="15" t="s">
        <v>6</v>
      </c>
      <c r="D85" s="10" t="s">
        <v>223</v>
      </c>
      <c r="E85">
        <v>3</v>
      </c>
      <c r="F85">
        <v>39000</v>
      </c>
      <c r="G85">
        <v>65000</v>
      </c>
      <c r="H85">
        <v>14</v>
      </c>
      <c r="I85">
        <v>65000</v>
      </c>
      <c r="J85" s="10" t="s">
        <v>279</v>
      </c>
      <c r="K85" s="10">
        <v>65000</v>
      </c>
      <c r="L85" s="10">
        <v>195000</v>
      </c>
      <c r="M85" s="12" t="s">
        <v>239</v>
      </c>
    </row>
    <row r="86" spans="1:13" ht="16.8" x14ac:dyDescent="0.3">
      <c r="A86" s="7" t="s">
        <v>105</v>
      </c>
      <c r="B86" s="8">
        <v>44970</v>
      </c>
      <c r="C86" s="15" t="s">
        <v>275</v>
      </c>
      <c r="D86" s="10" t="s">
        <v>222</v>
      </c>
      <c r="E86">
        <v>4</v>
      </c>
      <c r="F86">
        <v>29000</v>
      </c>
      <c r="G86">
        <v>65000</v>
      </c>
      <c r="H86">
        <v>12</v>
      </c>
      <c r="I86">
        <v>65000</v>
      </c>
      <c r="J86" s="10" t="s">
        <v>279</v>
      </c>
      <c r="K86" s="10">
        <v>65000</v>
      </c>
      <c r="L86" s="10">
        <v>260000</v>
      </c>
      <c r="M86" s="12" t="s">
        <v>247</v>
      </c>
    </row>
    <row r="87" spans="1:13" ht="16.8" x14ac:dyDescent="0.3">
      <c r="A87" s="7" t="s">
        <v>106</v>
      </c>
      <c r="B87" s="8">
        <v>44590</v>
      </c>
      <c r="C87" s="15" t="s">
        <v>6</v>
      </c>
      <c r="D87" s="10" t="s">
        <v>223</v>
      </c>
      <c r="E87">
        <v>1</v>
      </c>
      <c r="F87">
        <v>59000</v>
      </c>
      <c r="G87">
        <v>59000</v>
      </c>
      <c r="H87">
        <v>5</v>
      </c>
      <c r="I87">
        <v>59000</v>
      </c>
      <c r="J87" s="10" t="s">
        <v>279</v>
      </c>
      <c r="K87" s="10">
        <v>59000</v>
      </c>
      <c r="L87" s="10">
        <v>59000</v>
      </c>
      <c r="M87" s="12" t="s">
        <v>253</v>
      </c>
    </row>
    <row r="88" spans="1:13" ht="16.8" x14ac:dyDescent="0.3">
      <c r="A88" s="7" t="s">
        <v>107</v>
      </c>
      <c r="B88" s="8">
        <v>44645</v>
      </c>
      <c r="C88" s="15" t="s">
        <v>3</v>
      </c>
      <c r="D88" s="10" t="s">
        <v>223</v>
      </c>
      <c r="E88">
        <v>5</v>
      </c>
      <c r="F88">
        <v>49000</v>
      </c>
      <c r="G88">
        <v>65000</v>
      </c>
      <c r="H88">
        <v>7</v>
      </c>
      <c r="I88">
        <v>45570</v>
      </c>
      <c r="J88" s="10" t="s">
        <v>278</v>
      </c>
      <c r="K88" s="10">
        <v>45570</v>
      </c>
      <c r="L88" s="10">
        <v>227850</v>
      </c>
      <c r="M88" s="12" t="s">
        <v>229</v>
      </c>
    </row>
    <row r="89" spans="1:13" ht="16.8" x14ac:dyDescent="0.3">
      <c r="A89" s="7" t="s">
        <v>108</v>
      </c>
      <c r="B89" s="8">
        <v>44791</v>
      </c>
      <c r="C89" s="15" t="s">
        <v>272</v>
      </c>
      <c r="D89" s="10" t="s">
        <v>224</v>
      </c>
      <c r="E89">
        <v>3</v>
      </c>
      <c r="F89">
        <v>49000</v>
      </c>
      <c r="G89">
        <v>35000</v>
      </c>
      <c r="H89">
        <v>9</v>
      </c>
      <c r="I89">
        <v>44590</v>
      </c>
      <c r="J89" s="10" t="s">
        <v>278</v>
      </c>
      <c r="K89" s="10">
        <v>44590</v>
      </c>
      <c r="L89" s="10">
        <v>133770</v>
      </c>
      <c r="M89" s="12" t="s">
        <v>259</v>
      </c>
    </row>
    <row r="90" spans="1:13" ht="16.8" x14ac:dyDescent="0.3">
      <c r="A90" s="7" t="s">
        <v>109</v>
      </c>
      <c r="B90" s="8">
        <v>44857</v>
      </c>
      <c r="C90" s="15" t="s">
        <v>271</v>
      </c>
      <c r="D90" s="10" t="s">
        <v>223</v>
      </c>
      <c r="E90">
        <v>4</v>
      </c>
      <c r="F90">
        <v>45000</v>
      </c>
      <c r="G90">
        <v>39000</v>
      </c>
      <c r="H90">
        <v>14</v>
      </c>
      <c r="I90">
        <v>38700</v>
      </c>
      <c r="J90" s="10" t="s">
        <v>278</v>
      </c>
      <c r="K90" s="10">
        <v>38700</v>
      </c>
      <c r="L90" s="10">
        <v>154800</v>
      </c>
      <c r="M90" s="12" t="s">
        <v>230</v>
      </c>
    </row>
    <row r="91" spans="1:13" ht="16.8" x14ac:dyDescent="0.3">
      <c r="A91" s="7" t="s">
        <v>110</v>
      </c>
      <c r="B91" s="8">
        <v>44635</v>
      </c>
      <c r="C91" s="15" t="s">
        <v>6</v>
      </c>
      <c r="D91" s="10" t="s">
        <v>224</v>
      </c>
      <c r="E91">
        <v>3</v>
      </c>
      <c r="F91">
        <v>45000</v>
      </c>
      <c r="G91">
        <v>45000</v>
      </c>
      <c r="H91">
        <v>5</v>
      </c>
      <c r="I91">
        <v>42750</v>
      </c>
      <c r="J91" s="10" t="s">
        <v>278</v>
      </c>
      <c r="K91" s="10">
        <v>42750</v>
      </c>
      <c r="L91" s="10">
        <v>128250</v>
      </c>
      <c r="M91" s="12" t="s">
        <v>251</v>
      </c>
    </row>
    <row r="92" spans="1:13" ht="16.8" x14ac:dyDescent="0.3">
      <c r="A92" s="7" t="s">
        <v>111</v>
      </c>
      <c r="B92" s="8">
        <v>44684</v>
      </c>
      <c r="C92" s="15" t="s">
        <v>4</v>
      </c>
      <c r="D92" s="10" t="s">
        <v>222</v>
      </c>
      <c r="E92">
        <v>3</v>
      </c>
      <c r="F92">
        <v>69000</v>
      </c>
      <c r="G92">
        <v>55000</v>
      </c>
      <c r="H92">
        <v>7</v>
      </c>
      <c r="I92">
        <v>64169.999999999993</v>
      </c>
      <c r="J92" s="10" t="s">
        <v>278</v>
      </c>
      <c r="K92" s="10">
        <v>64169.999999999993</v>
      </c>
      <c r="L92" s="10">
        <v>192509.99999999997</v>
      </c>
      <c r="M92" s="12" t="s">
        <v>13</v>
      </c>
    </row>
    <row r="93" spans="1:13" ht="16.8" x14ac:dyDescent="0.3">
      <c r="A93" s="7" t="s">
        <v>112</v>
      </c>
      <c r="B93" s="8">
        <v>44385</v>
      </c>
      <c r="C93" s="15" t="s">
        <v>275</v>
      </c>
      <c r="D93" s="10" t="s">
        <v>223</v>
      </c>
      <c r="E93">
        <v>3</v>
      </c>
      <c r="F93">
        <v>59000</v>
      </c>
      <c r="G93">
        <v>49000</v>
      </c>
      <c r="H93">
        <v>15</v>
      </c>
      <c r="I93">
        <v>50150</v>
      </c>
      <c r="J93" s="10" t="s">
        <v>278</v>
      </c>
      <c r="K93" s="10">
        <v>50150</v>
      </c>
      <c r="L93" s="10">
        <v>150450</v>
      </c>
      <c r="M93" s="12" t="s">
        <v>262</v>
      </c>
    </row>
    <row r="94" spans="1:13" ht="16.8" x14ac:dyDescent="0.3">
      <c r="A94" s="7" t="s">
        <v>113</v>
      </c>
      <c r="B94" s="8">
        <v>45209</v>
      </c>
      <c r="C94" s="15" t="s">
        <v>3</v>
      </c>
      <c r="D94" s="10" t="s">
        <v>224</v>
      </c>
      <c r="E94">
        <v>1</v>
      </c>
      <c r="F94">
        <v>65000</v>
      </c>
      <c r="G94">
        <v>39000</v>
      </c>
      <c r="H94">
        <v>6</v>
      </c>
      <c r="I94">
        <v>61100</v>
      </c>
      <c r="J94" s="10" t="s">
        <v>278</v>
      </c>
      <c r="K94" s="10">
        <v>61100</v>
      </c>
      <c r="L94" s="10">
        <v>61100</v>
      </c>
      <c r="M94" s="12" t="s">
        <v>230</v>
      </c>
    </row>
    <row r="95" spans="1:13" ht="16.8" x14ac:dyDescent="0.3">
      <c r="A95" s="7" t="s">
        <v>114</v>
      </c>
      <c r="B95" s="8">
        <v>44571</v>
      </c>
      <c r="C95" s="15" t="s">
        <v>6</v>
      </c>
      <c r="D95" s="10" t="s">
        <v>222</v>
      </c>
      <c r="E95">
        <v>3</v>
      </c>
      <c r="F95">
        <v>29000</v>
      </c>
      <c r="G95">
        <v>29000</v>
      </c>
      <c r="H95">
        <v>5</v>
      </c>
      <c r="I95">
        <v>27550</v>
      </c>
      <c r="J95" s="10" t="s">
        <v>278</v>
      </c>
      <c r="K95" s="10">
        <v>27550</v>
      </c>
      <c r="L95" s="10">
        <v>82650</v>
      </c>
      <c r="M95" s="12" t="s">
        <v>11</v>
      </c>
    </row>
    <row r="96" spans="1:13" ht="16.8" x14ac:dyDescent="0.3">
      <c r="A96" s="7" t="s">
        <v>115</v>
      </c>
      <c r="B96" s="8">
        <v>44749</v>
      </c>
      <c r="C96" s="15" t="s">
        <v>275</v>
      </c>
      <c r="D96" s="10" t="s">
        <v>223</v>
      </c>
      <c r="E96">
        <v>3</v>
      </c>
      <c r="F96">
        <v>29000</v>
      </c>
      <c r="G96">
        <v>65000</v>
      </c>
      <c r="H96">
        <v>8</v>
      </c>
      <c r="I96">
        <v>65000</v>
      </c>
      <c r="J96" s="10" t="s">
        <v>279</v>
      </c>
      <c r="K96" s="10">
        <v>65000</v>
      </c>
      <c r="L96" s="10">
        <v>195000</v>
      </c>
      <c r="M96" s="12" t="s">
        <v>258</v>
      </c>
    </row>
    <row r="97" spans="1:13" ht="16.8" x14ac:dyDescent="0.3">
      <c r="A97" s="7" t="s">
        <v>116</v>
      </c>
      <c r="B97" s="8">
        <v>44341</v>
      </c>
      <c r="C97" s="15" t="s">
        <v>273</v>
      </c>
      <c r="D97" s="10" t="s">
        <v>223</v>
      </c>
      <c r="E97">
        <v>3</v>
      </c>
      <c r="F97">
        <v>69000</v>
      </c>
      <c r="G97">
        <v>45000</v>
      </c>
      <c r="H97">
        <v>12</v>
      </c>
      <c r="I97">
        <v>60720</v>
      </c>
      <c r="J97" s="10" t="s">
        <v>278</v>
      </c>
      <c r="K97" s="10">
        <v>60720</v>
      </c>
      <c r="L97" s="10">
        <v>182160</v>
      </c>
      <c r="M97" s="12" t="s">
        <v>245</v>
      </c>
    </row>
    <row r="98" spans="1:13" ht="16.8" x14ac:dyDescent="0.3">
      <c r="A98" s="7" t="s">
        <v>117</v>
      </c>
      <c r="B98" s="8">
        <v>45157</v>
      </c>
      <c r="C98" s="15" t="s">
        <v>273</v>
      </c>
      <c r="D98" s="10" t="s">
        <v>224</v>
      </c>
      <c r="E98">
        <v>4</v>
      </c>
      <c r="F98">
        <v>49000</v>
      </c>
      <c r="G98">
        <v>49000</v>
      </c>
      <c r="H98">
        <v>15</v>
      </c>
      <c r="I98">
        <v>41650</v>
      </c>
      <c r="J98" s="10" t="s">
        <v>278</v>
      </c>
      <c r="K98" s="10">
        <v>41650</v>
      </c>
      <c r="L98" s="10">
        <v>166600</v>
      </c>
      <c r="M98" s="12" t="s">
        <v>13</v>
      </c>
    </row>
    <row r="99" spans="1:13" ht="16.8" x14ac:dyDescent="0.3">
      <c r="A99" s="7" t="s">
        <v>118</v>
      </c>
      <c r="B99" s="8">
        <v>44651</v>
      </c>
      <c r="C99" s="15" t="s">
        <v>274</v>
      </c>
      <c r="D99" s="10" t="s">
        <v>222</v>
      </c>
      <c r="E99">
        <v>5</v>
      </c>
      <c r="F99">
        <v>59000</v>
      </c>
      <c r="G99">
        <v>69000</v>
      </c>
      <c r="H99">
        <v>8</v>
      </c>
      <c r="I99">
        <v>54280</v>
      </c>
      <c r="J99" s="10" t="s">
        <v>278</v>
      </c>
      <c r="K99" s="10">
        <v>54280</v>
      </c>
      <c r="L99" s="10">
        <v>271400</v>
      </c>
      <c r="M99" s="12" t="s">
        <v>10</v>
      </c>
    </row>
    <row r="100" spans="1:13" ht="16.8" x14ac:dyDescent="0.3">
      <c r="A100" s="7" t="s">
        <v>119</v>
      </c>
      <c r="B100" s="8">
        <v>45290</v>
      </c>
      <c r="C100" s="15" t="s">
        <v>270</v>
      </c>
      <c r="D100" s="10" t="s">
        <v>223</v>
      </c>
      <c r="E100">
        <v>3</v>
      </c>
      <c r="F100">
        <v>59000</v>
      </c>
      <c r="G100">
        <v>55000</v>
      </c>
      <c r="H100">
        <v>10</v>
      </c>
      <c r="I100">
        <v>55000</v>
      </c>
      <c r="J100" s="10" t="s">
        <v>279</v>
      </c>
      <c r="K100" s="10">
        <v>55000</v>
      </c>
      <c r="L100" s="10">
        <v>165000</v>
      </c>
      <c r="M100" s="12" t="s">
        <v>243</v>
      </c>
    </row>
    <row r="101" spans="1:13" ht="16.8" x14ac:dyDescent="0.3">
      <c r="A101" s="7" t="s">
        <v>120</v>
      </c>
      <c r="B101" s="8">
        <v>44609</v>
      </c>
      <c r="C101" s="15" t="s">
        <v>6</v>
      </c>
      <c r="D101" s="10" t="s">
        <v>222</v>
      </c>
      <c r="E101">
        <v>1</v>
      </c>
      <c r="F101">
        <v>59000</v>
      </c>
      <c r="G101">
        <v>65000</v>
      </c>
      <c r="H101">
        <v>11</v>
      </c>
      <c r="I101">
        <v>65000</v>
      </c>
      <c r="J101" s="10" t="s">
        <v>279</v>
      </c>
      <c r="K101" s="10">
        <v>65000</v>
      </c>
      <c r="L101" s="10">
        <v>65000</v>
      </c>
      <c r="M101" s="12" t="s">
        <v>254</v>
      </c>
    </row>
    <row r="102" spans="1:13" ht="16.8" x14ac:dyDescent="0.3">
      <c r="A102" s="7" t="s">
        <v>121</v>
      </c>
      <c r="B102" s="8">
        <v>44280</v>
      </c>
      <c r="C102" s="15" t="s">
        <v>275</v>
      </c>
      <c r="D102" s="10" t="s">
        <v>223</v>
      </c>
      <c r="E102">
        <v>3</v>
      </c>
      <c r="F102">
        <v>75000</v>
      </c>
      <c r="G102">
        <v>59000</v>
      </c>
      <c r="H102">
        <v>11</v>
      </c>
      <c r="I102">
        <v>66750</v>
      </c>
      <c r="J102" s="10" t="s">
        <v>278</v>
      </c>
      <c r="K102" s="10">
        <v>66750</v>
      </c>
      <c r="L102" s="10">
        <v>200250</v>
      </c>
      <c r="M102" s="12" t="s">
        <v>16</v>
      </c>
    </row>
    <row r="103" spans="1:13" ht="16.8" x14ac:dyDescent="0.3">
      <c r="A103" s="7" t="s">
        <v>122</v>
      </c>
      <c r="B103" s="8">
        <v>44884</v>
      </c>
      <c r="C103" s="15" t="s">
        <v>5</v>
      </c>
      <c r="D103" s="10" t="s">
        <v>223</v>
      </c>
      <c r="E103">
        <v>4</v>
      </c>
      <c r="F103">
        <v>65000</v>
      </c>
      <c r="G103">
        <v>49000</v>
      </c>
      <c r="H103">
        <v>8</v>
      </c>
      <c r="I103">
        <v>59800</v>
      </c>
      <c r="J103" s="10" t="s">
        <v>278</v>
      </c>
      <c r="K103" s="10">
        <v>59800</v>
      </c>
      <c r="L103" s="10">
        <v>239200</v>
      </c>
      <c r="M103" s="12" t="s">
        <v>225</v>
      </c>
    </row>
    <row r="104" spans="1:13" ht="16.8" x14ac:dyDescent="0.3">
      <c r="A104" s="7" t="s">
        <v>123</v>
      </c>
      <c r="B104" s="8">
        <v>44432</v>
      </c>
      <c r="C104" s="15" t="s">
        <v>273</v>
      </c>
      <c r="D104" s="10" t="s">
        <v>224</v>
      </c>
      <c r="E104">
        <v>1</v>
      </c>
      <c r="F104">
        <v>59000</v>
      </c>
      <c r="G104">
        <v>45000</v>
      </c>
      <c r="H104">
        <v>9</v>
      </c>
      <c r="I104">
        <v>45000</v>
      </c>
      <c r="J104" s="10" t="s">
        <v>279</v>
      </c>
      <c r="K104" s="10">
        <v>45000</v>
      </c>
      <c r="L104" s="10">
        <v>45000</v>
      </c>
      <c r="M104" s="12" t="s">
        <v>228</v>
      </c>
    </row>
    <row r="105" spans="1:13" ht="16.8" x14ac:dyDescent="0.3">
      <c r="A105" s="7" t="s">
        <v>124</v>
      </c>
      <c r="B105" s="8">
        <v>44672</v>
      </c>
      <c r="C105" s="15" t="s">
        <v>6</v>
      </c>
      <c r="D105" s="10" t="s">
        <v>223</v>
      </c>
      <c r="E105">
        <v>2</v>
      </c>
      <c r="F105">
        <v>65000</v>
      </c>
      <c r="G105">
        <v>49000</v>
      </c>
      <c r="H105">
        <v>12</v>
      </c>
      <c r="I105">
        <v>49000</v>
      </c>
      <c r="J105" s="10" t="s">
        <v>279</v>
      </c>
      <c r="K105" s="10">
        <v>49000</v>
      </c>
      <c r="L105" s="10">
        <v>98000</v>
      </c>
      <c r="M105" s="12" t="s">
        <v>255</v>
      </c>
    </row>
    <row r="106" spans="1:13" ht="16.8" x14ac:dyDescent="0.3">
      <c r="A106" s="7" t="s">
        <v>125</v>
      </c>
      <c r="B106" s="8">
        <v>44438</v>
      </c>
      <c r="C106" s="15" t="s">
        <v>273</v>
      </c>
      <c r="D106" s="10" t="s">
        <v>224</v>
      </c>
      <c r="E106">
        <v>4</v>
      </c>
      <c r="F106">
        <v>65000</v>
      </c>
      <c r="G106">
        <v>39000</v>
      </c>
      <c r="H106">
        <v>11</v>
      </c>
      <c r="I106">
        <v>39000</v>
      </c>
      <c r="J106" s="10" t="s">
        <v>279</v>
      </c>
      <c r="K106" s="10">
        <v>39000</v>
      </c>
      <c r="L106" s="10">
        <v>156000</v>
      </c>
      <c r="M106" s="12" t="s">
        <v>231</v>
      </c>
    </row>
    <row r="107" spans="1:13" ht="16.8" x14ac:dyDescent="0.3">
      <c r="A107" s="7" t="s">
        <v>126</v>
      </c>
      <c r="B107" s="8">
        <v>44506</v>
      </c>
      <c r="C107" s="15" t="s">
        <v>273</v>
      </c>
      <c r="D107" s="10" t="s">
        <v>223</v>
      </c>
      <c r="E107">
        <v>3</v>
      </c>
      <c r="F107">
        <v>45000</v>
      </c>
      <c r="G107">
        <v>69000</v>
      </c>
      <c r="H107">
        <v>7</v>
      </c>
      <c r="I107">
        <v>69000</v>
      </c>
      <c r="J107" s="10" t="s">
        <v>279</v>
      </c>
      <c r="K107" s="10">
        <v>69000</v>
      </c>
      <c r="L107" s="10">
        <v>207000</v>
      </c>
      <c r="M107" s="12" t="s">
        <v>234</v>
      </c>
    </row>
    <row r="108" spans="1:13" ht="16.8" x14ac:dyDescent="0.3">
      <c r="A108" s="7" t="s">
        <v>127</v>
      </c>
      <c r="B108" s="8">
        <v>44882</v>
      </c>
      <c r="C108" s="15" t="s">
        <v>5</v>
      </c>
      <c r="D108" s="10" t="s">
        <v>222</v>
      </c>
      <c r="E108">
        <v>2</v>
      </c>
      <c r="F108">
        <v>69000</v>
      </c>
      <c r="G108">
        <v>49000</v>
      </c>
      <c r="H108">
        <v>10</v>
      </c>
      <c r="I108">
        <v>49000</v>
      </c>
      <c r="J108" s="10" t="s">
        <v>279</v>
      </c>
      <c r="K108" s="10">
        <v>49000</v>
      </c>
      <c r="L108" s="10">
        <v>98000</v>
      </c>
      <c r="M108" s="12" t="s">
        <v>225</v>
      </c>
    </row>
    <row r="109" spans="1:13" ht="16.8" x14ac:dyDescent="0.3">
      <c r="A109" s="7" t="s">
        <v>128</v>
      </c>
      <c r="B109" s="8">
        <v>44243</v>
      </c>
      <c r="C109" s="15" t="s">
        <v>275</v>
      </c>
      <c r="D109" s="10" t="s">
        <v>224</v>
      </c>
      <c r="E109">
        <v>2</v>
      </c>
      <c r="F109">
        <v>45000</v>
      </c>
      <c r="G109">
        <v>39000</v>
      </c>
      <c r="H109">
        <v>11</v>
      </c>
      <c r="I109">
        <v>39000</v>
      </c>
      <c r="J109" s="10" t="s">
        <v>279</v>
      </c>
      <c r="K109" s="10">
        <v>39000</v>
      </c>
      <c r="L109" s="10">
        <v>78000</v>
      </c>
      <c r="M109" s="12" t="s">
        <v>237</v>
      </c>
    </row>
    <row r="110" spans="1:13" ht="16.8" x14ac:dyDescent="0.3">
      <c r="A110" s="7" t="s">
        <v>129</v>
      </c>
      <c r="B110" s="8">
        <v>44567</v>
      </c>
      <c r="C110" s="15" t="s">
        <v>275</v>
      </c>
      <c r="D110" s="10" t="s">
        <v>223</v>
      </c>
      <c r="E110">
        <v>1</v>
      </c>
      <c r="F110">
        <v>45000</v>
      </c>
      <c r="G110">
        <v>75000</v>
      </c>
      <c r="H110">
        <v>5</v>
      </c>
      <c r="I110">
        <v>75000</v>
      </c>
      <c r="J110" s="10" t="s">
        <v>279</v>
      </c>
      <c r="K110" s="10">
        <v>75000</v>
      </c>
      <c r="L110" s="10">
        <v>75000</v>
      </c>
      <c r="M110" s="12" t="s">
        <v>249</v>
      </c>
    </row>
    <row r="111" spans="1:13" ht="16.8" x14ac:dyDescent="0.3">
      <c r="A111" s="7" t="s">
        <v>130</v>
      </c>
      <c r="B111" s="8">
        <v>44508</v>
      </c>
      <c r="C111" s="15" t="s">
        <v>5</v>
      </c>
      <c r="D111" s="10" t="s">
        <v>224</v>
      </c>
      <c r="E111">
        <v>4</v>
      </c>
      <c r="F111">
        <v>69000</v>
      </c>
      <c r="G111">
        <v>65000</v>
      </c>
      <c r="H111">
        <v>12</v>
      </c>
      <c r="I111">
        <v>65000</v>
      </c>
      <c r="J111" s="10" t="s">
        <v>279</v>
      </c>
      <c r="K111" s="10">
        <v>65000</v>
      </c>
      <c r="L111" s="10">
        <v>260000</v>
      </c>
      <c r="M111" s="12" t="s">
        <v>260</v>
      </c>
    </row>
    <row r="112" spans="1:13" ht="16.8" x14ac:dyDescent="0.3">
      <c r="A112" s="7" t="s">
        <v>131</v>
      </c>
      <c r="B112" s="8">
        <v>45012</v>
      </c>
      <c r="C112" s="15" t="s">
        <v>5</v>
      </c>
      <c r="D112" s="10" t="s">
        <v>224</v>
      </c>
      <c r="E112">
        <v>3</v>
      </c>
      <c r="F112">
        <v>59000</v>
      </c>
      <c r="G112">
        <v>35000</v>
      </c>
      <c r="H112">
        <v>9</v>
      </c>
      <c r="I112">
        <v>53690</v>
      </c>
      <c r="J112" s="10" t="s">
        <v>278</v>
      </c>
      <c r="K112" s="10">
        <v>53690</v>
      </c>
      <c r="L112" s="10">
        <v>161070</v>
      </c>
      <c r="M112" s="12" t="s">
        <v>250</v>
      </c>
    </row>
    <row r="113" spans="1:13" ht="16.8" x14ac:dyDescent="0.3">
      <c r="A113" s="7" t="s">
        <v>132</v>
      </c>
      <c r="B113" s="8">
        <v>44207</v>
      </c>
      <c r="C113" s="15" t="s">
        <v>5</v>
      </c>
      <c r="D113" s="10" t="s">
        <v>223</v>
      </c>
      <c r="E113">
        <v>4</v>
      </c>
      <c r="F113">
        <v>35000</v>
      </c>
      <c r="G113">
        <v>59000</v>
      </c>
      <c r="H113">
        <v>11</v>
      </c>
      <c r="I113">
        <v>59000</v>
      </c>
      <c r="J113" s="10" t="s">
        <v>279</v>
      </c>
      <c r="K113" s="10">
        <v>59000</v>
      </c>
      <c r="L113" s="10">
        <v>236000</v>
      </c>
      <c r="M113" s="12" t="s">
        <v>230</v>
      </c>
    </row>
    <row r="114" spans="1:13" ht="16.8" x14ac:dyDescent="0.3">
      <c r="A114" s="7" t="s">
        <v>133</v>
      </c>
      <c r="B114" s="8">
        <v>44656</v>
      </c>
      <c r="C114" s="15" t="s">
        <v>5</v>
      </c>
      <c r="D114" s="10" t="s">
        <v>222</v>
      </c>
      <c r="E114">
        <v>4</v>
      </c>
      <c r="F114">
        <v>69000</v>
      </c>
      <c r="G114">
        <v>39000</v>
      </c>
      <c r="H114">
        <v>8</v>
      </c>
      <c r="I114">
        <v>39000</v>
      </c>
      <c r="J114" s="10" t="s">
        <v>279</v>
      </c>
      <c r="K114" s="10">
        <v>39000</v>
      </c>
      <c r="L114" s="10">
        <v>156000</v>
      </c>
      <c r="M114" s="12" t="s">
        <v>243</v>
      </c>
    </row>
    <row r="115" spans="1:13" ht="16.8" x14ac:dyDescent="0.3">
      <c r="A115" s="7" t="s">
        <v>134</v>
      </c>
      <c r="B115" s="8">
        <v>45074</v>
      </c>
      <c r="C115" s="15" t="s">
        <v>273</v>
      </c>
      <c r="D115" s="10" t="s">
        <v>223</v>
      </c>
      <c r="E115">
        <v>3</v>
      </c>
      <c r="F115">
        <v>49000</v>
      </c>
      <c r="G115">
        <v>39000</v>
      </c>
      <c r="H115">
        <v>7</v>
      </c>
      <c r="I115">
        <v>45570</v>
      </c>
      <c r="J115" s="10" t="s">
        <v>278</v>
      </c>
      <c r="K115" s="10">
        <v>45570</v>
      </c>
      <c r="L115" s="10">
        <v>136710</v>
      </c>
      <c r="M115" s="12" t="s">
        <v>232</v>
      </c>
    </row>
    <row r="116" spans="1:13" ht="16.8" x14ac:dyDescent="0.3">
      <c r="A116" s="7" t="s">
        <v>135</v>
      </c>
      <c r="B116" s="8">
        <v>44776</v>
      </c>
      <c r="C116" s="15" t="s">
        <v>6</v>
      </c>
      <c r="D116" s="10" t="s">
        <v>224</v>
      </c>
      <c r="E116">
        <v>1</v>
      </c>
      <c r="F116">
        <v>55000</v>
      </c>
      <c r="G116">
        <v>35000</v>
      </c>
      <c r="H116">
        <v>9</v>
      </c>
      <c r="I116">
        <v>50050</v>
      </c>
      <c r="J116" s="10" t="s">
        <v>278</v>
      </c>
      <c r="K116" s="10">
        <v>50050</v>
      </c>
      <c r="L116" s="10">
        <v>50050</v>
      </c>
      <c r="M116" s="12" t="s">
        <v>248</v>
      </c>
    </row>
    <row r="117" spans="1:13" ht="16.8" x14ac:dyDescent="0.3">
      <c r="A117" s="7" t="s">
        <v>136</v>
      </c>
      <c r="B117" s="8">
        <v>45132</v>
      </c>
      <c r="C117" s="15" t="s">
        <v>6</v>
      </c>
      <c r="D117" s="10" t="s">
        <v>223</v>
      </c>
      <c r="E117">
        <v>5</v>
      </c>
      <c r="F117">
        <v>49000</v>
      </c>
      <c r="G117">
        <v>65000</v>
      </c>
      <c r="H117">
        <v>6</v>
      </c>
      <c r="I117">
        <v>46060</v>
      </c>
      <c r="J117" s="10" t="s">
        <v>278</v>
      </c>
      <c r="K117" s="10">
        <v>46060</v>
      </c>
      <c r="L117" s="10">
        <v>230300</v>
      </c>
      <c r="M117" s="12" t="s">
        <v>241</v>
      </c>
    </row>
    <row r="118" spans="1:13" ht="16.8" x14ac:dyDescent="0.3">
      <c r="A118" s="7" t="s">
        <v>137</v>
      </c>
      <c r="B118" s="8">
        <v>44988</v>
      </c>
      <c r="C118" s="15" t="s">
        <v>5</v>
      </c>
      <c r="D118" s="10" t="s">
        <v>223</v>
      </c>
      <c r="E118">
        <v>1</v>
      </c>
      <c r="F118">
        <v>59000</v>
      </c>
      <c r="G118">
        <v>65000</v>
      </c>
      <c r="H118">
        <v>15</v>
      </c>
      <c r="I118">
        <v>65000</v>
      </c>
      <c r="J118" s="10" t="s">
        <v>279</v>
      </c>
      <c r="K118" s="10">
        <v>65000</v>
      </c>
      <c r="L118" s="10">
        <v>65000</v>
      </c>
      <c r="M118" s="12" t="s">
        <v>254</v>
      </c>
    </row>
    <row r="119" spans="1:13" ht="16.8" x14ac:dyDescent="0.3">
      <c r="A119" s="7" t="s">
        <v>138</v>
      </c>
      <c r="B119" s="8">
        <v>44962</v>
      </c>
      <c r="C119" s="15" t="s">
        <v>270</v>
      </c>
      <c r="D119" s="10" t="s">
        <v>222</v>
      </c>
      <c r="E119">
        <v>4</v>
      </c>
      <c r="F119">
        <v>69000</v>
      </c>
      <c r="G119">
        <v>59000</v>
      </c>
      <c r="H119">
        <v>13</v>
      </c>
      <c r="I119">
        <v>59000</v>
      </c>
      <c r="J119" s="10" t="s">
        <v>279</v>
      </c>
      <c r="K119" s="10">
        <v>59000</v>
      </c>
      <c r="L119" s="10">
        <v>236000</v>
      </c>
      <c r="M119" s="12" t="s">
        <v>236</v>
      </c>
    </row>
    <row r="120" spans="1:13" ht="16.8" x14ac:dyDescent="0.3">
      <c r="A120" s="7" t="s">
        <v>139</v>
      </c>
      <c r="B120" s="8">
        <v>44202</v>
      </c>
      <c r="C120" s="15" t="s">
        <v>4</v>
      </c>
      <c r="D120" s="10" t="s">
        <v>222</v>
      </c>
      <c r="E120">
        <v>4</v>
      </c>
      <c r="F120">
        <v>39000</v>
      </c>
      <c r="G120">
        <v>49000</v>
      </c>
      <c r="H120">
        <v>10</v>
      </c>
      <c r="I120">
        <v>49000</v>
      </c>
      <c r="J120" s="10" t="s">
        <v>279</v>
      </c>
      <c r="K120" s="10">
        <v>49000</v>
      </c>
      <c r="L120" s="10">
        <v>196000</v>
      </c>
      <c r="M120" s="12" t="s">
        <v>230</v>
      </c>
    </row>
    <row r="121" spans="1:13" ht="16.8" x14ac:dyDescent="0.3">
      <c r="A121" s="7" t="s">
        <v>140</v>
      </c>
      <c r="B121" s="8">
        <v>45164</v>
      </c>
      <c r="C121" s="15" t="s">
        <v>5</v>
      </c>
      <c r="D121" s="10" t="s">
        <v>223</v>
      </c>
      <c r="E121">
        <v>5</v>
      </c>
      <c r="F121">
        <v>35000</v>
      </c>
      <c r="G121">
        <v>59000</v>
      </c>
      <c r="H121">
        <v>7</v>
      </c>
      <c r="I121">
        <v>32549.999999999996</v>
      </c>
      <c r="J121" s="10" t="s">
        <v>278</v>
      </c>
      <c r="K121" s="10">
        <v>32549.999999999996</v>
      </c>
      <c r="L121" s="10">
        <v>162749.99999999997</v>
      </c>
      <c r="M121" s="12" t="s">
        <v>249</v>
      </c>
    </row>
    <row r="122" spans="1:13" ht="16.8" x14ac:dyDescent="0.3">
      <c r="A122" s="7" t="s">
        <v>141</v>
      </c>
      <c r="B122" s="8">
        <v>44398</v>
      </c>
      <c r="C122" s="15" t="s">
        <v>272</v>
      </c>
      <c r="D122" s="10" t="s">
        <v>222</v>
      </c>
      <c r="E122">
        <v>2</v>
      </c>
      <c r="F122">
        <v>69000</v>
      </c>
      <c r="G122">
        <v>49000</v>
      </c>
      <c r="H122">
        <v>10</v>
      </c>
      <c r="I122">
        <v>49000</v>
      </c>
      <c r="J122" s="10" t="s">
        <v>279</v>
      </c>
      <c r="K122" s="10">
        <v>49000</v>
      </c>
      <c r="L122" s="10">
        <v>98000</v>
      </c>
      <c r="M122" s="12" t="s">
        <v>13</v>
      </c>
    </row>
    <row r="123" spans="1:13" ht="16.8" x14ac:dyDescent="0.3">
      <c r="A123" s="7" t="s">
        <v>142</v>
      </c>
      <c r="B123" s="8">
        <v>44467</v>
      </c>
      <c r="C123" s="15" t="s">
        <v>271</v>
      </c>
      <c r="D123" s="10" t="s">
        <v>224</v>
      </c>
      <c r="E123">
        <v>1</v>
      </c>
      <c r="F123">
        <v>59000</v>
      </c>
      <c r="G123">
        <v>49000</v>
      </c>
      <c r="H123">
        <v>9</v>
      </c>
      <c r="I123">
        <v>53690</v>
      </c>
      <c r="J123" s="10" t="s">
        <v>278</v>
      </c>
      <c r="K123" s="10">
        <v>53690</v>
      </c>
      <c r="L123" s="10">
        <v>53690</v>
      </c>
      <c r="M123" s="12" t="s">
        <v>249</v>
      </c>
    </row>
    <row r="124" spans="1:13" ht="16.8" x14ac:dyDescent="0.3">
      <c r="A124" s="7" t="s">
        <v>143</v>
      </c>
      <c r="B124" s="8">
        <v>45179</v>
      </c>
      <c r="C124" s="15" t="s">
        <v>3</v>
      </c>
      <c r="D124" s="10" t="s">
        <v>222</v>
      </c>
      <c r="E124">
        <v>1</v>
      </c>
      <c r="F124">
        <v>69000</v>
      </c>
      <c r="G124">
        <v>65000</v>
      </c>
      <c r="H124">
        <v>9</v>
      </c>
      <c r="I124">
        <v>62790</v>
      </c>
      <c r="J124" s="10" t="s">
        <v>278</v>
      </c>
      <c r="K124" s="10">
        <v>62790</v>
      </c>
      <c r="L124" s="10">
        <v>62790</v>
      </c>
      <c r="M124" s="12" t="s">
        <v>253</v>
      </c>
    </row>
    <row r="125" spans="1:13" ht="16.8" x14ac:dyDescent="0.3">
      <c r="A125" s="7" t="s">
        <v>144</v>
      </c>
      <c r="B125" s="8">
        <v>44646</v>
      </c>
      <c r="C125" s="15" t="s">
        <v>273</v>
      </c>
      <c r="D125" s="10" t="s">
        <v>223</v>
      </c>
      <c r="E125">
        <v>2</v>
      </c>
      <c r="F125">
        <v>49000</v>
      </c>
      <c r="G125">
        <v>55000</v>
      </c>
      <c r="H125">
        <v>9</v>
      </c>
      <c r="I125">
        <v>55000</v>
      </c>
      <c r="J125" s="10" t="s">
        <v>279</v>
      </c>
      <c r="K125" s="10">
        <v>55000</v>
      </c>
      <c r="L125" s="10">
        <v>110000</v>
      </c>
      <c r="M125" s="12" t="s">
        <v>252</v>
      </c>
    </row>
    <row r="126" spans="1:13" ht="16.8" x14ac:dyDescent="0.3">
      <c r="A126" s="7" t="s">
        <v>145</v>
      </c>
      <c r="B126" s="8">
        <v>45241</v>
      </c>
      <c r="C126" s="15" t="s">
        <v>271</v>
      </c>
      <c r="D126" s="10" t="s">
        <v>224</v>
      </c>
      <c r="E126">
        <v>3</v>
      </c>
      <c r="F126">
        <v>49000</v>
      </c>
      <c r="G126">
        <v>39000</v>
      </c>
      <c r="H126">
        <v>14</v>
      </c>
      <c r="I126">
        <v>39000</v>
      </c>
      <c r="J126" s="10" t="s">
        <v>279</v>
      </c>
      <c r="K126" s="10">
        <v>39000</v>
      </c>
      <c r="L126" s="10">
        <v>117000</v>
      </c>
      <c r="M126" s="12" t="s">
        <v>262</v>
      </c>
    </row>
    <row r="127" spans="1:13" ht="16.8" x14ac:dyDescent="0.3">
      <c r="A127" s="7" t="s">
        <v>146</v>
      </c>
      <c r="B127" s="8">
        <v>44532</v>
      </c>
      <c r="C127" s="15" t="s">
        <v>5</v>
      </c>
      <c r="D127" s="10" t="s">
        <v>224</v>
      </c>
      <c r="E127">
        <v>1</v>
      </c>
      <c r="F127">
        <v>45000</v>
      </c>
      <c r="G127">
        <v>39000</v>
      </c>
      <c r="H127">
        <v>6</v>
      </c>
      <c r="I127">
        <v>42300</v>
      </c>
      <c r="J127" s="10" t="s">
        <v>278</v>
      </c>
      <c r="K127" s="10">
        <v>42300</v>
      </c>
      <c r="L127" s="10">
        <v>42300</v>
      </c>
      <c r="M127" s="12" t="s">
        <v>227</v>
      </c>
    </row>
    <row r="128" spans="1:13" ht="16.8" x14ac:dyDescent="0.3">
      <c r="A128" s="7" t="s">
        <v>147</v>
      </c>
      <c r="B128" s="8">
        <v>44466</v>
      </c>
      <c r="C128" s="15" t="s">
        <v>6</v>
      </c>
      <c r="D128" s="10" t="s">
        <v>224</v>
      </c>
      <c r="E128">
        <v>5</v>
      </c>
      <c r="F128">
        <v>39000</v>
      </c>
      <c r="G128">
        <v>69000</v>
      </c>
      <c r="H128">
        <v>13</v>
      </c>
      <c r="I128">
        <v>33930</v>
      </c>
      <c r="J128" s="10" t="s">
        <v>278</v>
      </c>
      <c r="K128" s="10">
        <v>33930</v>
      </c>
      <c r="L128" s="10">
        <v>169650</v>
      </c>
      <c r="M128" s="12" t="s">
        <v>15</v>
      </c>
    </row>
    <row r="129" spans="1:13" ht="16.8" x14ac:dyDescent="0.3">
      <c r="A129" s="7" t="s">
        <v>148</v>
      </c>
      <c r="B129" s="8">
        <v>44821</v>
      </c>
      <c r="C129" s="15" t="s">
        <v>273</v>
      </c>
      <c r="D129" s="10" t="s">
        <v>222</v>
      </c>
      <c r="E129">
        <v>4</v>
      </c>
      <c r="F129">
        <v>59000</v>
      </c>
      <c r="G129">
        <v>59000</v>
      </c>
      <c r="H129">
        <v>8</v>
      </c>
      <c r="I129">
        <v>54280</v>
      </c>
      <c r="J129" s="10" t="s">
        <v>278</v>
      </c>
      <c r="K129" s="10">
        <v>54280</v>
      </c>
      <c r="L129" s="10">
        <v>217120</v>
      </c>
      <c r="M129" s="12" t="s">
        <v>228</v>
      </c>
    </row>
    <row r="130" spans="1:13" ht="16.8" x14ac:dyDescent="0.3">
      <c r="A130" s="7" t="s">
        <v>149</v>
      </c>
      <c r="B130" s="8">
        <v>44908</v>
      </c>
      <c r="C130" s="15" t="s">
        <v>270</v>
      </c>
      <c r="D130" s="10" t="s">
        <v>223</v>
      </c>
      <c r="E130">
        <v>1</v>
      </c>
      <c r="F130">
        <v>35000</v>
      </c>
      <c r="G130">
        <v>59000</v>
      </c>
      <c r="H130">
        <v>6</v>
      </c>
      <c r="I130">
        <v>59000</v>
      </c>
      <c r="J130" s="10" t="s">
        <v>279</v>
      </c>
      <c r="K130" s="10">
        <v>59000</v>
      </c>
      <c r="L130" s="10">
        <v>59000</v>
      </c>
      <c r="M130" s="12" t="s">
        <v>13</v>
      </c>
    </row>
    <row r="131" spans="1:13" ht="16.8" x14ac:dyDescent="0.3">
      <c r="A131" s="7" t="s">
        <v>150</v>
      </c>
      <c r="B131" s="8">
        <v>44573</v>
      </c>
      <c r="C131" s="15" t="s">
        <v>4</v>
      </c>
      <c r="D131" s="10" t="s">
        <v>224</v>
      </c>
      <c r="E131">
        <v>3</v>
      </c>
      <c r="F131">
        <v>49000</v>
      </c>
      <c r="G131">
        <v>49000</v>
      </c>
      <c r="H131">
        <v>9</v>
      </c>
      <c r="I131">
        <v>44590</v>
      </c>
      <c r="J131" s="10" t="s">
        <v>278</v>
      </c>
      <c r="K131" s="10">
        <v>44590</v>
      </c>
      <c r="L131" s="10">
        <v>133770</v>
      </c>
      <c r="M131" s="12" t="s">
        <v>12</v>
      </c>
    </row>
    <row r="132" spans="1:13" ht="16.8" x14ac:dyDescent="0.3">
      <c r="A132" s="7" t="s">
        <v>151</v>
      </c>
      <c r="B132" s="8">
        <v>44610</v>
      </c>
      <c r="C132" s="15" t="s">
        <v>270</v>
      </c>
      <c r="D132" s="10" t="s">
        <v>224</v>
      </c>
      <c r="E132">
        <v>3</v>
      </c>
      <c r="F132">
        <v>69000</v>
      </c>
      <c r="G132">
        <v>65000</v>
      </c>
      <c r="H132">
        <v>12</v>
      </c>
      <c r="I132">
        <v>60720</v>
      </c>
      <c r="J132" s="10" t="s">
        <v>278</v>
      </c>
      <c r="K132" s="10">
        <v>60720</v>
      </c>
      <c r="L132" s="10">
        <v>182160</v>
      </c>
      <c r="M132" s="12" t="s">
        <v>241</v>
      </c>
    </row>
    <row r="133" spans="1:13" ht="16.8" x14ac:dyDescent="0.3">
      <c r="A133" s="7" t="s">
        <v>152</v>
      </c>
      <c r="B133" s="8">
        <v>44385</v>
      </c>
      <c r="C133" s="15" t="s">
        <v>274</v>
      </c>
      <c r="D133" s="10" t="s">
        <v>223</v>
      </c>
      <c r="E133">
        <v>5</v>
      </c>
      <c r="F133">
        <v>65000</v>
      </c>
      <c r="G133">
        <v>49000</v>
      </c>
      <c r="H133">
        <v>8</v>
      </c>
      <c r="I133">
        <v>49000</v>
      </c>
      <c r="J133" s="10" t="s">
        <v>279</v>
      </c>
      <c r="K133" s="10">
        <v>49000</v>
      </c>
      <c r="L133" s="10">
        <v>245000</v>
      </c>
      <c r="M133" s="12" t="s">
        <v>243</v>
      </c>
    </row>
    <row r="134" spans="1:13" ht="16.8" x14ac:dyDescent="0.3">
      <c r="A134" s="7" t="s">
        <v>153</v>
      </c>
      <c r="B134" s="8">
        <v>44583</v>
      </c>
      <c r="C134" s="15" t="s">
        <v>270</v>
      </c>
      <c r="D134" s="10" t="s">
        <v>223</v>
      </c>
      <c r="E134">
        <v>4</v>
      </c>
      <c r="F134">
        <v>59000</v>
      </c>
      <c r="G134">
        <v>69000</v>
      </c>
      <c r="H134">
        <v>8</v>
      </c>
      <c r="I134">
        <v>69000</v>
      </c>
      <c r="J134" s="10" t="s">
        <v>279</v>
      </c>
      <c r="K134" s="10">
        <v>69000</v>
      </c>
      <c r="L134" s="10">
        <v>276000</v>
      </c>
      <c r="M134" s="12" t="s">
        <v>17</v>
      </c>
    </row>
    <row r="135" spans="1:13" ht="16.8" x14ac:dyDescent="0.3">
      <c r="A135" s="7" t="s">
        <v>154</v>
      </c>
      <c r="B135" s="8">
        <v>45051</v>
      </c>
      <c r="C135" s="15" t="s">
        <v>273</v>
      </c>
      <c r="D135" s="10" t="s">
        <v>224</v>
      </c>
      <c r="E135">
        <v>1</v>
      </c>
      <c r="F135">
        <v>39000</v>
      </c>
      <c r="G135">
        <v>59000</v>
      </c>
      <c r="H135">
        <v>9</v>
      </c>
      <c r="I135">
        <v>59000</v>
      </c>
      <c r="J135" s="10" t="s">
        <v>279</v>
      </c>
      <c r="K135" s="10">
        <v>59000</v>
      </c>
      <c r="L135" s="10">
        <v>59000</v>
      </c>
      <c r="M135" s="12" t="s">
        <v>21</v>
      </c>
    </row>
    <row r="136" spans="1:13" ht="16.8" x14ac:dyDescent="0.3">
      <c r="A136" s="7" t="s">
        <v>155</v>
      </c>
      <c r="B136" s="8">
        <v>44310</v>
      </c>
      <c r="C136" s="15" t="s">
        <v>272</v>
      </c>
      <c r="D136" s="10" t="s">
        <v>224</v>
      </c>
      <c r="E136">
        <v>5</v>
      </c>
      <c r="F136">
        <v>35000</v>
      </c>
      <c r="G136">
        <v>29000</v>
      </c>
      <c r="H136">
        <v>5</v>
      </c>
      <c r="I136">
        <v>33250</v>
      </c>
      <c r="J136" s="10" t="s">
        <v>278</v>
      </c>
      <c r="K136" s="10">
        <v>33250</v>
      </c>
      <c r="L136" s="10">
        <v>166250</v>
      </c>
      <c r="M136" s="12" t="s">
        <v>238</v>
      </c>
    </row>
    <row r="137" spans="1:13" ht="16.8" x14ac:dyDescent="0.3">
      <c r="A137" s="7" t="s">
        <v>156</v>
      </c>
      <c r="B137" s="8">
        <v>44358</v>
      </c>
      <c r="C137" s="15" t="s">
        <v>270</v>
      </c>
      <c r="D137" s="10" t="s">
        <v>223</v>
      </c>
      <c r="E137">
        <v>5</v>
      </c>
      <c r="F137">
        <v>65000</v>
      </c>
      <c r="G137">
        <v>39000</v>
      </c>
      <c r="H137">
        <v>7</v>
      </c>
      <c r="I137">
        <v>39000</v>
      </c>
      <c r="J137" s="10" t="s">
        <v>279</v>
      </c>
      <c r="K137" s="10">
        <v>39000</v>
      </c>
      <c r="L137" s="10">
        <v>195000</v>
      </c>
      <c r="M137" s="12" t="s">
        <v>21</v>
      </c>
    </row>
    <row r="138" spans="1:13" ht="16.8" x14ac:dyDescent="0.3">
      <c r="A138" s="7" t="s">
        <v>157</v>
      </c>
      <c r="B138" s="8">
        <v>44348</v>
      </c>
      <c r="C138" s="15" t="s">
        <v>273</v>
      </c>
      <c r="D138" s="10" t="s">
        <v>224</v>
      </c>
      <c r="E138">
        <v>2</v>
      </c>
      <c r="F138">
        <v>65000</v>
      </c>
      <c r="G138">
        <v>69000</v>
      </c>
      <c r="H138">
        <v>6</v>
      </c>
      <c r="I138">
        <v>69000</v>
      </c>
      <c r="J138" s="10" t="s">
        <v>279</v>
      </c>
      <c r="K138" s="10">
        <v>69000</v>
      </c>
      <c r="L138" s="10">
        <v>138000</v>
      </c>
      <c r="M138" s="12" t="s">
        <v>242</v>
      </c>
    </row>
    <row r="139" spans="1:13" ht="16.8" x14ac:dyDescent="0.3">
      <c r="A139" s="7" t="s">
        <v>158</v>
      </c>
      <c r="B139" s="8">
        <v>45126</v>
      </c>
      <c r="C139" s="15" t="s">
        <v>272</v>
      </c>
      <c r="D139" s="10" t="s">
        <v>223</v>
      </c>
      <c r="E139">
        <v>5</v>
      </c>
      <c r="F139">
        <v>59000</v>
      </c>
      <c r="G139">
        <v>65000</v>
      </c>
      <c r="H139">
        <v>6</v>
      </c>
      <c r="I139">
        <v>65000</v>
      </c>
      <c r="J139" s="10" t="s">
        <v>279</v>
      </c>
      <c r="K139" s="10">
        <v>65000</v>
      </c>
      <c r="L139" s="10">
        <v>325000</v>
      </c>
      <c r="M139" s="12" t="s">
        <v>256</v>
      </c>
    </row>
    <row r="140" spans="1:13" ht="16.8" x14ac:dyDescent="0.3">
      <c r="A140" s="7" t="s">
        <v>159</v>
      </c>
      <c r="B140" s="8">
        <v>44940</v>
      </c>
      <c r="C140" s="15" t="s">
        <v>4</v>
      </c>
      <c r="D140" s="10" t="s">
        <v>224</v>
      </c>
      <c r="E140">
        <v>4</v>
      </c>
      <c r="F140">
        <v>35000</v>
      </c>
      <c r="G140">
        <v>29000</v>
      </c>
      <c r="H140">
        <v>10</v>
      </c>
      <c r="I140">
        <v>29000</v>
      </c>
      <c r="J140" s="10" t="s">
        <v>279</v>
      </c>
      <c r="K140" s="10">
        <v>29000</v>
      </c>
      <c r="L140" s="10">
        <v>116000</v>
      </c>
      <c r="M140" s="12" t="s">
        <v>247</v>
      </c>
    </row>
    <row r="141" spans="1:13" ht="16.8" x14ac:dyDescent="0.3">
      <c r="A141" s="7" t="s">
        <v>160</v>
      </c>
      <c r="B141" s="8">
        <v>44759</v>
      </c>
      <c r="C141" s="15" t="s">
        <v>5</v>
      </c>
      <c r="D141" s="10" t="s">
        <v>223</v>
      </c>
      <c r="E141">
        <v>3</v>
      </c>
      <c r="F141">
        <v>29000</v>
      </c>
      <c r="G141">
        <v>65000</v>
      </c>
      <c r="H141">
        <v>14</v>
      </c>
      <c r="I141">
        <v>24940</v>
      </c>
      <c r="J141" s="10" t="s">
        <v>278</v>
      </c>
      <c r="K141" s="10">
        <v>24940</v>
      </c>
      <c r="L141" s="10">
        <v>74820</v>
      </c>
      <c r="M141" s="12" t="s">
        <v>249</v>
      </c>
    </row>
    <row r="142" spans="1:13" ht="16.8" x14ac:dyDescent="0.3">
      <c r="A142" s="7" t="s">
        <v>161</v>
      </c>
      <c r="B142" s="8">
        <v>44973</v>
      </c>
      <c r="C142" s="15" t="s">
        <v>4</v>
      </c>
      <c r="D142" s="10" t="s">
        <v>222</v>
      </c>
      <c r="E142">
        <v>1</v>
      </c>
      <c r="F142">
        <v>59000</v>
      </c>
      <c r="G142">
        <v>49000</v>
      </c>
      <c r="H142">
        <v>14</v>
      </c>
      <c r="I142">
        <v>49000</v>
      </c>
      <c r="J142" s="10" t="s">
        <v>279</v>
      </c>
      <c r="K142" s="10">
        <v>49000</v>
      </c>
      <c r="L142" s="10">
        <v>49000</v>
      </c>
      <c r="M142" s="12" t="s">
        <v>229</v>
      </c>
    </row>
    <row r="143" spans="1:13" ht="16.8" x14ac:dyDescent="0.3">
      <c r="A143" s="7" t="s">
        <v>162</v>
      </c>
      <c r="B143" s="8">
        <v>44317</v>
      </c>
      <c r="C143" s="15" t="s">
        <v>5</v>
      </c>
      <c r="D143" s="10" t="s">
        <v>222</v>
      </c>
      <c r="E143">
        <v>3</v>
      </c>
      <c r="F143">
        <v>59000</v>
      </c>
      <c r="G143">
        <v>65000</v>
      </c>
      <c r="H143">
        <v>6</v>
      </c>
      <c r="I143">
        <v>55460</v>
      </c>
      <c r="J143" s="10" t="s">
        <v>278</v>
      </c>
      <c r="K143" s="10">
        <v>55460</v>
      </c>
      <c r="L143" s="10">
        <v>166380</v>
      </c>
      <c r="M143" s="12" t="s">
        <v>225</v>
      </c>
    </row>
    <row r="144" spans="1:13" ht="16.8" x14ac:dyDescent="0.3">
      <c r="A144" s="7" t="s">
        <v>163</v>
      </c>
      <c r="B144" s="8">
        <v>45051</v>
      </c>
      <c r="C144" s="15" t="s">
        <v>273</v>
      </c>
      <c r="D144" s="10" t="s">
        <v>224</v>
      </c>
      <c r="E144">
        <v>4</v>
      </c>
      <c r="F144">
        <v>49000</v>
      </c>
      <c r="G144">
        <v>39000</v>
      </c>
      <c r="H144">
        <v>8</v>
      </c>
      <c r="I144">
        <v>39000</v>
      </c>
      <c r="J144" s="10" t="s">
        <v>279</v>
      </c>
      <c r="K144" s="10">
        <v>39000</v>
      </c>
      <c r="L144" s="10">
        <v>156000</v>
      </c>
      <c r="M144" s="12" t="s">
        <v>237</v>
      </c>
    </row>
    <row r="145" spans="1:13" ht="16.8" x14ac:dyDescent="0.3">
      <c r="A145" s="7" t="s">
        <v>164</v>
      </c>
      <c r="B145" s="8">
        <v>44346</v>
      </c>
      <c r="C145" s="15" t="s">
        <v>271</v>
      </c>
      <c r="D145" s="10" t="s">
        <v>222</v>
      </c>
      <c r="E145">
        <v>3</v>
      </c>
      <c r="F145">
        <v>49000</v>
      </c>
      <c r="G145">
        <v>65000</v>
      </c>
      <c r="H145">
        <v>10</v>
      </c>
      <c r="I145">
        <v>44100</v>
      </c>
      <c r="J145" s="10" t="s">
        <v>278</v>
      </c>
      <c r="K145" s="10">
        <v>44100</v>
      </c>
      <c r="L145" s="10">
        <v>132300</v>
      </c>
      <c r="M145" s="12" t="s">
        <v>251</v>
      </c>
    </row>
    <row r="146" spans="1:13" ht="16.8" x14ac:dyDescent="0.3">
      <c r="A146" s="7" t="s">
        <v>165</v>
      </c>
      <c r="B146" s="8">
        <v>44957</v>
      </c>
      <c r="C146" s="15" t="s">
        <v>274</v>
      </c>
      <c r="D146" s="10" t="s">
        <v>222</v>
      </c>
      <c r="E146">
        <v>4</v>
      </c>
      <c r="F146">
        <v>49000</v>
      </c>
      <c r="G146">
        <v>59000</v>
      </c>
      <c r="H146">
        <v>11</v>
      </c>
      <c r="I146">
        <v>43610</v>
      </c>
      <c r="J146" s="10" t="s">
        <v>278</v>
      </c>
      <c r="K146" s="10">
        <v>43610</v>
      </c>
      <c r="L146" s="10">
        <v>174440</v>
      </c>
      <c r="M146" s="12" t="s">
        <v>250</v>
      </c>
    </row>
    <row r="147" spans="1:13" ht="16.8" x14ac:dyDescent="0.3">
      <c r="A147" s="7" t="s">
        <v>166</v>
      </c>
      <c r="B147" s="8">
        <v>44260</v>
      </c>
      <c r="C147" s="15" t="s">
        <v>271</v>
      </c>
      <c r="D147" s="10" t="s">
        <v>222</v>
      </c>
      <c r="E147">
        <v>4</v>
      </c>
      <c r="F147">
        <v>29000</v>
      </c>
      <c r="G147">
        <v>49000</v>
      </c>
      <c r="H147">
        <v>10</v>
      </c>
      <c r="I147">
        <v>26100</v>
      </c>
      <c r="J147" s="10" t="s">
        <v>278</v>
      </c>
      <c r="K147" s="10">
        <v>26100</v>
      </c>
      <c r="L147" s="10">
        <v>104400</v>
      </c>
      <c r="M147" s="12" t="s">
        <v>226</v>
      </c>
    </row>
    <row r="148" spans="1:13" ht="16.8" x14ac:dyDescent="0.3">
      <c r="A148" s="7" t="s">
        <v>167</v>
      </c>
      <c r="B148" s="8">
        <v>44621</v>
      </c>
      <c r="C148" s="15" t="s">
        <v>273</v>
      </c>
      <c r="D148" s="10" t="s">
        <v>222</v>
      </c>
      <c r="E148">
        <v>1</v>
      </c>
      <c r="F148">
        <v>69000</v>
      </c>
      <c r="G148">
        <v>69000</v>
      </c>
      <c r="H148">
        <v>12</v>
      </c>
      <c r="I148">
        <v>60720</v>
      </c>
      <c r="J148" s="10" t="s">
        <v>278</v>
      </c>
      <c r="K148" s="10">
        <v>60720</v>
      </c>
      <c r="L148" s="10">
        <v>60720</v>
      </c>
      <c r="M148" s="12" t="s">
        <v>242</v>
      </c>
    </row>
    <row r="149" spans="1:13" ht="16.8" x14ac:dyDescent="0.3">
      <c r="A149" s="7" t="s">
        <v>168</v>
      </c>
      <c r="B149" s="8">
        <v>44850</v>
      </c>
      <c r="C149" s="15" t="s">
        <v>3</v>
      </c>
      <c r="D149" s="10" t="s">
        <v>224</v>
      </c>
      <c r="E149">
        <v>4</v>
      </c>
      <c r="F149">
        <v>49000</v>
      </c>
      <c r="G149">
        <v>55000</v>
      </c>
      <c r="H149">
        <v>15</v>
      </c>
      <c r="I149">
        <v>55000</v>
      </c>
      <c r="J149" s="10" t="s">
        <v>279</v>
      </c>
      <c r="K149" s="10">
        <v>55000</v>
      </c>
      <c r="L149" s="10">
        <v>220000</v>
      </c>
      <c r="M149" s="12" t="s">
        <v>261</v>
      </c>
    </row>
    <row r="150" spans="1:13" ht="16.8" x14ac:dyDescent="0.3">
      <c r="A150" s="7" t="s">
        <v>169</v>
      </c>
      <c r="B150" s="8">
        <v>44692</v>
      </c>
      <c r="C150" s="15" t="s">
        <v>273</v>
      </c>
      <c r="D150" s="10" t="s">
        <v>223</v>
      </c>
      <c r="E150">
        <v>3</v>
      </c>
      <c r="F150">
        <v>35000</v>
      </c>
      <c r="G150">
        <v>65000</v>
      </c>
      <c r="H150">
        <v>5</v>
      </c>
      <c r="I150">
        <v>33250</v>
      </c>
      <c r="J150" s="10" t="s">
        <v>278</v>
      </c>
      <c r="K150" s="10">
        <v>33250</v>
      </c>
      <c r="L150" s="10">
        <v>99750</v>
      </c>
      <c r="M150" s="12" t="s">
        <v>14</v>
      </c>
    </row>
    <row r="151" spans="1:13" ht="16.8" x14ac:dyDescent="0.3">
      <c r="A151" s="7" t="s">
        <v>170</v>
      </c>
      <c r="B151" s="8">
        <v>44300</v>
      </c>
      <c r="C151" s="15" t="s">
        <v>270</v>
      </c>
      <c r="D151" s="10" t="s">
        <v>223</v>
      </c>
      <c r="E151">
        <v>4</v>
      </c>
      <c r="F151">
        <v>59000</v>
      </c>
      <c r="G151">
        <v>65000</v>
      </c>
      <c r="H151">
        <v>11</v>
      </c>
      <c r="I151">
        <v>65000</v>
      </c>
      <c r="J151" s="10" t="s">
        <v>279</v>
      </c>
      <c r="K151" s="10">
        <v>65000</v>
      </c>
      <c r="L151" s="10">
        <v>260000</v>
      </c>
      <c r="M151" s="12" t="s">
        <v>258</v>
      </c>
    </row>
    <row r="152" spans="1:13" ht="16.8" x14ac:dyDescent="0.3">
      <c r="A152" s="7" t="s">
        <v>171</v>
      </c>
      <c r="B152" s="8">
        <v>45203</v>
      </c>
      <c r="C152" s="15" t="s">
        <v>4</v>
      </c>
      <c r="D152" s="10" t="s">
        <v>224</v>
      </c>
      <c r="E152">
        <v>1</v>
      </c>
      <c r="F152">
        <v>59000</v>
      </c>
      <c r="G152">
        <v>35000</v>
      </c>
      <c r="H152">
        <v>14</v>
      </c>
      <c r="I152">
        <v>50740</v>
      </c>
      <c r="J152" s="10" t="s">
        <v>278</v>
      </c>
      <c r="K152" s="10">
        <v>50740</v>
      </c>
      <c r="L152" s="10">
        <v>50740</v>
      </c>
      <c r="M152" s="12" t="s">
        <v>262</v>
      </c>
    </row>
    <row r="153" spans="1:13" ht="16.8" x14ac:dyDescent="0.3">
      <c r="A153" s="7" t="s">
        <v>172</v>
      </c>
      <c r="B153" s="8">
        <v>44645</v>
      </c>
      <c r="C153" s="15" t="s">
        <v>4</v>
      </c>
      <c r="D153" s="10" t="s">
        <v>222</v>
      </c>
      <c r="E153">
        <v>1</v>
      </c>
      <c r="F153">
        <v>65000</v>
      </c>
      <c r="G153">
        <v>59000</v>
      </c>
      <c r="H153">
        <v>10</v>
      </c>
      <c r="I153">
        <v>59000</v>
      </c>
      <c r="J153" s="10" t="s">
        <v>279</v>
      </c>
      <c r="K153" s="10">
        <v>59000</v>
      </c>
      <c r="L153" s="10">
        <v>59000</v>
      </c>
      <c r="M153" s="12" t="s">
        <v>243</v>
      </c>
    </row>
    <row r="154" spans="1:13" ht="16.8" x14ac:dyDescent="0.3">
      <c r="A154" s="7" t="s">
        <v>173</v>
      </c>
      <c r="B154" s="8">
        <v>44343</v>
      </c>
      <c r="C154" s="15" t="s">
        <v>271</v>
      </c>
      <c r="D154" s="10" t="s">
        <v>222</v>
      </c>
      <c r="E154">
        <v>2</v>
      </c>
      <c r="F154">
        <v>59000</v>
      </c>
      <c r="G154">
        <v>69000</v>
      </c>
      <c r="H154">
        <v>11</v>
      </c>
      <c r="I154">
        <v>69000</v>
      </c>
      <c r="J154" s="10" t="s">
        <v>279</v>
      </c>
      <c r="K154" s="10">
        <v>69000</v>
      </c>
      <c r="L154" s="10">
        <v>138000</v>
      </c>
      <c r="M154" s="12" t="s">
        <v>232</v>
      </c>
    </row>
    <row r="155" spans="1:13" ht="16.8" x14ac:dyDescent="0.3">
      <c r="A155" s="7" t="s">
        <v>174</v>
      </c>
      <c r="B155" s="8">
        <v>44979</v>
      </c>
      <c r="C155" s="15" t="s">
        <v>5</v>
      </c>
      <c r="D155" s="10" t="s">
        <v>222</v>
      </c>
      <c r="E155">
        <v>4</v>
      </c>
      <c r="F155">
        <v>39000</v>
      </c>
      <c r="G155">
        <v>49000</v>
      </c>
      <c r="H155">
        <v>5</v>
      </c>
      <c r="I155">
        <v>37050</v>
      </c>
      <c r="J155" s="10" t="s">
        <v>278</v>
      </c>
      <c r="K155" s="10">
        <v>37050</v>
      </c>
      <c r="L155" s="10">
        <v>148200</v>
      </c>
      <c r="M155" s="12" t="s">
        <v>241</v>
      </c>
    </row>
    <row r="156" spans="1:13" ht="16.8" x14ac:dyDescent="0.3">
      <c r="A156" s="7" t="s">
        <v>175</v>
      </c>
      <c r="B156" s="8">
        <v>44216</v>
      </c>
      <c r="C156" s="15" t="s">
        <v>6</v>
      </c>
      <c r="D156" s="10" t="s">
        <v>224</v>
      </c>
      <c r="E156">
        <v>1</v>
      </c>
      <c r="F156">
        <v>59000</v>
      </c>
      <c r="G156">
        <v>55000</v>
      </c>
      <c r="H156">
        <v>14</v>
      </c>
      <c r="I156">
        <v>50740</v>
      </c>
      <c r="J156" s="10" t="s">
        <v>278</v>
      </c>
      <c r="K156" s="10">
        <v>50740</v>
      </c>
      <c r="L156" s="10">
        <v>50740</v>
      </c>
      <c r="M156" s="12" t="s">
        <v>229</v>
      </c>
    </row>
    <row r="157" spans="1:13" ht="16.8" x14ac:dyDescent="0.3">
      <c r="A157" s="7" t="s">
        <v>176</v>
      </c>
      <c r="B157" s="8">
        <v>44802</v>
      </c>
      <c r="C157" s="15" t="s">
        <v>272</v>
      </c>
      <c r="D157" s="10" t="s">
        <v>224</v>
      </c>
      <c r="E157">
        <v>1</v>
      </c>
      <c r="F157">
        <v>69000</v>
      </c>
      <c r="G157">
        <v>59000</v>
      </c>
      <c r="H157">
        <v>9</v>
      </c>
      <c r="I157">
        <v>59000</v>
      </c>
      <c r="J157" s="10" t="s">
        <v>279</v>
      </c>
      <c r="K157" s="10">
        <v>59000</v>
      </c>
      <c r="L157" s="10">
        <v>59000</v>
      </c>
      <c r="M157" s="12" t="s">
        <v>253</v>
      </c>
    </row>
    <row r="158" spans="1:13" ht="16.8" x14ac:dyDescent="0.3">
      <c r="A158" s="7" t="s">
        <v>177</v>
      </c>
      <c r="B158" s="8">
        <v>44872</v>
      </c>
      <c r="C158" s="15" t="s">
        <v>270</v>
      </c>
      <c r="D158" s="10" t="s">
        <v>223</v>
      </c>
      <c r="E158">
        <v>4</v>
      </c>
      <c r="F158">
        <v>75000</v>
      </c>
      <c r="G158">
        <v>49000</v>
      </c>
      <c r="H158">
        <v>12</v>
      </c>
      <c r="I158">
        <v>49000</v>
      </c>
      <c r="J158" s="10" t="s">
        <v>279</v>
      </c>
      <c r="K158" s="10">
        <v>49000</v>
      </c>
      <c r="L158" s="10">
        <v>196000</v>
      </c>
      <c r="M158" s="12" t="s">
        <v>15</v>
      </c>
    </row>
    <row r="159" spans="1:13" ht="16.8" x14ac:dyDescent="0.3">
      <c r="A159" s="7" t="s">
        <v>178</v>
      </c>
      <c r="B159" s="8">
        <v>44618</v>
      </c>
      <c r="C159" s="15" t="s">
        <v>3</v>
      </c>
      <c r="D159" s="10" t="s">
        <v>222</v>
      </c>
      <c r="E159">
        <v>5</v>
      </c>
      <c r="F159">
        <v>39000</v>
      </c>
      <c r="G159">
        <v>59000</v>
      </c>
      <c r="H159">
        <v>8</v>
      </c>
      <c r="I159">
        <v>59000</v>
      </c>
      <c r="J159" s="10" t="s">
        <v>279</v>
      </c>
      <c r="K159" s="10">
        <v>59000</v>
      </c>
      <c r="L159" s="10">
        <v>295000</v>
      </c>
      <c r="M159" s="12" t="s">
        <v>254</v>
      </c>
    </row>
    <row r="160" spans="1:13" ht="16.8" x14ac:dyDescent="0.3">
      <c r="A160" s="7" t="s">
        <v>179</v>
      </c>
      <c r="B160" s="8">
        <v>45090</v>
      </c>
      <c r="C160" s="15" t="s">
        <v>272</v>
      </c>
      <c r="D160" s="10" t="s">
        <v>224</v>
      </c>
      <c r="E160">
        <v>4</v>
      </c>
      <c r="F160">
        <v>49000</v>
      </c>
      <c r="G160">
        <v>69000</v>
      </c>
      <c r="H160">
        <v>10</v>
      </c>
      <c r="I160">
        <v>44100</v>
      </c>
      <c r="J160" s="10" t="s">
        <v>278</v>
      </c>
      <c r="K160" s="10">
        <v>44100</v>
      </c>
      <c r="L160" s="10">
        <v>176400</v>
      </c>
      <c r="M160" s="12" t="s">
        <v>245</v>
      </c>
    </row>
    <row r="161" spans="1:13" ht="16.8" x14ac:dyDescent="0.3">
      <c r="A161" s="7" t="s">
        <v>180</v>
      </c>
      <c r="B161" s="8">
        <v>44355</v>
      </c>
      <c r="C161" s="15" t="s">
        <v>5</v>
      </c>
      <c r="D161" s="10" t="s">
        <v>222</v>
      </c>
      <c r="E161">
        <v>2</v>
      </c>
      <c r="F161">
        <v>59000</v>
      </c>
      <c r="G161">
        <v>69000</v>
      </c>
      <c r="H161">
        <v>7</v>
      </c>
      <c r="I161">
        <v>54869.999999999993</v>
      </c>
      <c r="J161" s="10" t="s">
        <v>278</v>
      </c>
      <c r="K161" s="10">
        <v>54869.999999999993</v>
      </c>
      <c r="L161" s="10">
        <v>109739.99999999999</v>
      </c>
      <c r="M161" s="12" t="s">
        <v>246</v>
      </c>
    </row>
    <row r="162" spans="1:13" ht="16.8" x14ac:dyDescent="0.3">
      <c r="A162" s="7" t="s">
        <v>181</v>
      </c>
      <c r="B162" s="8">
        <v>44986</v>
      </c>
      <c r="C162" s="15" t="s">
        <v>5</v>
      </c>
      <c r="D162" s="10" t="s">
        <v>224</v>
      </c>
      <c r="E162">
        <v>4</v>
      </c>
      <c r="F162">
        <v>65000</v>
      </c>
      <c r="G162">
        <v>59000</v>
      </c>
      <c r="H162">
        <v>10</v>
      </c>
      <c r="I162">
        <v>58500</v>
      </c>
      <c r="J162" s="10" t="s">
        <v>278</v>
      </c>
      <c r="K162" s="10">
        <v>58500</v>
      </c>
      <c r="L162" s="10">
        <v>234000</v>
      </c>
      <c r="M162" s="12" t="s">
        <v>238</v>
      </c>
    </row>
    <row r="163" spans="1:13" ht="16.8" x14ac:dyDescent="0.3">
      <c r="A163" s="7" t="s">
        <v>182</v>
      </c>
      <c r="B163" s="8">
        <v>44853</v>
      </c>
      <c r="C163" s="15" t="s">
        <v>3</v>
      </c>
      <c r="D163" s="10" t="s">
        <v>222</v>
      </c>
      <c r="E163">
        <v>1</v>
      </c>
      <c r="F163">
        <v>55000</v>
      </c>
      <c r="G163">
        <v>49000</v>
      </c>
      <c r="H163">
        <v>5</v>
      </c>
      <c r="I163">
        <v>52250</v>
      </c>
      <c r="J163" s="10" t="s">
        <v>278</v>
      </c>
      <c r="K163" s="10">
        <v>52250</v>
      </c>
      <c r="L163" s="10">
        <v>52250</v>
      </c>
      <c r="M163" s="12" t="s">
        <v>249</v>
      </c>
    </row>
    <row r="164" spans="1:13" ht="16.8" x14ac:dyDescent="0.3">
      <c r="A164" s="7" t="s">
        <v>183</v>
      </c>
      <c r="B164" s="8">
        <v>44894</v>
      </c>
      <c r="C164" s="15" t="s">
        <v>273</v>
      </c>
      <c r="D164" s="10" t="s">
        <v>222</v>
      </c>
      <c r="E164">
        <v>4</v>
      </c>
      <c r="F164">
        <v>35000</v>
      </c>
      <c r="G164">
        <v>49000</v>
      </c>
      <c r="H164">
        <v>13</v>
      </c>
      <c r="I164">
        <v>49000</v>
      </c>
      <c r="J164" s="10" t="s">
        <v>279</v>
      </c>
      <c r="K164" s="10">
        <v>49000</v>
      </c>
      <c r="L164" s="10">
        <v>196000</v>
      </c>
      <c r="M164" s="12" t="s">
        <v>244</v>
      </c>
    </row>
    <row r="165" spans="1:13" ht="16.8" x14ac:dyDescent="0.3">
      <c r="A165" s="7" t="s">
        <v>184</v>
      </c>
      <c r="B165" s="8">
        <v>45196</v>
      </c>
      <c r="C165" s="15" t="s">
        <v>274</v>
      </c>
      <c r="D165" s="10" t="s">
        <v>223</v>
      </c>
      <c r="E165">
        <v>3</v>
      </c>
      <c r="F165">
        <v>69000</v>
      </c>
      <c r="G165">
        <v>69000</v>
      </c>
      <c r="H165">
        <v>13</v>
      </c>
      <c r="I165">
        <v>60030</v>
      </c>
      <c r="J165" s="10" t="s">
        <v>278</v>
      </c>
      <c r="K165" s="10">
        <v>60030</v>
      </c>
      <c r="L165" s="10">
        <v>180090</v>
      </c>
      <c r="M165" s="12" t="s">
        <v>236</v>
      </c>
    </row>
    <row r="166" spans="1:13" ht="16.8" x14ac:dyDescent="0.3">
      <c r="A166" s="7" t="s">
        <v>185</v>
      </c>
      <c r="B166" s="8">
        <v>44376</v>
      </c>
      <c r="C166" s="15" t="s">
        <v>273</v>
      </c>
      <c r="D166" s="10" t="s">
        <v>222</v>
      </c>
      <c r="E166">
        <v>5</v>
      </c>
      <c r="F166">
        <v>59000</v>
      </c>
      <c r="G166">
        <v>49000</v>
      </c>
      <c r="H166">
        <v>13</v>
      </c>
      <c r="I166">
        <v>51330</v>
      </c>
      <c r="J166" s="10" t="s">
        <v>278</v>
      </c>
      <c r="K166" s="10">
        <v>51330</v>
      </c>
      <c r="L166" s="10">
        <v>256650</v>
      </c>
      <c r="M166" s="12" t="s">
        <v>250</v>
      </c>
    </row>
    <row r="167" spans="1:13" ht="16.8" x14ac:dyDescent="0.3">
      <c r="A167" s="7" t="s">
        <v>186</v>
      </c>
      <c r="B167" s="8">
        <v>44662</v>
      </c>
      <c r="C167" s="15" t="s">
        <v>271</v>
      </c>
      <c r="D167" s="10" t="s">
        <v>223</v>
      </c>
      <c r="E167">
        <v>4</v>
      </c>
      <c r="F167">
        <v>65000</v>
      </c>
      <c r="G167">
        <v>69000</v>
      </c>
      <c r="H167">
        <v>12</v>
      </c>
      <c r="I167">
        <v>69000</v>
      </c>
      <c r="J167" s="10" t="s">
        <v>279</v>
      </c>
      <c r="K167" s="10">
        <v>69000</v>
      </c>
      <c r="L167" s="10">
        <v>276000</v>
      </c>
      <c r="M167" s="12" t="s">
        <v>248</v>
      </c>
    </row>
    <row r="168" spans="1:13" ht="16.8" x14ac:dyDescent="0.3">
      <c r="A168" s="7" t="s">
        <v>187</v>
      </c>
      <c r="B168" s="8">
        <v>44480</v>
      </c>
      <c r="C168" s="15" t="s">
        <v>4</v>
      </c>
      <c r="D168" s="10" t="s">
        <v>224</v>
      </c>
      <c r="E168">
        <v>5</v>
      </c>
      <c r="F168">
        <v>65000</v>
      </c>
      <c r="G168">
        <v>59000</v>
      </c>
      <c r="H168">
        <v>10</v>
      </c>
      <c r="I168">
        <v>59000</v>
      </c>
      <c r="J168" s="10" t="s">
        <v>279</v>
      </c>
      <c r="K168" s="10">
        <v>59000</v>
      </c>
      <c r="L168" s="10">
        <v>295000</v>
      </c>
      <c r="M168" s="12" t="s">
        <v>18</v>
      </c>
    </row>
    <row r="169" spans="1:13" ht="16.8" x14ac:dyDescent="0.3">
      <c r="A169" s="7" t="s">
        <v>188</v>
      </c>
      <c r="B169" s="8">
        <v>44393</v>
      </c>
      <c r="C169" s="15" t="s">
        <v>4</v>
      </c>
      <c r="D169" s="10" t="s">
        <v>224</v>
      </c>
      <c r="E169">
        <v>4</v>
      </c>
      <c r="F169">
        <v>59000</v>
      </c>
      <c r="G169">
        <v>65000</v>
      </c>
      <c r="H169">
        <v>6</v>
      </c>
      <c r="I169">
        <v>65000</v>
      </c>
      <c r="J169" s="10" t="s">
        <v>279</v>
      </c>
      <c r="K169" s="10">
        <v>65000</v>
      </c>
      <c r="L169" s="10">
        <v>260000</v>
      </c>
      <c r="M169" s="12" t="s">
        <v>259</v>
      </c>
    </row>
    <row r="170" spans="1:13" ht="16.8" x14ac:dyDescent="0.3">
      <c r="A170" s="7" t="s">
        <v>189</v>
      </c>
      <c r="B170" s="8">
        <v>44509</v>
      </c>
      <c r="C170" s="15" t="s">
        <v>5</v>
      </c>
      <c r="D170" s="10" t="s">
        <v>222</v>
      </c>
      <c r="E170">
        <v>5</v>
      </c>
      <c r="F170">
        <v>65000</v>
      </c>
      <c r="G170">
        <v>49000</v>
      </c>
      <c r="H170">
        <v>15</v>
      </c>
      <c r="I170">
        <v>55250</v>
      </c>
      <c r="J170" s="10" t="s">
        <v>278</v>
      </c>
      <c r="K170" s="10">
        <v>55250</v>
      </c>
      <c r="L170" s="10">
        <v>276250</v>
      </c>
      <c r="M170" s="12" t="s">
        <v>225</v>
      </c>
    </row>
    <row r="171" spans="1:13" ht="16.8" x14ac:dyDescent="0.3">
      <c r="A171" s="7" t="s">
        <v>190</v>
      </c>
      <c r="B171" s="8">
        <v>44822</v>
      </c>
      <c r="C171" s="15" t="s">
        <v>272</v>
      </c>
      <c r="D171" s="10" t="s">
        <v>223</v>
      </c>
      <c r="E171">
        <v>4</v>
      </c>
      <c r="F171">
        <v>65000</v>
      </c>
      <c r="G171">
        <v>49000</v>
      </c>
      <c r="H171">
        <v>6</v>
      </c>
      <c r="I171">
        <v>61100</v>
      </c>
      <c r="J171" s="10" t="s">
        <v>278</v>
      </c>
      <c r="K171" s="10">
        <v>61100</v>
      </c>
      <c r="L171" s="10">
        <v>244400</v>
      </c>
      <c r="M171" s="12" t="s">
        <v>253</v>
      </c>
    </row>
    <row r="172" spans="1:13" ht="16.8" x14ac:dyDescent="0.3">
      <c r="A172" s="7" t="s">
        <v>191</v>
      </c>
      <c r="B172" s="8">
        <v>44716</v>
      </c>
      <c r="C172" s="15" t="s">
        <v>271</v>
      </c>
      <c r="D172" s="10" t="s">
        <v>223</v>
      </c>
      <c r="E172">
        <v>3</v>
      </c>
      <c r="F172">
        <v>49000</v>
      </c>
      <c r="G172">
        <v>45000</v>
      </c>
      <c r="H172">
        <v>9</v>
      </c>
      <c r="I172">
        <v>44590</v>
      </c>
      <c r="J172" s="10" t="s">
        <v>278</v>
      </c>
      <c r="K172" s="10">
        <v>44590</v>
      </c>
      <c r="L172" s="10">
        <v>133770</v>
      </c>
      <c r="M172" s="12" t="s">
        <v>240</v>
      </c>
    </row>
    <row r="173" spans="1:13" ht="16.8" x14ac:dyDescent="0.3">
      <c r="A173" s="7" t="s">
        <v>192</v>
      </c>
      <c r="B173" s="8">
        <v>45208</v>
      </c>
      <c r="C173" s="15" t="s">
        <v>273</v>
      </c>
      <c r="D173" s="10" t="s">
        <v>223</v>
      </c>
      <c r="E173">
        <v>3</v>
      </c>
      <c r="F173">
        <v>75000</v>
      </c>
      <c r="G173">
        <v>65000</v>
      </c>
      <c r="H173">
        <v>10</v>
      </c>
      <c r="I173">
        <v>67500</v>
      </c>
      <c r="J173" s="10" t="s">
        <v>278</v>
      </c>
      <c r="K173" s="10">
        <v>67500</v>
      </c>
      <c r="L173" s="10">
        <v>202500</v>
      </c>
      <c r="M173" s="12" t="s">
        <v>261</v>
      </c>
    </row>
    <row r="174" spans="1:13" ht="16.8" x14ac:dyDescent="0.3">
      <c r="A174" s="7" t="s">
        <v>193</v>
      </c>
      <c r="B174" s="8">
        <v>44591</v>
      </c>
      <c r="C174" s="15" t="s">
        <v>273</v>
      </c>
      <c r="D174" s="10" t="s">
        <v>222</v>
      </c>
      <c r="E174">
        <v>4</v>
      </c>
      <c r="F174">
        <v>69000</v>
      </c>
      <c r="G174">
        <v>69000</v>
      </c>
      <c r="H174">
        <v>9</v>
      </c>
      <c r="I174">
        <v>62790</v>
      </c>
      <c r="J174" s="10" t="s">
        <v>278</v>
      </c>
      <c r="K174" s="10">
        <v>62790</v>
      </c>
      <c r="L174" s="10">
        <v>251160</v>
      </c>
      <c r="M174" s="12" t="s">
        <v>244</v>
      </c>
    </row>
    <row r="175" spans="1:13" ht="16.8" x14ac:dyDescent="0.3">
      <c r="A175" s="7" t="s">
        <v>194</v>
      </c>
      <c r="B175" s="8">
        <v>44877</v>
      </c>
      <c r="C175" s="15" t="s">
        <v>4</v>
      </c>
      <c r="D175" s="10" t="s">
        <v>224</v>
      </c>
      <c r="E175">
        <v>1</v>
      </c>
      <c r="F175">
        <v>59000</v>
      </c>
      <c r="G175">
        <v>49000</v>
      </c>
      <c r="H175">
        <v>10</v>
      </c>
      <c r="I175">
        <v>49000</v>
      </c>
      <c r="J175" s="10" t="s">
        <v>279</v>
      </c>
      <c r="K175" s="10">
        <v>49000</v>
      </c>
      <c r="L175" s="10">
        <v>49000</v>
      </c>
      <c r="M175" s="12" t="s">
        <v>228</v>
      </c>
    </row>
    <row r="176" spans="1:13" ht="16.8" x14ac:dyDescent="0.3">
      <c r="A176" s="7" t="s">
        <v>195</v>
      </c>
      <c r="B176" s="8">
        <v>44350</v>
      </c>
      <c r="C176" s="15" t="s">
        <v>272</v>
      </c>
      <c r="D176" s="10" t="s">
        <v>224</v>
      </c>
      <c r="E176">
        <v>2</v>
      </c>
      <c r="F176">
        <v>69000</v>
      </c>
      <c r="G176">
        <v>59000</v>
      </c>
      <c r="H176">
        <v>6</v>
      </c>
      <c r="I176">
        <v>64859.999999999993</v>
      </c>
      <c r="J176" s="10" t="s">
        <v>278</v>
      </c>
      <c r="K176" s="10">
        <v>64859.999999999993</v>
      </c>
      <c r="L176" s="10">
        <v>129719.99999999999</v>
      </c>
      <c r="M176" s="12" t="s">
        <v>228</v>
      </c>
    </row>
    <row r="177" spans="1:13" ht="16.8" x14ac:dyDescent="0.3">
      <c r="A177" s="7" t="s">
        <v>196</v>
      </c>
      <c r="B177" s="8">
        <v>45281</v>
      </c>
      <c r="C177" s="15" t="s">
        <v>4</v>
      </c>
      <c r="D177" s="10" t="s">
        <v>223</v>
      </c>
      <c r="E177">
        <v>4</v>
      </c>
      <c r="F177">
        <v>65000</v>
      </c>
      <c r="G177">
        <v>59000</v>
      </c>
      <c r="H177">
        <v>9</v>
      </c>
      <c r="I177">
        <v>59000</v>
      </c>
      <c r="J177" s="10" t="s">
        <v>279</v>
      </c>
      <c r="K177" s="10">
        <v>59000</v>
      </c>
      <c r="L177" s="10">
        <v>236000</v>
      </c>
      <c r="M177" s="12" t="s">
        <v>237</v>
      </c>
    </row>
    <row r="178" spans="1:13" ht="16.8" x14ac:dyDescent="0.3">
      <c r="A178" s="7" t="s">
        <v>197</v>
      </c>
      <c r="B178" s="8">
        <v>44690</v>
      </c>
      <c r="C178" s="15" t="s">
        <v>4</v>
      </c>
      <c r="D178" s="10" t="s">
        <v>224</v>
      </c>
      <c r="E178">
        <v>1</v>
      </c>
      <c r="F178">
        <v>65000</v>
      </c>
      <c r="G178">
        <v>29000</v>
      </c>
      <c r="H178">
        <v>14</v>
      </c>
      <c r="I178">
        <v>55900</v>
      </c>
      <c r="J178" s="10" t="s">
        <v>278</v>
      </c>
      <c r="K178" s="10">
        <v>55900</v>
      </c>
      <c r="L178" s="10">
        <v>55900</v>
      </c>
      <c r="M178" s="12" t="s">
        <v>239</v>
      </c>
    </row>
    <row r="179" spans="1:13" ht="16.8" x14ac:dyDescent="0.3">
      <c r="A179" s="7" t="s">
        <v>198</v>
      </c>
      <c r="B179" s="8">
        <v>45226</v>
      </c>
      <c r="C179" s="15" t="s">
        <v>275</v>
      </c>
      <c r="D179" s="10" t="s">
        <v>224</v>
      </c>
      <c r="E179">
        <v>1</v>
      </c>
      <c r="F179">
        <v>49000</v>
      </c>
      <c r="G179">
        <v>49000</v>
      </c>
      <c r="H179">
        <v>12</v>
      </c>
      <c r="I179">
        <v>49000</v>
      </c>
      <c r="J179" s="10" t="s">
        <v>279</v>
      </c>
      <c r="K179" s="10">
        <v>49000</v>
      </c>
      <c r="L179" s="10">
        <v>49000</v>
      </c>
      <c r="M179" s="12" t="s">
        <v>248</v>
      </c>
    </row>
    <row r="180" spans="1:13" ht="16.8" x14ac:dyDescent="0.3">
      <c r="A180" s="7" t="s">
        <v>199</v>
      </c>
      <c r="B180" s="8">
        <v>45252</v>
      </c>
      <c r="C180" s="15" t="s">
        <v>6</v>
      </c>
      <c r="D180" s="10" t="s">
        <v>223</v>
      </c>
      <c r="E180">
        <v>3</v>
      </c>
      <c r="F180">
        <v>39000</v>
      </c>
      <c r="G180">
        <v>69000</v>
      </c>
      <c r="H180">
        <v>6</v>
      </c>
      <c r="I180">
        <v>36660</v>
      </c>
      <c r="J180" s="10" t="s">
        <v>278</v>
      </c>
      <c r="K180" s="10">
        <v>36660</v>
      </c>
      <c r="L180" s="10">
        <v>109980</v>
      </c>
      <c r="M180" s="12" t="s">
        <v>248</v>
      </c>
    </row>
    <row r="181" spans="1:13" ht="16.8" x14ac:dyDescent="0.3">
      <c r="A181" s="7" t="s">
        <v>200</v>
      </c>
      <c r="B181" s="8">
        <v>45125</v>
      </c>
      <c r="C181" s="15" t="s">
        <v>4</v>
      </c>
      <c r="D181" s="10" t="s">
        <v>222</v>
      </c>
      <c r="E181">
        <v>5</v>
      </c>
      <c r="F181">
        <v>65000</v>
      </c>
      <c r="G181">
        <v>39000</v>
      </c>
      <c r="H181">
        <v>10</v>
      </c>
      <c r="I181">
        <v>58500</v>
      </c>
      <c r="J181" s="10" t="s">
        <v>278</v>
      </c>
      <c r="K181" s="10">
        <v>58500</v>
      </c>
      <c r="L181" s="10">
        <v>292500</v>
      </c>
      <c r="M181" s="12" t="s">
        <v>245</v>
      </c>
    </row>
    <row r="182" spans="1:13" ht="16.8" x14ac:dyDescent="0.3">
      <c r="A182" s="7" t="s">
        <v>201</v>
      </c>
      <c r="B182" s="8">
        <v>44307</v>
      </c>
      <c r="C182" s="15" t="s">
        <v>274</v>
      </c>
      <c r="D182" s="10" t="s">
        <v>222</v>
      </c>
      <c r="E182">
        <v>1</v>
      </c>
      <c r="F182">
        <v>69000</v>
      </c>
      <c r="G182">
        <v>55000</v>
      </c>
      <c r="H182">
        <v>10</v>
      </c>
      <c r="I182">
        <v>55000</v>
      </c>
      <c r="J182" s="10" t="s">
        <v>279</v>
      </c>
      <c r="K182" s="10">
        <v>55000</v>
      </c>
      <c r="L182" s="10">
        <v>55000</v>
      </c>
      <c r="M182" s="12" t="s">
        <v>254</v>
      </c>
    </row>
    <row r="183" spans="1:13" ht="16.8" x14ac:dyDescent="0.3">
      <c r="A183" s="7" t="s">
        <v>202</v>
      </c>
      <c r="B183" s="8">
        <v>45221</v>
      </c>
      <c r="C183" s="15" t="s">
        <v>275</v>
      </c>
      <c r="D183" s="10" t="s">
        <v>223</v>
      </c>
      <c r="E183">
        <v>1</v>
      </c>
      <c r="F183">
        <v>65000</v>
      </c>
      <c r="G183">
        <v>45000</v>
      </c>
      <c r="H183">
        <v>10</v>
      </c>
      <c r="I183">
        <v>45000</v>
      </c>
      <c r="J183" s="10" t="s">
        <v>279</v>
      </c>
      <c r="K183" s="10">
        <v>45000</v>
      </c>
      <c r="L183" s="10">
        <v>45000</v>
      </c>
      <c r="M183" s="12" t="s">
        <v>242</v>
      </c>
    </row>
    <row r="184" spans="1:13" ht="16.8" x14ac:dyDescent="0.3">
      <c r="A184" s="7" t="s">
        <v>203</v>
      </c>
      <c r="B184" s="8">
        <v>44642</v>
      </c>
      <c r="C184" s="15" t="s">
        <v>4</v>
      </c>
      <c r="D184" s="10" t="s">
        <v>224</v>
      </c>
      <c r="E184">
        <v>5</v>
      </c>
      <c r="F184">
        <v>49000</v>
      </c>
      <c r="G184">
        <v>65000</v>
      </c>
      <c r="H184">
        <v>12</v>
      </c>
      <c r="I184">
        <v>65000</v>
      </c>
      <c r="J184" s="10" t="s">
        <v>279</v>
      </c>
      <c r="K184" s="10">
        <v>65000</v>
      </c>
      <c r="L184" s="10">
        <v>325000</v>
      </c>
      <c r="M184" s="12" t="s">
        <v>13</v>
      </c>
    </row>
    <row r="185" spans="1:13" ht="16.8" x14ac:dyDescent="0.3">
      <c r="A185" s="7" t="s">
        <v>204</v>
      </c>
      <c r="B185" s="8">
        <v>45231</v>
      </c>
      <c r="C185" s="15" t="s">
        <v>273</v>
      </c>
      <c r="D185" s="10" t="s">
        <v>223</v>
      </c>
      <c r="E185">
        <v>2</v>
      </c>
      <c r="F185">
        <v>39000</v>
      </c>
      <c r="G185">
        <v>29000</v>
      </c>
      <c r="H185">
        <v>5</v>
      </c>
      <c r="I185">
        <v>37050</v>
      </c>
      <c r="J185" s="10" t="s">
        <v>278</v>
      </c>
      <c r="K185" s="10">
        <v>37050</v>
      </c>
      <c r="L185" s="10">
        <v>74100</v>
      </c>
      <c r="M185" s="12" t="s">
        <v>16</v>
      </c>
    </row>
    <row r="186" spans="1:13" ht="16.8" x14ac:dyDescent="0.3">
      <c r="A186" s="7" t="s">
        <v>205</v>
      </c>
      <c r="B186" s="8">
        <v>44947</v>
      </c>
      <c r="C186" s="15" t="s">
        <v>5</v>
      </c>
      <c r="D186" s="10" t="s">
        <v>224</v>
      </c>
      <c r="E186">
        <v>1</v>
      </c>
      <c r="F186">
        <v>39000</v>
      </c>
      <c r="G186">
        <v>65000</v>
      </c>
      <c r="H186">
        <v>8</v>
      </c>
      <c r="I186">
        <v>35880</v>
      </c>
      <c r="J186" s="10" t="s">
        <v>278</v>
      </c>
      <c r="K186" s="10">
        <v>35880</v>
      </c>
      <c r="L186" s="10">
        <v>35880</v>
      </c>
      <c r="M186" s="12" t="s">
        <v>17</v>
      </c>
    </row>
    <row r="187" spans="1:13" ht="16.8" x14ac:dyDescent="0.3">
      <c r="A187" s="7" t="s">
        <v>206</v>
      </c>
      <c r="B187" s="8">
        <v>44257</v>
      </c>
      <c r="C187" s="15" t="s">
        <v>270</v>
      </c>
      <c r="D187" s="10" t="s">
        <v>224</v>
      </c>
      <c r="E187">
        <v>2</v>
      </c>
      <c r="F187">
        <v>65000</v>
      </c>
      <c r="G187">
        <v>59000</v>
      </c>
      <c r="H187">
        <v>15</v>
      </c>
      <c r="I187">
        <v>59000</v>
      </c>
      <c r="J187" s="10" t="s">
        <v>279</v>
      </c>
      <c r="K187" s="10">
        <v>59000</v>
      </c>
      <c r="L187" s="10">
        <v>118000</v>
      </c>
      <c r="M187" s="12" t="s">
        <v>11</v>
      </c>
    </row>
    <row r="188" spans="1:13" ht="16.8" x14ac:dyDescent="0.3">
      <c r="A188" s="7" t="s">
        <v>207</v>
      </c>
      <c r="B188" s="8">
        <v>44756</v>
      </c>
      <c r="C188" s="15" t="s">
        <v>270</v>
      </c>
      <c r="D188" s="10" t="s">
        <v>223</v>
      </c>
      <c r="E188">
        <v>5</v>
      </c>
      <c r="F188">
        <v>39000</v>
      </c>
      <c r="G188">
        <v>69000</v>
      </c>
      <c r="H188">
        <v>14</v>
      </c>
      <c r="I188">
        <v>69000</v>
      </c>
      <c r="J188" s="10" t="s">
        <v>279</v>
      </c>
      <c r="K188" s="10">
        <v>69000</v>
      </c>
      <c r="L188" s="10">
        <v>345000</v>
      </c>
      <c r="M188" s="12" t="s">
        <v>255</v>
      </c>
    </row>
    <row r="189" spans="1:13" ht="16.8" x14ac:dyDescent="0.3">
      <c r="A189" s="7" t="s">
        <v>208</v>
      </c>
      <c r="B189" s="8">
        <v>44255</v>
      </c>
      <c r="C189" s="15" t="s">
        <v>5</v>
      </c>
      <c r="D189" s="10" t="s">
        <v>223</v>
      </c>
      <c r="E189">
        <v>4</v>
      </c>
      <c r="F189">
        <v>59000</v>
      </c>
      <c r="G189">
        <v>65000</v>
      </c>
      <c r="H189">
        <v>15</v>
      </c>
      <c r="I189">
        <v>65000</v>
      </c>
      <c r="J189" s="10" t="s">
        <v>279</v>
      </c>
      <c r="K189" s="10">
        <v>65000</v>
      </c>
      <c r="L189" s="10">
        <v>260000</v>
      </c>
      <c r="M189" s="12" t="s">
        <v>228</v>
      </c>
    </row>
    <row r="190" spans="1:13" ht="16.8" x14ac:dyDescent="0.3">
      <c r="A190" s="7" t="s">
        <v>209</v>
      </c>
      <c r="B190" s="8">
        <v>44206</v>
      </c>
      <c r="C190" s="15" t="s">
        <v>4</v>
      </c>
      <c r="D190" s="10" t="s">
        <v>224</v>
      </c>
      <c r="E190">
        <v>4</v>
      </c>
      <c r="F190">
        <v>69000</v>
      </c>
      <c r="G190">
        <v>59000</v>
      </c>
      <c r="H190">
        <v>9</v>
      </c>
      <c r="I190">
        <v>62790</v>
      </c>
      <c r="J190" s="10" t="s">
        <v>278</v>
      </c>
      <c r="K190" s="10">
        <v>62790</v>
      </c>
      <c r="L190" s="10">
        <v>251160</v>
      </c>
      <c r="M190" s="12" t="s">
        <v>11</v>
      </c>
    </row>
    <row r="191" spans="1:13" ht="16.8" x14ac:dyDescent="0.3">
      <c r="A191" s="7" t="s">
        <v>210</v>
      </c>
      <c r="B191" s="8">
        <v>44698</v>
      </c>
      <c r="C191" s="15" t="s">
        <v>273</v>
      </c>
      <c r="D191" s="10" t="s">
        <v>224</v>
      </c>
      <c r="E191">
        <v>5</v>
      </c>
      <c r="F191">
        <v>59000</v>
      </c>
      <c r="G191">
        <v>65000</v>
      </c>
      <c r="H191">
        <v>5</v>
      </c>
      <c r="I191">
        <v>56050</v>
      </c>
      <c r="J191" s="10" t="s">
        <v>278</v>
      </c>
      <c r="K191" s="10">
        <v>56050</v>
      </c>
      <c r="L191" s="10">
        <v>280250</v>
      </c>
      <c r="M191" s="12" t="s">
        <v>242</v>
      </c>
    </row>
    <row r="192" spans="1:13" ht="16.8" x14ac:dyDescent="0.3">
      <c r="A192" s="7" t="s">
        <v>211</v>
      </c>
      <c r="B192" s="8">
        <v>44352</v>
      </c>
      <c r="C192" s="15" t="s">
        <v>6</v>
      </c>
      <c r="D192" s="10" t="s">
        <v>223</v>
      </c>
      <c r="E192">
        <v>5</v>
      </c>
      <c r="F192">
        <v>65000</v>
      </c>
      <c r="G192">
        <v>49000</v>
      </c>
      <c r="H192">
        <v>5</v>
      </c>
      <c r="I192">
        <v>49000</v>
      </c>
      <c r="J192" s="10" t="s">
        <v>279</v>
      </c>
      <c r="K192" s="10">
        <v>49000</v>
      </c>
      <c r="L192" s="10">
        <v>245000</v>
      </c>
      <c r="M192" s="12" t="s">
        <v>247</v>
      </c>
    </row>
    <row r="193" spans="1:13" ht="16.8" x14ac:dyDescent="0.3">
      <c r="A193" s="7" t="s">
        <v>212</v>
      </c>
      <c r="B193" s="8">
        <v>44340</v>
      </c>
      <c r="C193" s="15" t="s">
        <v>274</v>
      </c>
      <c r="D193" s="10" t="s">
        <v>222</v>
      </c>
      <c r="E193">
        <v>2</v>
      </c>
      <c r="F193">
        <v>59000</v>
      </c>
      <c r="G193">
        <v>65000</v>
      </c>
      <c r="H193">
        <v>6</v>
      </c>
      <c r="I193">
        <v>55460</v>
      </c>
      <c r="J193" s="10" t="s">
        <v>278</v>
      </c>
      <c r="K193" s="10">
        <v>55460</v>
      </c>
      <c r="L193" s="10">
        <v>110920</v>
      </c>
      <c r="M193" s="12" t="s">
        <v>14</v>
      </c>
    </row>
    <row r="194" spans="1:13" ht="16.8" x14ac:dyDescent="0.3">
      <c r="A194" s="7" t="s">
        <v>213</v>
      </c>
      <c r="B194" s="8">
        <v>45136</v>
      </c>
      <c r="C194" s="15" t="s">
        <v>274</v>
      </c>
      <c r="D194" s="10" t="s">
        <v>222</v>
      </c>
      <c r="E194">
        <v>4</v>
      </c>
      <c r="F194">
        <v>35000</v>
      </c>
      <c r="G194">
        <v>55000</v>
      </c>
      <c r="H194">
        <v>15</v>
      </c>
      <c r="I194">
        <v>29750</v>
      </c>
      <c r="J194" s="10" t="s">
        <v>278</v>
      </c>
      <c r="K194" s="10">
        <v>29750</v>
      </c>
      <c r="L194" s="10">
        <v>119000</v>
      </c>
      <c r="M194" s="12" t="s">
        <v>257</v>
      </c>
    </row>
    <row r="195" spans="1:13" ht="16.8" x14ac:dyDescent="0.3">
      <c r="A195" s="7" t="s">
        <v>214</v>
      </c>
      <c r="B195" s="8">
        <v>44494</v>
      </c>
      <c r="C195" s="15" t="s">
        <v>272</v>
      </c>
      <c r="D195" s="10" t="s">
        <v>222</v>
      </c>
      <c r="E195">
        <v>3</v>
      </c>
      <c r="F195">
        <v>65000</v>
      </c>
      <c r="G195">
        <v>69000</v>
      </c>
      <c r="H195">
        <v>6</v>
      </c>
      <c r="I195">
        <v>69000</v>
      </c>
      <c r="J195" s="10" t="s">
        <v>279</v>
      </c>
      <c r="K195" s="10">
        <v>69000</v>
      </c>
      <c r="L195" s="10">
        <v>207000</v>
      </c>
      <c r="M195" s="12" t="s">
        <v>262</v>
      </c>
    </row>
    <row r="196" spans="1:13" ht="16.8" x14ac:dyDescent="0.3">
      <c r="A196" s="7" t="s">
        <v>215</v>
      </c>
      <c r="B196" s="8">
        <v>45074</v>
      </c>
      <c r="C196" s="15" t="s">
        <v>274</v>
      </c>
      <c r="D196" s="10" t="s">
        <v>224</v>
      </c>
      <c r="E196">
        <v>3</v>
      </c>
      <c r="F196">
        <v>59000</v>
      </c>
      <c r="G196">
        <v>69000</v>
      </c>
      <c r="H196">
        <v>15</v>
      </c>
      <c r="I196">
        <v>50150</v>
      </c>
      <c r="J196" s="10" t="s">
        <v>278</v>
      </c>
      <c r="K196" s="10">
        <v>50150</v>
      </c>
      <c r="L196" s="10">
        <v>150450</v>
      </c>
      <c r="M196" s="12" t="s">
        <v>262</v>
      </c>
    </row>
    <row r="197" spans="1:13" ht="16.8" x14ac:dyDescent="0.3">
      <c r="A197" s="7" t="s">
        <v>216</v>
      </c>
      <c r="B197" s="8">
        <v>44835</v>
      </c>
      <c r="C197" s="15" t="s">
        <v>3</v>
      </c>
      <c r="D197" s="10" t="s">
        <v>223</v>
      </c>
      <c r="E197">
        <v>1</v>
      </c>
      <c r="F197">
        <v>65000</v>
      </c>
      <c r="G197">
        <v>65000</v>
      </c>
      <c r="H197">
        <v>14</v>
      </c>
      <c r="I197">
        <v>65000</v>
      </c>
      <c r="J197" s="10" t="s">
        <v>279</v>
      </c>
      <c r="K197" s="10">
        <v>65000</v>
      </c>
      <c r="L197" s="10">
        <v>65000</v>
      </c>
      <c r="M197" s="12" t="s">
        <v>235</v>
      </c>
    </row>
    <row r="198" spans="1:13" ht="16.8" x14ac:dyDescent="0.3">
      <c r="A198" s="7" t="s">
        <v>217</v>
      </c>
      <c r="B198" s="8">
        <v>44605</v>
      </c>
      <c r="C198" s="15" t="s">
        <v>271</v>
      </c>
      <c r="D198" s="10" t="s">
        <v>223</v>
      </c>
      <c r="E198">
        <v>1</v>
      </c>
      <c r="F198">
        <v>65000</v>
      </c>
      <c r="G198">
        <v>39000</v>
      </c>
      <c r="H198">
        <v>6</v>
      </c>
      <c r="I198">
        <v>61100</v>
      </c>
      <c r="J198" s="10" t="s">
        <v>278</v>
      </c>
      <c r="K198" s="10">
        <v>61100</v>
      </c>
      <c r="L198" s="10">
        <v>61100</v>
      </c>
      <c r="M198" s="12" t="s">
        <v>247</v>
      </c>
    </row>
    <row r="199" spans="1:13" ht="16.8" x14ac:dyDescent="0.3">
      <c r="A199" s="7" t="s">
        <v>218</v>
      </c>
      <c r="B199" s="8">
        <v>44879</v>
      </c>
      <c r="C199" s="15" t="s">
        <v>270</v>
      </c>
      <c r="D199" s="10" t="s">
        <v>223</v>
      </c>
      <c r="E199">
        <v>1</v>
      </c>
      <c r="F199">
        <v>65000</v>
      </c>
      <c r="G199">
        <v>65000</v>
      </c>
      <c r="H199">
        <v>13</v>
      </c>
      <c r="I199">
        <v>65000</v>
      </c>
      <c r="J199" s="10" t="s">
        <v>279</v>
      </c>
      <c r="K199" s="10">
        <v>65000</v>
      </c>
      <c r="L199" s="10">
        <v>65000</v>
      </c>
      <c r="M199" s="12" t="s">
        <v>262</v>
      </c>
    </row>
    <row r="200" spans="1:13" ht="16.8" x14ac:dyDescent="0.3">
      <c r="A200" s="7" t="s">
        <v>219</v>
      </c>
      <c r="B200" s="8">
        <v>44917</v>
      </c>
      <c r="C200" s="15" t="s">
        <v>274</v>
      </c>
      <c r="D200" s="10" t="s">
        <v>223</v>
      </c>
      <c r="E200">
        <v>2</v>
      </c>
      <c r="F200">
        <v>55000</v>
      </c>
      <c r="G200">
        <v>65000</v>
      </c>
      <c r="H200">
        <v>10</v>
      </c>
      <c r="I200">
        <v>49500</v>
      </c>
      <c r="J200" s="10" t="s">
        <v>278</v>
      </c>
      <c r="K200" s="10">
        <v>49500</v>
      </c>
      <c r="L200" s="10">
        <v>99000</v>
      </c>
      <c r="M200" s="12" t="s">
        <v>241</v>
      </c>
    </row>
    <row r="201" spans="1:13" ht="16.8" x14ac:dyDescent="0.3">
      <c r="A201" s="7" t="s">
        <v>220</v>
      </c>
      <c r="B201" s="8">
        <v>45182</v>
      </c>
      <c r="C201" s="15" t="s">
        <v>274</v>
      </c>
      <c r="D201" s="10" t="s">
        <v>223</v>
      </c>
      <c r="E201">
        <v>1</v>
      </c>
      <c r="F201">
        <v>35000</v>
      </c>
      <c r="G201">
        <v>49000</v>
      </c>
      <c r="H201">
        <v>11</v>
      </c>
      <c r="I201">
        <v>49000</v>
      </c>
      <c r="J201" s="10" t="s">
        <v>279</v>
      </c>
      <c r="K201" s="10">
        <v>49000</v>
      </c>
      <c r="L201" s="10">
        <v>49000</v>
      </c>
      <c r="M201" s="12" t="s">
        <v>20</v>
      </c>
    </row>
    <row r="202" spans="1:13" ht="16.8" x14ac:dyDescent="0.3">
      <c r="A202" s="7" t="s">
        <v>280</v>
      </c>
      <c r="B202" s="8">
        <v>44908</v>
      </c>
      <c r="C202" s="15" t="s">
        <v>6</v>
      </c>
      <c r="D202" s="10" t="s">
        <v>223</v>
      </c>
      <c r="E202">
        <v>3</v>
      </c>
      <c r="F202">
        <v>49000</v>
      </c>
      <c r="G202">
        <v>49000</v>
      </c>
      <c r="H202">
        <v>14</v>
      </c>
      <c r="I202">
        <v>49000</v>
      </c>
      <c r="J202" s="10" t="s">
        <v>279</v>
      </c>
      <c r="K202" s="10">
        <v>49000</v>
      </c>
      <c r="L202" s="10">
        <v>147000</v>
      </c>
      <c r="M202" s="12" t="s">
        <v>15</v>
      </c>
    </row>
    <row r="203" spans="1:13" ht="16.8" x14ac:dyDescent="0.3">
      <c r="A203" s="7" t="s">
        <v>281</v>
      </c>
      <c r="B203" s="8">
        <v>44983</v>
      </c>
      <c r="C203" s="15" t="s">
        <v>270</v>
      </c>
      <c r="D203" s="10" t="s">
        <v>224</v>
      </c>
      <c r="E203">
        <v>4</v>
      </c>
      <c r="F203">
        <v>55000</v>
      </c>
      <c r="G203">
        <v>49000</v>
      </c>
      <c r="H203">
        <v>14</v>
      </c>
      <c r="I203">
        <v>49000</v>
      </c>
      <c r="J203" s="10" t="s">
        <v>279</v>
      </c>
      <c r="K203" s="10">
        <v>49000</v>
      </c>
      <c r="L203" s="10">
        <v>196000</v>
      </c>
      <c r="M203" s="12" t="s">
        <v>225</v>
      </c>
    </row>
    <row r="204" spans="1:13" ht="16.8" x14ac:dyDescent="0.3">
      <c r="A204" s="7" t="s">
        <v>282</v>
      </c>
      <c r="B204" s="8">
        <v>44436</v>
      </c>
      <c r="C204" s="15" t="s">
        <v>5</v>
      </c>
      <c r="D204" s="10" t="s">
        <v>224</v>
      </c>
      <c r="E204">
        <v>5</v>
      </c>
      <c r="F204">
        <v>69000</v>
      </c>
      <c r="G204">
        <v>59000</v>
      </c>
      <c r="H204">
        <v>7</v>
      </c>
      <c r="I204">
        <v>59000</v>
      </c>
      <c r="J204" s="10" t="s">
        <v>279</v>
      </c>
      <c r="K204" s="10">
        <v>59000</v>
      </c>
      <c r="L204" s="10">
        <v>295000</v>
      </c>
      <c r="M204" s="12" t="s">
        <v>247</v>
      </c>
    </row>
    <row r="205" spans="1:13" ht="16.8" x14ac:dyDescent="0.3">
      <c r="A205" s="7" t="s">
        <v>283</v>
      </c>
      <c r="B205" s="8">
        <v>44599</v>
      </c>
      <c r="C205" s="15" t="s">
        <v>271</v>
      </c>
      <c r="D205" s="10" t="s">
        <v>223</v>
      </c>
      <c r="E205">
        <v>2</v>
      </c>
      <c r="F205">
        <v>39000</v>
      </c>
      <c r="G205">
        <v>65000</v>
      </c>
      <c r="H205">
        <v>5</v>
      </c>
      <c r="I205">
        <v>65000</v>
      </c>
      <c r="J205" s="10" t="s">
        <v>279</v>
      </c>
      <c r="K205" s="10">
        <v>65000</v>
      </c>
      <c r="L205" s="10">
        <v>130000</v>
      </c>
      <c r="M205" s="12" t="s">
        <v>239</v>
      </c>
    </row>
    <row r="206" spans="1:13" ht="16.8" x14ac:dyDescent="0.3">
      <c r="A206" s="7" t="s">
        <v>284</v>
      </c>
      <c r="B206" s="8">
        <v>44581</v>
      </c>
      <c r="C206" s="15" t="s">
        <v>3</v>
      </c>
      <c r="D206" s="10" t="s">
        <v>222</v>
      </c>
      <c r="E206">
        <v>4</v>
      </c>
      <c r="F206">
        <v>65000</v>
      </c>
      <c r="G206">
        <v>65000</v>
      </c>
      <c r="H206">
        <v>14</v>
      </c>
      <c r="I206">
        <v>65000</v>
      </c>
      <c r="J206" s="10" t="s">
        <v>279</v>
      </c>
      <c r="K206" s="10">
        <v>65000</v>
      </c>
      <c r="L206" s="10">
        <v>260000</v>
      </c>
      <c r="M206" s="12" t="s">
        <v>260</v>
      </c>
    </row>
    <row r="207" spans="1:13" ht="16.8" x14ac:dyDescent="0.3">
      <c r="A207" s="7" t="s">
        <v>285</v>
      </c>
      <c r="B207" s="8">
        <v>44861</v>
      </c>
      <c r="C207" s="15" t="s">
        <v>3</v>
      </c>
      <c r="D207" s="10" t="s">
        <v>224</v>
      </c>
      <c r="E207">
        <v>3</v>
      </c>
      <c r="F207">
        <v>69000</v>
      </c>
      <c r="G207">
        <v>35000</v>
      </c>
      <c r="H207">
        <v>10</v>
      </c>
      <c r="I207">
        <v>35000</v>
      </c>
      <c r="J207" s="10" t="s">
        <v>279</v>
      </c>
      <c r="K207" s="10">
        <v>35000</v>
      </c>
      <c r="L207" s="10">
        <v>105000</v>
      </c>
      <c r="M207" s="12" t="s">
        <v>255</v>
      </c>
    </row>
    <row r="208" spans="1:13" ht="16.8" x14ac:dyDescent="0.3">
      <c r="A208" s="7" t="s">
        <v>286</v>
      </c>
      <c r="B208" s="8">
        <v>44940</v>
      </c>
      <c r="C208" s="15" t="s">
        <v>270</v>
      </c>
      <c r="D208" s="10" t="s">
        <v>223</v>
      </c>
      <c r="E208">
        <v>2</v>
      </c>
      <c r="F208">
        <v>65000</v>
      </c>
      <c r="G208">
        <v>69000</v>
      </c>
      <c r="H208">
        <v>10</v>
      </c>
      <c r="I208">
        <v>69000</v>
      </c>
      <c r="J208" s="10" t="s">
        <v>279</v>
      </c>
      <c r="K208" s="10">
        <v>69000</v>
      </c>
      <c r="L208" s="10">
        <v>138000</v>
      </c>
      <c r="M208" s="12" t="s">
        <v>244</v>
      </c>
    </row>
    <row r="209" spans="1:13" ht="16.8" x14ac:dyDescent="0.3">
      <c r="A209" s="7" t="s">
        <v>287</v>
      </c>
      <c r="B209" s="8">
        <v>44835</v>
      </c>
      <c r="C209" s="15" t="s">
        <v>4</v>
      </c>
      <c r="D209" s="10" t="s">
        <v>222</v>
      </c>
      <c r="E209">
        <v>1</v>
      </c>
      <c r="F209">
        <v>35000</v>
      </c>
      <c r="G209">
        <v>39000</v>
      </c>
      <c r="H209">
        <v>8</v>
      </c>
      <c r="I209">
        <v>32200</v>
      </c>
      <c r="J209" s="10" t="s">
        <v>278</v>
      </c>
      <c r="K209" s="10">
        <v>32200</v>
      </c>
      <c r="L209" s="10">
        <v>32200</v>
      </c>
      <c r="M209" s="12" t="s">
        <v>261</v>
      </c>
    </row>
    <row r="210" spans="1:13" ht="16.8" x14ac:dyDescent="0.3">
      <c r="A210" s="7" t="s">
        <v>288</v>
      </c>
      <c r="B210" s="8">
        <v>44288</v>
      </c>
      <c r="C210" s="15" t="s">
        <v>274</v>
      </c>
      <c r="D210" s="10" t="s">
        <v>222</v>
      </c>
      <c r="E210">
        <v>2</v>
      </c>
      <c r="F210">
        <v>49000</v>
      </c>
      <c r="G210">
        <v>65000</v>
      </c>
      <c r="H210">
        <v>6</v>
      </c>
      <c r="I210">
        <v>46060</v>
      </c>
      <c r="J210" s="10" t="s">
        <v>278</v>
      </c>
      <c r="K210" s="10">
        <v>46060</v>
      </c>
      <c r="L210" s="10">
        <v>92120</v>
      </c>
      <c r="M210" s="12" t="s">
        <v>254</v>
      </c>
    </row>
    <row r="211" spans="1:13" ht="16.8" x14ac:dyDescent="0.3">
      <c r="A211" s="7" t="s">
        <v>289</v>
      </c>
      <c r="B211" s="8">
        <v>45113</v>
      </c>
      <c r="C211" s="15" t="s">
        <v>272</v>
      </c>
      <c r="D211" s="10" t="s">
        <v>223</v>
      </c>
      <c r="E211">
        <v>2</v>
      </c>
      <c r="F211">
        <v>49000</v>
      </c>
      <c r="G211">
        <v>55000</v>
      </c>
      <c r="H211">
        <v>8</v>
      </c>
      <c r="I211">
        <v>45080</v>
      </c>
      <c r="J211" s="10" t="s">
        <v>278</v>
      </c>
      <c r="K211" s="10">
        <v>45080</v>
      </c>
      <c r="L211" s="10">
        <v>90160</v>
      </c>
      <c r="M211" s="12" t="s">
        <v>250</v>
      </c>
    </row>
    <row r="212" spans="1:13" ht="16.8" x14ac:dyDescent="0.3">
      <c r="A212" s="7" t="s">
        <v>290</v>
      </c>
      <c r="B212" s="8">
        <v>44736</v>
      </c>
      <c r="C212" s="15" t="s">
        <v>270</v>
      </c>
      <c r="D212" s="10" t="s">
        <v>224</v>
      </c>
      <c r="E212">
        <v>3</v>
      </c>
      <c r="F212">
        <v>65000</v>
      </c>
      <c r="G212">
        <v>65000</v>
      </c>
      <c r="H212">
        <v>10</v>
      </c>
      <c r="I212">
        <v>58500</v>
      </c>
      <c r="J212" s="10" t="s">
        <v>278</v>
      </c>
      <c r="K212" s="10">
        <v>58500</v>
      </c>
      <c r="L212" s="10">
        <v>175500</v>
      </c>
      <c r="M212" s="12" t="s">
        <v>228</v>
      </c>
    </row>
    <row r="213" spans="1:13" ht="16.8" x14ac:dyDescent="0.3">
      <c r="A213" s="7" t="s">
        <v>291</v>
      </c>
      <c r="B213" s="8">
        <v>44824</v>
      </c>
      <c r="C213" s="15" t="s">
        <v>271</v>
      </c>
      <c r="D213" s="10" t="s">
        <v>222</v>
      </c>
      <c r="E213">
        <v>5</v>
      </c>
      <c r="F213">
        <v>65000</v>
      </c>
      <c r="G213">
        <v>65000</v>
      </c>
      <c r="H213">
        <v>15</v>
      </c>
      <c r="I213">
        <v>65000</v>
      </c>
      <c r="J213" s="10" t="s">
        <v>279</v>
      </c>
      <c r="K213" s="10">
        <v>65000</v>
      </c>
      <c r="L213" s="10">
        <v>325000</v>
      </c>
      <c r="M213" s="12" t="s">
        <v>10</v>
      </c>
    </row>
    <row r="214" spans="1:13" ht="16.8" x14ac:dyDescent="0.3">
      <c r="A214" s="7" t="s">
        <v>292</v>
      </c>
      <c r="B214" s="8">
        <v>45151</v>
      </c>
      <c r="C214" s="15" t="s">
        <v>3</v>
      </c>
      <c r="D214" s="10" t="s">
        <v>222</v>
      </c>
      <c r="E214">
        <v>3</v>
      </c>
      <c r="F214">
        <v>55000</v>
      </c>
      <c r="G214">
        <v>59000</v>
      </c>
      <c r="H214">
        <v>6</v>
      </c>
      <c r="I214">
        <v>51700</v>
      </c>
      <c r="J214" s="10" t="s">
        <v>278</v>
      </c>
      <c r="K214" s="10">
        <v>51700</v>
      </c>
      <c r="L214" s="10">
        <v>155100</v>
      </c>
      <c r="M214" s="12" t="s">
        <v>11</v>
      </c>
    </row>
    <row r="215" spans="1:13" ht="16.8" x14ac:dyDescent="0.3">
      <c r="A215" s="7" t="s">
        <v>293</v>
      </c>
      <c r="B215" s="8">
        <v>45289</v>
      </c>
      <c r="C215" s="15" t="s">
        <v>4</v>
      </c>
      <c r="D215" s="10" t="s">
        <v>223</v>
      </c>
      <c r="E215">
        <v>1</v>
      </c>
      <c r="F215">
        <v>49000</v>
      </c>
      <c r="G215">
        <v>55000</v>
      </c>
      <c r="H215">
        <v>14</v>
      </c>
      <c r="I215">
        <v>55000</v>
      </c>
      <c r="J215" s="10" t="s">
        <v>279</v>
      </c>
      <c r="K215" s="10">
        <v>55000</v>
      </c>
      <c r="L215" s="10">
        <v>55000</v>
      </c>
      <c r="M215" s="12" t="s">
        <v>18</v>
      </c>
    </row>
    <row r="216" spans="1:13" ht="16.8" x14ac:dyDescent="0.3">
      <c r="A216" s="7" t="s">
        <v>294</v>
      </c>
      <c r="B216" s="8">
        <v>45203</v>
      </c>
      <c r="C216" s="15" t="s">
        <v>5</v>
      </c>
      <c r="D216" s="10" t="s">
        <v>222</v>
      </c>
      <c r="E216">
        <v>2</v>
      </c>
      <c r="F216">
        <v>35000</v>
      </c>
      <c r="G216">
        <v>35000</v>
      </c>
      <c r="H216">
        <v>14</v>
      </c>
      <c r="I216">
        <v>30100</v>
      </c>
      <c r="J216" s="10" t="s">
        <v>278</v>
      </c>
      <c r="K216" s="10">
        <v>30100</v>
      </c>
      <c r="L216" s="10">
        <v>60200</v>
      </c>
      <c r="M216" s="12" t="s">
        <v>245</v>
      </c>
    </row>
    <row r="217" spans="1:13" ht="16.8" x14ac:dyDescent="0.3">
      <c r="A217" s="7" t="s">
        <v>295</v>
      </c>
      <c r="B217" s="8">
        <v>44730</v>
      </c>
      <c r="C217" s="15" t="s">
        <v>5</v>
      </c>
      <c r="D217" s="10" t="s">
        <v>222</v>
      </c>
      <c r="E217">
        <v>3</v>
      </c>
      <c r="F217">
        <v>65000</v>
      </c>
      <c r="G217">
        <v>59000</v>
      </c>
      <c r="H217">
        <v>9</v>
      </c>
      <c r="I217">
        <v>59150</v>
      </c>
      <c r="J217" s="10" t="s">
        <v>278</v>
      </c>
      <c r="K217" s="10">
        <v>59150</v>
      </c>
      <c r="L217" s="10">
        <v>177450</v>
      </c>
      <c r="M217" s="12" t="s">
        <v>243</v>
      </c>
    </row>
    <row r="218" spans="1:13" ht="16.8" x14ac:dyDescent="0.3">
      <c r="A218" s="7" t="s">
        <v>296</v>
      </c>
      <c r="B218" s="8">
        <v>44323</v>
      </c>
      <c r="C218" s="15" t="s">
        <v>6</v>
      </c>
      <c r="D218" s="10" t="s">
        <v>223</v>
      </c>
      <c r="E218">
        <v>4</v>
      </c>
      <c r="F218">
        <v>65000</v>
      </c>
      <c r="G218">
        <v>59000</v>
      </c>
      <c r="H218">
        <v>10</v>
      </c>
      <c r="I218">
        <v>59000</v>
      </c>
      <c r="J218" s="10" t="s">
        <v>279</v>
      </c>
      <c r="K218" s="10">
        <v>59000</v>
      </c>
      <c r="L218" s="10">
        <v>236000</v>
      </c>
      <c r="M218" s="12" t="s">
        <v>226</v>
      </c>
    </row>
    <row r="219" spans="1:13" ht="16.8" x14ac:dyDescent="0.3">
      <c r="A219" s="7" t="s">
        <v>297</v>
      </c>
      <c r="B219" s="8">
        <v>45166</v>
      </c>
      <c r="C219" s="15" t="s">
        <v>3</v>
      </c>
      <c r="D219" s="10" t="s">
        <v>223</v>
      </c>
      <c r="E219">
        <v>4</v>
      </c>
      <c r="F219">
        <v>59000</v>
      </c>
      <c r="G219">
        <v>65000</v>
      </c>
      <c r="H219">
        <v>10</v>
      </c>
      <c r="I219">
        <v>53100</v>
      </c>
      <c r="J219" s="10" t="s">
        <v>278</v>
      </c>
      <c r="K219" s="10">
        <v>53100</v>
      </c>
      <c r="L219" s="10">
        <v>212400</v>
      </c>
      <c r="M219" s="12" t="s">
        <v>255</v>
      </c>
    </row>
    <row r="220" spans="1:13" ht="16.8" x14ac:dyDescent="0.3">
      <c r="A220" s="7" t="s">
        <v>298</v>
      </c>
      <c r="B220" s="8">
        <v>45076</v>
      </c>
      <c r="C220" s="15" t="s">
        <v>274</v>
      </c>
      <c r="D220" s="10" t="s">
        <v>222</v>
      </c>
      <c r="E220">
        <v>2</v>
      </c>
      <c r="F220">
        <v>49000</v>
      </c>
      <c r="G220">
        <v>65000</v>
      </c>
      <c r="H220">
        <v>15</v>
      </c>
      <c r="I220">
        <v>41650</v>
      </c>
      <c r="J220" s="10" t="s">
        <v>278</v>
      </c>
      <c r="K220" s="10">
        <v>41650</v>
      </c>
      <c r="L220" s="10">
        <v>83300</v>
      </c>
      <c r="M220" s="12" t="s">
        <v>247</v>
      </c>
    </row>
    <row r="221" spans="1:13" ht="16.8" x14ac:dyDescent="0.3">
      <c r="A221" s="7" t="s">
        <v>299</v>
      </c>
      <c r="B221" s="8">
        <v>45086</v>
      </c>
      <c r="C221" s="15" t="s">
        <v>271</v>
      </c>
      <c r="D221" s="10" t="s">
        <v>223</v>
      </c>
      <c r="E221">
        <v>4</v>
      </c>
      <c r="F221">
        <v>35000</v>
      </c>
      <c r="G221">
        <v>69000</v>
      </c>
      <c r="H221">
        <v>8</v>
      </c>
      <c r="I221">
        <v>32200</v>
      </c>
      <c r="J221" s="10" t="s">
        <v>278</v>
      </c>
      <c r="K221" s="10">
        <v>32200</v>
      </c>
      <c r="L221" s="10">
        <v>128800</v>
      </c>
      <c r="M221" s="12" t="s">
        <v>242</v>
      </c>
    </row>
    <row r="222" spans="1:13" ht="16.8" x14ac:dyDescent="0.3">
      <c r="A222" s="7" t="s">
        <v>300</v>
      </c>
      <c r="B222" s="8">
        <v>44414</v>
      </c>
      <c r="C222" s="15" t="s">
        <v>275</v>
      </c>
      <c r="D222" s="10" t="s">
        <v>224</v>
      </c>
      <c r="E222">
        <v>5</v>
      </c>
      <c r="F222">
        <v>59000</v>
      </c>
      <c r="G222">
        <v>65000</v>
      </c>
      <c r="H222">
        <v>7</v>
      </c>
      <c r="I222">
        <v>54869.999999999993</v>
      </c>
      <c r="J222" s="10" t="s">
        <v>278</v>
      </c>
      <c r="K222" s="10">
        <v>54869.999999999993</v>
      </c>
      <c r="L222" s="10">
        <v>274349.99999999994</v>
      </c>
      <c r="M222" s="12" t="s">
        <v>262</v>
      </c>
    </row>
    <row r="223" spans="1:13" ht="16.8" x14ac:dyDescent="0.3">
      <c r="A223" s="7" t="s">
        <v>301</v>
      </c>
      <c r="B223" s="8">
        <v>44579</v>
      </c>
      <c r="C223" s="15" t="s">
        <v>4</v>
      </c>
      <c r="D223" s="10" t="s">
        <v>222</v>
      </c>
      <c r="E223">
        <v>2</v>
      </c>
      <c r="F223">
        <v>69000</v>
      </c>
      <c r="G223">
        <v>29000</v>
      </c>
      <c r="H223">
        <v>13</v>
      </c>
      <c r="I223">
        <v>29000</v>
      </c>
      <c r="J223" s="10" t="s">
        <v>279</v>
      </c>
      <c r="K223" s="10">
        <v>29000</v>
      </c>
      <c r="L223" s="10">
        <v>58000</v>
      </c>
      <c r="M223" s="12" t="s">
        <v>16</v>
      </c>
    </row>
    <row r="224" spans="1:13" ht="16.8" x14ac:dyDescent="0.3">
      <c r="A224" s="7" t="s">
        <v>302</v>
      </c>
      <c r="B224" s="8">
        <v>44771</v>
      </c>
      <c r="C224" s="15" t="s">
        <v>272</v>
      </c>
      <c r="D224" s="10" t="s">
        <v>224</v>
      </c>
      <c r="E224">
        <v>5</v>
      </c>
      <c r="F224">
        <v>59000</v>
      </c>
      <c r="G224">
        <v>35000</v>
      </c>
      <c r="H224">
        <v>10</v>
      </c>
      <c r="I224">
        <v>53100</v>
      </c>
      <c r="J224" s="10" t="s">
        <v>278</v>
      </c>
      <c r="K224" s="10">
        <v>53100</v>
      </c>
      <c r="L224" s="10">
        <v>265500</v>
      </c>
      <c r="M224" s="12" t="s">
        <v>12</v>
      </c>
    </row>
    <row r="225" spans="1:13" ht="16.8" x14ac:dyDescent="0.3">
      <c r="A225" s="7" t="s">
        <v>303</v>
      </c>
      <c r="B225" s="8">
        <v>45109</v>
      </c>
      <c r="C225" s="15" t="s">
        <v>274</v>
      </c>
      <c r="D225" s="10" t="s">
        <v>222</v>
      </c>
      <c r="E225">
        <v>4</v>
      </c>
      <c r="F225">
        <v>75000</v>
      </c>
      <c r="G225">
        <v>35000</v>
      </c>
      <c r="H225">
        <v>15</v>
      </c>
      <c r="I225">
        <v>35000</v>
      </c>
      <c r="J225" s="10" t="s">
        <v>279</v>
      </c>
      <c r="K225" s="10">
        <v>35000</v>
      </c>
      <c r="L225" s="10">
        <v>140000</v>
      </c>
      <c r="M225" s="12" t="s">
        <v>253</v>
      </c>
    </row>
    <row r="226" spans="1:13" ht="16.8" x14ac:dyDescent="0.3">
      <c r="A226" s="7" t="s">
        <v>304</v>
      </c>
      <c r="B226" s="8">
        <v>44904</v>
      </c>
      <c r="C226" s="15" t="s">
        <v>5</v>
      </c>
      <c r="D226" s="10" t="s">
        <v>223</v>
      </c>
      <c r="E226">
        <v>3</v>
      </c>
      <c r="F226">
        <v>69000</v>
      </c>
      <c r="G226">
        <v>59000</v>
      </c>
      <c r="H226">
        <v>12</v>
      </c>
      <c r="I226">
        <v>59000</v>
      </c>
      <c r="J226" s="10" t="s">
        <v>279</v>
      </c>
      <c r="K226" s="10">
        <v>59000</v>
      </c>
      <c r="L226" s="10">
        <v>177000</v>
      </c>
      <c r="M226" s="12" t="s">
        <v>237</v>
      </c>
    </row>
    <row r="227" spans="1:13" ht="16.8" x14ac:dyDescent="0.3">
      <c r="A227" s="7" t="s">
        <v>305</v>
      </c>
      <c r="B227" s="8">
        <v>45234</v>
      </c>
      <c r="C227" s="15" t="s">
        <v>4</v>
      </c>
      <c r="D227" s="10" t="s">
        <v>224</v>
      </c>
      <c r="E227">
        <v>5</v>
      </c>
      <c r="F227">
        <v>59000</v>
      </c>
      <c r="G227">
        <v>29000</v>
      </c>
      <c r="H227">
        <v>5</v>
      </c>
      <c r="I227">
        <v>56050</v>
      </c>
      <c r="J227" s="10" t="s">
        <v>278</v>
      </c>
      <c r="K227" s="10">
        <v>56050</v>
      </c>
      <c r="L227" s="10">
        <v>280250</v>
      </c>
      <c r="M227" s="12" t="s">
        <v>253</v>
      </c>
    </row>
    <row r="228" spans="1:13" ht="16.8" x14ac:dyDescent="0.3">
      <c r="A228" s="7" t="s">
        <v>306</v>
      </c>
      <c r="B228" s="8">
        <v>44937</v>
      </c>
      <c r="C228" s="15" t="s">
        <v>6</v>
      </c>
      <c r="D228" s="10" t="s">
        <v>222</v>
      </c>
      <c r="E228">
        <v>4</v>
      </c>
      <c r="F228">
        <v>65000</v>
      </c>
      <c r="G228">
        <v>65000</v>
      </c>
      <c r="H228">
        <v>9</v>
      </c>
      <c r="I228">
        <v>59150</v>
      </c>
      <c r="J228" s="10" t="s">
        <v>278</v>
      </c>
      <c r="K228" s="10">
        <v>59150</v>
      </c>
      <c r="L228" s="10">
        <v>236600</v>
      </c>
      <c r="M228" s="12" t="s">
        <v>235</v>
      </c>
    </row>
    <row r="229" spans="1:13" ht="16.8" x14ac:dyDescent="0.3">
      <c r="A229" s="7" t="s">
        <v>307</v>
      </c>
      <c r="B229" s="8">
        <v>45180</v>
      </c>
      <c r="C229" s="15" t="s">
        <v>4</v>
      </c>
      <c r="D229" s="10" t="s">
        <v>224</v>
      </c>
      <c r="E229">
        <v>1</v>
      </c>
      <c r="F229">
        <v>65000</v>
      </c>
      <c r="G229">
        <v>59000</v>
      </c>
      <c r="H229">
        <v>11</v>
      </c>
      <c r="I229">
        <v>57850</v>
      </c>
      <c r="J229" s="10" t="s">
        <v>278</v>
      </c>
      <c r="K229" s="10">
        <v>57850</v>
      </c>
      <c r="L229" s="10">
        <v>57850</v>
      </c>
      <c r="M229" s="12" t="s">
        <v>13</v>
      </c>
    </row>
    <row r="230" spans="1:13" ht="16.8" x14ac:dyDescent="0.3">
      <c r="A230" s="7" t="s">
        <v>308</v>
      </c>
      <c r="B230" s="8">
        <v>44532</v>
      </c>
      <c r="C230" s="15" t="s">
        <v>273</v>
      </c>
      <c r="D230" s="10" t="s">
        <v>223</v>
      </c>
      <c r="E230">
        <v>5</v>
      </c>
      <c r="F230">
        <v>69000</v>
      </c>
      <c r="G230">
        <v>69000</v>
      </c>
      <c r="H230">
        <v>10</v>
      </c>
      <c r="I230">
        <v>69000</v>
      </c>
      <c r="J230" s="10" t="s">
        <v>279</v>
      </c>
      <c r="K230" s="10">
        <v>69000</v>
      </c>
      <c r="L230" s="10">
        <v>345000</v>
      </c>
      <c r="M230" s="12" t="s">
        <v>10</v>
      </c>
    </row>
    <row r="231" spans="1:13" ht="16.8" x14ac:dyDescent="0.3">
      <c r="A231" s="7" t="s">
        <v>309</v>
      </c>
      <c r="B231" s="8">
        <v>45064</v>
      </c>
      <c r="C231" s="15" t="s">
        <v>6</v>
      </c>
      <c r="D231" s="10" t="s">
        <v>223</v>
      </c>
      <c r="E231">
        <v>3</v>
      </c>
      <c r="F231">
        <v>49000</v>
      </c>
      <c r="G231">
        <v>49000</v>
      </c>
      <c r="H231">
        <v>6</v>
      </c>
      <c r="I231">
        <v>49000</v>
      </c>
      <c r="J231" s="10" t="s">
        <v>279</v>
      </c>
      <c r="K231" s="10">
        <v>49000</v>
      </c>
      <c r="L231" s="10">
        <v>147000</v>
      </c>
      <c r="M231" s="12" t="s">
        <v>247</v>
      </c>
    </row>
    <row r="232" spans="1:13" ht="16.8" x14ac:dyDescent="0.3">
      <c r="A232" s="7" t="s">
        <v>310</v>
      </c>
      <c r="B232" s="8">
        <v>44561</v>
      </c>
      <c r="C232" s="15" t="s">
        <v>5</v>
      </c>
      <c r="D232" s="10" t="s">
        <v>224</v>
      </c>
      <c r="E232">
        <v>1</v>
      </c>
      <c r="F232">
        <v>69000</v>
      </c>
      <c r="G232">
        <v>55000</v>
      </c>
      <c r="H232">
        <v>14</v>
      </c>
      <c r="I232">
        <v>55000</v>
      </c>
      <c r="J232" s="10" t="s">
        <v>279</v>
      </c>
      <c r="K232" s="10">
        <v>55000</v>
      </c>
      <c r="L232" s="10">
        <v>55000</v>
      </c>
      <c r="M232" s="12" t="s">
        <v>10</v>
      </c>
    </row>
    <row r="233" spans="1:13" ht="16.8" x14ac:dyDescent="0.3">
      <c r="A233" s="7" t="s">
        <v>311</v>
      </c>
      <c r="B233" s="8">
        <v>45117</v>
      </c>
      <c r="C233" s="15" t="s">
        <v>273</v>
      </c>
      <c r="D233" s="10" t="s">
        <v>222</v>
      </c>
      <c r="E233">
        <v>5</v>
      </c>
      <c r="F233">
        <v>69000</v>
      </c>
      <c r="G233">
        <v>35000</v>
      </c>
      <c r="H233">
        <v>10</v>
      </c>
      <c r="I233">
        <v>35000</v>
      </c>
      <c r="J233" s="10" t="s">
        <v>279</v>
      </c>
      <c r="K233" s="10">
        <v>35000</v>
      </c>
      <c r="L233" s="10">
        <v>175000</v>
      </c>
      <c r="M233" s="12" t="s">
        <v>225</v>
      </c>
    </row>
    <row r="234" spans="1:13" ht="16.8" x14ac:dyDescent="0.3">
      <c r="A234" s="7" t="s">
        <v>312</v>
      </c>
      <c r="B234" s="8">
        <v>44727</v>
      </c>
      <c r="C234" s="15" t="s">
        <v>5</v>
      </c>
      <c r="D234" s="10" t="s">
        <v>222</v>
      </c>
      <c r="E234">
        <v>4</v>
      </c>
      <c r="F234">
        <v>59000</v>
      </c>
      <c r="G234">
        <v>35000</v>
      </c>
      <c r="H234">
        <v>10</v>
      </c>
      <c r="I234">
        <v>53100</v>
      </c>
      <c r="J234" s="10" t="s">
        <v>278</v>
      </c>
      <c r="K234" s="10">
        <v>53100</v>
      </c>
      <c r="L234" s="10">
        <v>212400</v>
      </c>
      <c r="M234" s="12" t="s">
        <v>15</v>
      </c>
    </row>
    <row r="235" spans="1:13" ht="16.8" x14ac:dyDescent="0.3">
      <c r="A235" s="7" t="s">
        <v>313</v>
      </c>
      <c r="B235" s="8">
        <v>44612</v>
      </c>
      <c r="C235" s="15" t="s">
        <v>6</v>
      </c>
      <c r="D235" s="10" t="s">
        <v>222</v>
      </c>
      <c r="E235">
        <v>5</v>
      </c>
      <c r="F235">
        <v>59000</v>
      </c>
      <c r="G235">
        <v>69000</v>
      </c>
      <c r="H235">
        <v>8</v>
      </c>
      <c r="I235">
        <v>54280</v>
      </c>
      <c r="J235" s="10" t="s">
        <v>278</v>
      </c>
      <c r="K235" s="10">
        <v>54280</v>
      </c>
      <c r="L235" s="10">
        <v>271400</v>
      </c>
      <c r="M235" s="12" t="s">
        <v>12</v>
      </c>
    </row>
    <row r="236" spans="1:13" ht="16.8" x14ac:dyDescent="0.3">
      <c r="A236" s="7" t="s">
        <v>314</v>
      </c>
      <c r="B236" s="8">
        <v>44942</v>
      </c>
      <c r="C236" s="15" t="s">
        <v>4</v>
      </c>
      <c r="D236" s="10" t="s">
        <v>222</v>
      </c>
      <c r="E236">
        <v>4</v>
      </c>
      <c r="F236">
        <v>59000</v>
      </c>
      <c r="G236">
        <v>29000</v>
      </c>
      <c r="H236">
        <v>6</v>
      </c>
      <c r="I236">
        <v>55460</v>
      </c>
      <c r="J236" s="10" t="s">
        <v>278</v>
      </c>
      <c r="K236" s="10">
        <v>55460</v>
      </c>
      <c r="L236" s="10">
        <v>221840</v>
      </c>
      <c r="M236" s="12" t="s">
        <v>250</v>
      </c>
    </row>
    <row r="237" spans="1:13" ht="16.8" x14ac:dyDescent="0.3">
      <c r="A237" s="7" t="s">
        <v>315</v>
      </c>
      <c r="B237" s="8">
        <v>44773</v>
      </c>
      <c r="C237" s="15" t="s">
        <v>271</v>
      </c>
      <c r="D237" s="10" t="s">
        <v>222</v>
      </c>
      <c r="E237">
        <v>2</v>
      </c>
      <c r="F237">
        <v>65000</v>
      </c>
      <c r="G237">
        <v>69000</v>
      </c>
      <c r="H237">
        <v>13</v>
      </c>
      <c r="I237">
        <v>56550</v>
      </c>
      <c r="J237" s="10" t="s">
        <v>278</v>
      </c>
      <c r="K237" s="10">
        <v>56550</v>
      </c>
      <c r="L237" s="10">
        <v>113100</v>
      </c>
      <c r="M237" s="12" t="s">
        <v>11</v>
      </c>
    </row>
    <row r="238" spans="1:13" ht="16.8" x14ac:dyDescent="0.3">
      <c r="A238" s="7" t="s">
        <v>316</v>
      </c>
      <c r="B238" s="8">
        <v>45223</v>
      </c>
      <c r="C238" s="15" t="s">
        <v>4</v>
      </c>
      <c r="D238" s="10" t="s">
        <v>222</v>
      </c>
      <c r="E238">
        <v>3</v>
      </c>
      <c r="F238">
        <v>65000</v>
      </c>
      <c r="G238">
        <v>59000</v>
      </c>
      <c r="H238">
        <v>15</v>
      </c>
      <c r="I238">
        <v>55250</v>
      </c>
      <c r="J238" s="10" t="s">
        <v>278</v>
      </c>
      <c r="K238" s="10">
        <v>55250</v>
      </c>
      <c r="L238" s="10">
        <v>165750</v>
      </c>
      <c r="M238" s="12" t="s">
        <v>16</v>
      </c>
    </row>
    <row r="239" spans="1:13" ht="16.8" x14ac:dyDescent="0.3">
      <c r="A239" s="7" t="s">
        <v>317</v>
      </c>
      <c r="B239" s="8">
        <v>44960</v>
      </c>
      <c r="C239" s="15" t="s">
        <v>274</v>
      </c>
      <c r="D239" s="10" t="s">
        <v>223</v>
      </c>
      <c r="E239">
        <v>4</v>
      </c>
      <c r="F239">
        <v>39000</v>
      </c>
      <c r="G239">
        <v>49000</v>
      </c>
      <c r="H239">
        <v>9</v>
      </c>
      <c r="I239">
        <v>35490</v>
      </c>
      <c r="J239" s="10" t="s">
        <v>278</v>
      </c>
      <c r="K239" s="10">
        <v>35490</v>
      </c>
      <c r="L239" s="10">
        <v>141960</v>
      </c>
      <c r="M239" s="12" t="s">
        <v>256</v>
      </c>
    </row>
    <row r="240" spans="1:13" ht="16.8" x14ac:dyDescent="0.3">
      <c r="A240" s="7" t="s">
        <v>318</v>
      </c>
      <c r="B240" s="8">
        <v>44464</v>
      </c>
      <c r="C240" s="15" t="s">
        <v>273</v>
      </c>
      <c r="D240" s="10" t="s">
        <v>223</v>
      </c>
      <c r="E240">
        <v>4</v>
      </c>
      <c r="F240">
        <v>55000</v>
      </c>
      <c r="G240">
        <v>35000</v>
      </c>
      <c r="H240">
        <v>15</v>
      </c>
      <c r="I240">
        <v>35000</v>
      </c>
      <c r="J240" s="10" t="s">
        <v>279</v>
      </c>
      <c r="K240" s="10">
        <v>35000</v>
      </c>
      <c r="L240" s="10">
        <v>140000</v>
      </c>
      <c r="M240" s="12" t="s">
        <v>230</v>
      </c>
    </row>
    <row r="241" spans="1:13" ht="16.8" x14ac:dyDescent="0.3">
      <c r="A241" s="7" t="s">
        <v>319</v>
      </c>
      <c r="B241" s="8">
        <v>44335</v>
      </c>
      <c r="C241" s="15" t="s">
        <v>271</v>
      </c>
      <c r="D241" s="10" t="s">
        <v>222</v>
      </c>
      <c r="E241">
        <v>2</v>
      </c>
      <c r="F241">
        <v>49000</v>
      </c>
      <c r="G241">
        <v>55000</v>
      </c>
      <c r="H241">
        <v>13</v>
      </c>
      <c r="I241">
        <v>55000</v>
      </c>
      <c r="J241" s="10" t="s">
        <v>279</v>
      </c>
      <c r="K241" s="10">
        <v>55000</v>
      </c>
      <c r="L241" s="10">
        <v>110000</v>
      </c>
      <c r="M241" s="12" t="s">
        <v>233</v>
      </c>
    </row>
    <row r="242" spans="1:13" ht="16.8" x14ac:dyDescent="0.3">
      <c r="A242" s="7" t="s">
        <v>320</v>
      </c>
      <c r="B242" s="8">
        <v>45071</v>
      </c>
      <c r="C242" s="15" t="s">
        <v>274</v>
      </c>
      <c r="D242" s="10" t="s">
        <v>223</v>
      </c>
      <c r="E242">
        <v>5</v>
      </c>
      <c r="F242">
        <v>39000</v>
      </c>
      <c r="G242">
        <v>69000</v>
      </c>
      <c r="H242">
        <v>7</v>
      </c>
      <c r="I242">
        <v>69000</v>
      </c>
      <c r="J242" s="10" t="s">
        <v>279</v>
      </c>
      <c r="K242" s="10">
        <v>69000</v>
      </c>
      <c r="L242" s="10">
        <v>345000</v>
      </c>
      <c r="M242" s="12" t="s">
        <v>257</v>
      </c>
    </row>
    <row r="243" spans="1:13" ht="16.8" x14ac:dyDescent="0.3">
      <c r="A243" s="7" t="s">
        <v>321</v>
      </c>
      <c r="B243" s="8">
        <v>45058</v>
      </c>
      <c r="C243" s="15" t="s">
        <v>272</v>
      </c>
      <c r="D243" s="10" t="s">
        <v>223</v>
      </c>
      <c r="E243">
        <v>5</v>
      </c>
      <c r="F243">
        <v>65000</v>
      </c>
      <c r="G243">
        <v>59000</v>
      </c>
      <c r="H243">
        <v>8</v>
      </c>
      <c r="I243">
        <v>59000</v>
      </c>
      <c r="J243" s="10" t="s">
        <v>279</v>
      </c>
      <c r="K243" s="10">
        <v>59000</v>
      </c>
      <c r="L243" s="10">
        <v>295000</v>
      </c>
      <c r="M243" s="12" t="s">
        <v>234</v>
      </c>
    </row>
    <row r="244" spans="1:13" ht="16.8" x14ac:dyDescent="0.3">
      <c r="A244" s="7" t="s">
        <v>322</v>
      </c>
      <c r="B244" s="8">
        <v>44715</v>
      </c>
      <c r="C244" s="15" t="s">
        <v>271</v>
      </c>
      <c r="D244" s="10" t="s">
        <v>222</v>
      </c>
      <c r="E244">
        <v>3</v>
      </c>
      <c r="F244">
        <v>59000</v>
      </c>
      <c r="G244">
        <v>65000</v>
      </c>
      <c r="H244">
        <v>13</v>
      </c>
      <c r="I244">
        <v>51330</v>
      </c>
      <c r="J244" s="10" t="s">
        <v>278</v>
      </c>
      <c r="K244" s="10">
        <v>51330</v>
      </c>
      <c r="L244" s="10">
        <v>153990</v>
      </c>
      <c r="M244" s="12" t="s">
        <v>252</v>
      </c>
    </row>
    <row r="245" spans="1:13" ht="16.8" x14ac:dyDescent="0.3">
      <c r="A245" s="7" t="s">
        <v>323</v>
      </c>
      <c r="B245" s="8">
        <v>44660</v>
      </c>
      <c r="C245" s="15" t="s">
        <v>5</v>
      </c>
      <c r="D245" s="10" t="s">
        <v>224</v>
      </c>
      <c r="E245">
        <v>5</v>
      </c>
      <c r="F245">
        <v>75000</v>
      </c>
      <c r="G245">
        <v>59000</v>
      </c>
      <c r="H245">
        <v>14</v>
      </c>
      <c r="I245">
        <v>59000</v>
      </c>
      <c r="J245" s="10" t="s">
        <v>279</v>
      </c>
      <c r="K245" s="10">
        <v>59000</v>
      </c>
      <c r="L245" s="10">
        <v>295000</v>
      </c>
      <c r="M245" s="12" t="s">
        <v>249</v>
      </c>
    </row>
    <row r="246" spans="1:13" ht="16.8" x14ac:dyDescent="0.3">
      <c r="A246" s="7" t="s">
        <v>324</v>
      </c>
      <c r="B246" s="8">
        <v>44951</v>
      </c>
      <c r="C246" s="15" t="s">
        <v>4</v>
      </c>
      <c r="D246" s="10" t="s">
        <v>222</v>
      </c>
      <c r="E246">
        <v>4</v>
      </c>
      <c r="F246">
        <v>39000</v>
      </c>
      <c r="G246">
        <v>69000</v>
      </c>
      <c r="H246">
        <v>13</v>
      </c>
      <c r="I246">
        <v>33930</v>
      </c>
      <c r="J246" s="10" t="s">
        <v>278</v>
      </c>
      <c r="K246" s="10">
        <v>33930</v>
      </c>
      <c r="L246" s="10">
        <v>135720</v>
      </c>
      <c r="M246" s="12" t="s">
        <v>232</v>
      </c>
    </row>
    <row r="247" spans="1:13" ht="16.8" x14ac:dyDescent="0.3">
      <c r="A247" s="7" t="s">
        <v>325</v>
      </c>
      <c r="B247" s="8">
        <v>44365</v>
      </c>
      <c r="C247" s="15" t="s">
        <v>6</v>
      </c>
      <c r="D247" s="10" t="s">
        <v>222</v>
      </c>
      <c r="E247">
        <v>4</v>
      </c>
      <c r="F247">
        <v>69000</v>
      </c>
      <c r="G247">
        <v>59000</v>
      </c>
      <c r="H247">
        <v>11</v>
      </c>
      <c r="I247">
        <v>59000</v>
      </c>
      <c r="J247" s="10" t="s">
        <v>279</v>
      </c>
      <c r="K247" s="10">
        <v>59000</v>
      </c>
      <c r="L247" s="10">
        <v>236000</v>
      </c>
      <c r="M247" s="12" t="s">
        <v>21</v>
      </c>
    </row>
    <row r="248" spans="1:13" ht="16.8" x14ac:dyDescent="0.3">
      <c r="A248" s="7" t="s">
        <v>326</v>
      </c>
      <c r="B248" s="8">
        <v>44259</v>
      </c>
      <c r="C248" s="15" t="s">
        <v>273</v>
      </c>
      <c r="D248" s="10" t="s">
        <v>222</v>
      </c>
      <c r="E248">
        <v>2</v>
      </c>
      <c r="F248">
        <v>65000</v>
      </c>
      <c r="G248">
        <v>65000</v>
      </c>
      <c r="H248">
        <v>10</v>
      </c>
      <c r="I248">
        <v>58500</v>
      </c>
      <c r="J248" s="10" t="s">
        <v>278</v>
      </c>
      <c r="K248" s="10">
        <v>58500</v>
      </c>
      <c r="L248" s="10">
        <v>117000</v>
      </c>
      <c r="M248" s="12" t="s">
        <v>13</v>
      </c>
    </row>
    <row r="249" spans="1:13" ht="16.8" x14ac:dyDescent="0.3">
      <c r="A249" s="7" t="s">
        <v>327</v>
      </c>
      <c r="B249" s="8">
        <v>45115</v>
      </c>
      <c r="C249" s="15" t="s">
        <v>274</v>
      </c>
      <c r="D249" s="10" t="s">
        <v>224</v>
      </c>
      <c r="E249">
        <v>5</v>
      </c>
      <c r="F249">
        <v>35000</v>
      </c>
      <c r="G249">
        <v>69000</v>
      </c>
      <c r="H249">
        <v>8</v>
      </c>
      <c r="I249">
        <v>69000</v>
      </c>
      <c r="J249" s="10" t="s">
        <v>279</v>
      </c>
      <c r="K249" s="10">
        <v>69000</v>
      </c>
      <c r="L249" s="10">
        <v>345000</v>
      </c>
      <c r="M249" s="12" t="s">
        <v>259</v>
      </c>
    </row>
    <row r="250" spans="1:13" ht="16.8" x14ac:dyDescent="0.3">
      <c r="A250" s="7" t="s">
        <v>328</v>
      </c>
      <c r="B250" s="8">
        <v>44350</v>
      </c>
      <c r="C250" s="15" t="s">
        <v>5</v>
      </c>
      <c r="D250" s="10" t="s">
        <v>224</v>
      </c>
      <c r="E250">
        <v>2</v>
      </c>
      <c r="F250">
        <v>65000</v>
      </c>
      <c r="G250">
        <v>59000</v>
      </c>
      <c r="H250">
        <v>7</v>
      </c>
      <c r="I250">
        <v>59000</v>
      </c>
      <c r="J250" s="10" t="s">
        <v>279</v>
      </c>
      <c r="K250" s="10">
        <v>59000</v>
      </c>
      <c r="L250" s="10">
        <v>118000</v>
      </c>
      <c r="M250" s="12" t="s">
        <v>245</v>
      </c>
    </row>
    <row r="251" spans="1:13" ht="16.8" x14ac:dyDescent="0.3">
      <c r="A251" s="7" t="s">
        <v>329</v>
      </c>
      <c r="B251" s="8">
        <v>44849</v>
      </c>
      <c r="C251" s="15" t="s">
        <v>274</v>
      </c>
      <c r="D251" s="10" t="s">
        <v>223</v>
      </c>
      <c r="E251">
        <v>1</v>
      </c>
      <c r="F251">
        <v>49000</v>
      </c>
      <c r="G251">
        <v>69000</v>
      </c>
      <c r="H251">
        <v>5</v>
      </c>
      <c r="I251">
        <v>46550</v>
      </c>
      <c r="J251" s="10" t="s">
        <v>278</v>
      </c>
      <c r="K251" s="10">
        <v>46550</v>
      </c>
      <c r="L251" s="10">
        <v>46550</v>
      </c>
      <c r="M251" s="12" t="s">
        <v>229</v>
      </c>
    </row>
    <row r="252" spans="1:13" ht="16.8" x14ac:dyDescent="0.3">
      <c r="A252" s="7" t="s">
        <v>330</v>
      </c>
      <c r="B252" s="8">
        <v>44616</v>
      </c>
      <c r="C252" s="15" t="s">
        <v>3</v>
      </c>
      <c r="D252" s="10" t="s">
        <v>224</v>
      </c>
      <c r="E252">
        <v>2</v>
      </c>
      <c r="F252">
        <v>65000</v>
      </c>
      <c r="G252">
        <v>65000</v>
      </c>
      <c r="H252">
        <v>9</v>
      </c>
      <c r="I252">
        <v>65000</v>
      </c>
      <c r="J252" s="10" t="s">
        <v>279</v>
      </c>
      <c r="K252" s="10">
        <v>65000</v>
      </c>
      <c r="L252" s="10">
        <v>130000</v>
      </c>
      <c r="M252" s="12" t="s">
        <v>239</v>
      </c>
    </row>
    <row r="253" spans="1:13" ht="16.8" x14ac:dyDescent="0.3">
      <c r="A253" s="7" t="s">
        <v>331</v>
      </c>
      <c r="B253" s="8">
        <v>44704</v>
      </c>
      <c r="C253" s="15" t="s">
        <v>273</v>
      </c>
      <c r="D253" s="10" t="s">
        <v>223</v>
      </c>
      <c r="E253">
        <v>4</v>
      </c>
      <c r="F253">
        <v>39000</v>
      </c>
      <c r="G253">
        <v>35000</v>
      </c>
      <c r="H253">
        <v>10</v>
      </c>
      <c r="I253">
        <v>35000</v>
      </c>
      <c r="J253" s="10" t="s">
        <v>279</v>
      </c>
      <c r="K253" s="10">
        <v>35000</v>
      </c>
      <c r="L253" s="10">
        <v>140000</v>
      </c>
      <c r="M253" s="12" t="s">
        <v>255</v>
      </c>
    </row>
    <row r="254" spans="1:13" ht="16.8" x14ac:dyDescent="0.3">
      <c r="A254" s="7" t="s">
        <v>332</v>
      </c>
      <c r="B254" s="8">
        <v>44581</v>
      </c>
      <c r="C254" s="15" t="s">
        <v>6</v>
      </c>
      <c r="D254" s="10" t="s">
        <v>224</v>
      </c>
      <c r="E254">
        <v>3</v>
      </c>
      <c r="F254">
        <v>35000</v>
      </c>
      <c r="G254">
        <v>55000</v>
      </c>
      <c r="H254">
        <v>6</v>
      </c>
      <c r="I254">
        <v>32900</v>
      </c>
      <c r="J254" s="10" t="s">
        <v>278</v>
      </c>
      <c r="K254" s="10">
        <v>32900</v>
      </c>
      <c r="L254" s="10">
        <v>98700</v>
      </c>
      <c r="M254" s="12" t="s">
        <v>15</v>
      </c>
    </row>
    <row r="255" spans="1:13" ht="16.8" x14ac:dyDescent="0.3">
      <c r="A255" s="7" t="s">
        <v>333</v>
      </c>
      <c r="B255" s="8">
        <v>44218</v>
      </c>
      <c r="C255" s="15" t="s">
        <v>3</v>
      </c>
      <c r="D255" s="10" t="s">
        <v>223</v>
      </c>
      <c r="E255">
        <v>5</v>
      </c>
      <c r="F255">
        <v>55000</v>
      </c>
      <c r="G255">
        <v>65000</v>
      </c>
      <c r="H255">
        <v>10</v>
      </c>
      <c r="I255">
        <v>49500</v>
      </c>
      <c r="J255" s="10" t="s">
        <v>278</v>
      </c>
      <c r="K255" s="10">
        <v>49500</v>
      </c>
      <c r="L255" s="10">
        <v>247500</v>
      </c>
      <c r="M255" s="12" t="s">
        <v>229</v>
      </c>
    </row>
    <row r="256" spans="1:13" ht="16.8" x14ac:dyDescent="0.3">
      <c r="A256" s="7" t="s">
        <v>334</v>
      </c>
      <c r="B256" s="8">
        <v>44445</v>
      </c>
      <c r="C256" s="15" t="s">
        <v>273</v>
      </c>
      <c r="D256" s="10" t="s">
        <v>224</v>
      </c>
      <c r="E256">
        <v>4</v>
      </c>
      <c r="F256">
        <v>45000</v>
      </c>
      <c r="G256">
        <v>35000</v>
      </c>
      <c r="H256">
        <v>13</v>
      </c>
      <c r="I256">
        <v>35000</v>
      </c>
      <c r="J256" s="10" t="s">
        <v>279</v>
      </c>
      <c r="K256" s="10">
        <v>35000</v>
      </c>
      <c r="L256" s="10">
        <v>140000</v>
      </c>
      <c r="M256" s="12" t="s">
        <v>260</v>
      </c>
    </row>
    <row r="257" spans="1:13" ht="16.8" x14ac:dyDescent="0.3">
      <c r="A257" s="7" t="s">
        <v>335</v>
      </c>
      <c r="B257" s="8">
        <v>44792</v>
      </c>
      <c r="C257" s="15" t="s">
        <v>4</v>
      </c>
      <c r="D257" s="10" t="s">
        <v>223</v>
      </c>
      <c r="E257">
        <v>3</v>
      </c>
      <c r="F257">
        <v>65000</v>
      </c>
      <c r="G257">
        <v>49000</v>
      </c>
      <c r="H257">
        <v>12</v>
      </c>
      <c r="I257">
        <v>49000</v>
      </c>
      <c r="J257" s="10" t="s">
        <v>279</v>
      </c>
      <c r="K257" s="10">
        <v>49000</v>
      </c>
      <c r="L257" s="10">
        <v>147000</v>
      </c>
      <c r="M257" s="12" t="s">
        <v>17</v>
      </c>
    </row>
    <row r="258" spans="1:13" ht="16.8" x14ac:dyDescent="0.3">
      <c r="A258" s="7" t="s">
        <v>336</v>
      </c>
      <c r="B258" s="8">
        <v>44923</v>
      </c>
      <c r="C258" s="15" t="s">
        <v>3</v>
      </c>
      <c r="D258" s="10" t="s">
        <v>223</v>
      </c>
      <c r="E258">
        <v>4</v>
      </c>
      <c r="F258">
        <v>39000</v>
      </c>
      <c r="G258">
        <v>65000</v>
      </c>
      <c r="H258">
        <v>11</v>
      </c>
      <c r="I258">
        <v>65000</v>
      </c>
      <c r="J258" s="10" t="s">
        <v>279</v>
      </c>
      <c r="K258" s="10">
        <v>65000</v>
      </c>
      <c r="L258" s="10">
        <v>260000</v>
      </c>
      <c r="M258" s="12" t="s">
        <v>12</v>
      </c>
    </row>
    <row r="259" spans="1:13" ht="16.8" x14ac:dyDescent="0.3">
      <c r="A259" s="7" t="s">
        <v>337</v>
      </c>
      <c r="B259" s="8">
        <v>44863</v>
      </c>
      <c r="C259" s="15" t="s">
        <v>4</v>
      </c>
      <c r="D259" s="10" t="s">
        <v>224</v>
      </c>
      <c r="E259">
        <v>2</v>
      </c>
      <c r="F259">
        <v>55000</v>
      </c>
      <c r="G259">
        <v>59000</v>
      </c>
      <c r="H259">
        <v>15</v>
      </c>
      <c r="I259">
        <v>59000</v>
      </c>
      <c r="J259" s="10" t="s">
        <v>279</v>
      </c>
      <c r="K259" s="10">
        <v>59000</v>
      </c>
      <c r="L259" s="10">
        <v>118000</v>
      </c>
      <c r="M259" s="12" t="s">
        <v>245</v>
      </c>
    </row>
    <row r="260" spans="1:13" ht="16.8" x14ac:dyDescent="0.3">
      <c r="A260" s="7" t="s">
        <v>338</v>
      </c>
      <c r="B260" s="8">
        <v>45292</v>
      </c>
      <c r="C260" s="15" t="s">
        <v>5</v>
      </c>
      <c r="D260" s="10" t="s">
        <v>224</v>
      </c>
      <c r="E260">
        <v>5</v>
      </c>
      <c r="F260">
        <v>59000</v>
      </c>
      <c r="G260">
        <v>75000</v>
      </c>
      <c r="H260">
        <v>7</v>
      </c>
      <c r="I260">
        <v>75000</v>
      </c>
      <c r="J260" s="10" t="s">
        <v>279</v>
      </c>
      <c r="K260" s="10">
        <v>75000</v>
      </c>
      <c r="L260" s="10">
        <v>375000</v>
      </c>
      <c r="M260" s="12" t="s">
        <v>228</v>
      </c>
    </row>
    <row r="261" spans="1:13" ht="16.8" x14ac:dyDescent="0.3">
      <c r="A261" s="7" t="s">
        <v>339</v>
      </c>
      <c r="B261" s="8">
        <v>45290</v>
      </c>
      <c r="C261" s="15" t="s">
        <v>274</v>
      </c>
      <c r="D261" s="10" t="s">
        <v>222</v>
      </c>
      <c r="E261">
        <v>4</v>
      </c>
      <c r="F261">
        <v>65000</v>
      </c>
      <c r="G261">
        <v>49000</v>
      </c>
      <c r="H261">
        <v>9</v>
      </c>
      <c r="I261">
        <v>49000</v>
      </c>
      <c r="J261" s="10" t="s">
        <v>279</v>
      </c>
      <c r="K261" s="10">
        <v>49000</v>
      </c>
      <c r="L261" s="10">
        <v>196000</v>
      </c>
      <c r="M261" s="12" t="s">
        <v>228</v>
      </c>
    </row>
    <row r="262" spans="1:13" ht="16.8" x14ac:dyDescent="0.3">
      <c r="A262" s="7" t="s">
        <v>340</v>
      </c>
      <c r="B262" s="8">
        <v>44642</v>
      </c>
      <c r="C262" s="15" t="s">
        <v>5</v>
      </c>
      <c r="D262" s="10" t="s">
        <v>222</v>
      </c>
      <c r="E262">
        <v>4</v>
      </c>
      <c r="F262">
        <v>65000</v>
      </c>
      <c r="G262">
        <v>69000</v>
      </c>
      <c r="H262">
        <v>14</v>
      </c>
      <c r="I262">
        <v>69000</v>
      </c>
      <c r="J262" s="10" t="s">
        <v>279</v>
      </c>
      <c r="K262" s="10">
        <v>69000</v>
      </c>
      <c r="L262" s="10">
        <v>276000</v>
      </c>
      <c r="M262" s="12" t="s">
        <v>13</v>
      </c>
    </row>
    <row r="263" spans="1:13" ht="16.8" x14ac:dyDescent="0.3">
      <c r="A263" s="7" t="s">
        <v>341</v>
      </c>
      <c r="B263" s="8">
        <v>44476</v>
      </c>
      <c r="C263" s="15" t="s">
        <v>274</v>
      </c>
      <c r="D263" s="10" t="s">
        <v>224</v>
      </c>
      <c r="E263">
        <v>1</v>
      </c>
      <c r="F263">
        <v>75000</v>
      </c>
      <c r="G263">
        <v>35000</v>
      </c>
      <c r="H263">
        <v>7</v>
      </c>
      <c r="I263">
        <v>69750</v>
      </c>
      <c r="J263" s="10" t="s">
        <v>278</v>
      </c>
      <c r="K263" s="10">
        <v>69750</v>
      </c>
      <c r="L263" s="10">
        <v>69750</v>
      </c>
      <c r="M263" s="12" t="s">
        <v>259</v>
      </c>
    </row>
    <row r="264" spans="1:13" ht="16.8" x14ac:dyDescent="0.3">
      <c r="A264" s="7" t="s">
        <v>342</v>
      </c>
      <c r="B264" s="8">
        <v>44617</v>
      </c>
      <c r="C264" s="15" t="s">
        <v>5</v>
      </c>
      <c r="D264" s="10" t="s">
        <v>224</v>
      </c>
      <c r="E264">
        <v>3</v>
      </c>
      <c r="F264">
        <v>65000</v>
      </c>
      <c r="G264">
        <v>65000</v>
      </c>
      <c r="H264">
        <v>9</v>
      </c>
      <c r="I264">
        <v>65000</v>
      </c>
      <c r="J264" s="10" t="s">
        <v>279</v>
      </c>
      <c r="K264" s="10">
        <v>65000</v>
      </c>
      <c r="L264" s="10">
        <v>195000</v>
      </c>
      <c r="M264" s="12" t="s">
        <v>262</v>
      </c>
    </row>
    <row r="265" spans="1:13" ht="16.8" x14ac:dyDescent="0.3">
      <c r="A265" s="7" t="s">
        <v>343</v>
      </c>
      <c r="B265" s="8">
        <v>44257</v>
      </c>
      <c r="C265" s="15" t="s">
        <v>272</v>
      </c>
      <c r="D265" s="10" t="s">
        <v>223</v>
      </c>
      <c r="E265">
        <v>5</v>
      </c>
      <c r="F265">
        <v>65000</v>
      </c>
      <c r="G265">
        <v>35000</v>
      </c>
      <c r="H265">
        <v>7</v>
      </c>
      <c r="I265">
        <v>35000</v>
      </c>
      <c r="J265" s="10" t="s">
        <v>279</v>
      </c>
      <c r="K265" s="10">
        <v>35000</v>
      </c>
      <c r="L265" s="10">
        <v>175000</v>
      </c>
      <c r="M265" s="12" t="s">
        <v>225</v>
      </c>
    </row>
    <row r="266" spans="1:13" ht="16.8" x14ac:dyDescent="0.3">
      <c r="A266" s="7" t="s">
        <v>344</v>
      </c>
      <c r="B266" s="8">
        <v>44250</v>
      </c>
      <c r="C266" s="15" t="s">
        <v>274</v>
      </c>
      <c r="D266" s="10" t="s">
        <v>222</v>
      </c>
      <c r="E266">
        <v>3</v>
      </c>
      <c r="F266">
        <v>65000</v>
      </c>
      <c r="G266">
        <v>39000</v>
      </c>
      <c r="H266">
        <v>9</v>
      </c>
      <c r="I266">
        <v>59150</v>
      </c>
      <c r="J266" s="10" t="s">
        <v>278</v>
      </c>
      <c r="K266" s="10">
        <v>59150</v>
      </c>
      <c r="L266" s="10">
        <v>177450</v>
      </c>
      <c r="M266" s="12" t="s">
        <v>21</v>
      </c>
    </row>
    <row r="267" spans="1:13" ht="16.8" x14ac:dyDescent="0.3">
      <c r="A267" s="7" t="s">
        <v>345</v>
      </c>
      <c r="B267" s="8">
        <v>45080</v>
      </c>
      <c r="C267" s="15" t="s">
        <v>270</v>
      </c>
      <c r="D267" s="10" t="s">
        <v>223</v>
      </c>
      <c r="E267">
        <v>3</v>
      </c>
      <c r="F267">
        <v>49000</v>
      </c>
      <c r="G267">
        <v>65000</v>
      </c>
      <c r="H267">
        <v>5</v>
      </c>
      <c r="I267">
        <v>46550</v>
      </c>
      <c r="J267" s="10" t="s">
        <v>278</v>
      </c>
      <c r="K267" s="10">
        <v>46550</v>
      </c>
      <c r="L267" s="10">
        <v>139650</v>
      </c>
      <c r="M267" s="12" t="s">
        <v>19</v>
      </c>
    </row>
    <row r="268" spans="1:13" ht="16.8" x14ac:dyDescent="0.3">
      <c r="A268" s="7" t="s">
        <v>346</v>
      </c>
      <c r="B268" s="8">
        <v>45142</v>
      </c>
      <c r="C268" s="15" t="s">
        <v>272</v>
      </c>
      <c r="D268" s="10" t="s">
        <v>223</v>
      </c>
      <c r="E268">
        <v>1</v>
      </c>
      <c r="F268">
        <v>69000</v>
      </c>
      <c r="G268">
        <v>65000</v>
      </c>
      <c r="H268">
        <v>7</v>
      </c>
      <c r="I268">
        <v>65000</v>
      </c>
      <c r="J268" s="10" t="s">
        <v>279</v>
      </c>
      <c r="K268" s="10">
        <v>65000</v>
      </c>
      <c r="L268" s="10">
        <v>65000</v>
      </c>
      <c r="M268" s="12" t="s">
        <v>12</v>
      </c>
    </row>
    <row r="269" spans="1:13" ht="16.8" x14ac:dyDescent="0.3">
      <c r="A269" s="7" t="s">
        <v>347</v>
      </c>
      <c r="B269" s="8">
        <v>44861</v>
      </c>
      <c r="C269" s="15" t="s">
        <v>5</v>
      </c>
      <c r="D269" s="10" t="s">
        <v>223</v>
      </c>
      <c r="E269">
        <v>3</v>
      </c>
      <c r="F269">
        <v>59000</v>
      </c>
      <c r="G269">
        <v>69000</v>
      </c>
      <c r="H269">
        <v>10</v>
      </c>
      <c r="I269">
        <v>53100</v>
      </c>
      <c r="J269" s="10" t="s">
        <v>278</v>
      </c>
      <c r="K269" s="10">
        <v>53100</v>
      </c>
      <c r="L269" s="10">
        <v>159300</v>
      </c>
      <c r="M269" s="12" t="s">
        <v>14</v>
      </c>
    </row>
    <row r="270" spans="1:13" ht="16.8" x14ac:dyDescent="0.3">
      <c r="A270" s="7" t="s">
        <v>348</v>
      </c>
      <c r="B270" s="8">
        <v>44245</v>
      </c>
      <c r="C270" s="15" t="s">
        <v>5</v>
      </c>
      <c r="D270" s="10" t="s">
        <v>223</v>
      </c>
      <c r="E270">
        <v>4</v>
      </c>
      <c r="F270">
        <v>75000</v>
      </c>
      <c r="G270">
        <v>65000</v>
      </c>
      <c r="H270">
        <v>14</v>
      </c>
      <c r="I270">
        <v>65000</v>
      </c>
      <c r="J270" s="10" t="s">
        <v>279</v>
      </c>
      <c r="K270" s="10">
        <v>65000</v>
      </c>
      <c r="L270" s="10">
        <v>260000</v>
      </c>
      <c r="M270" s="12" t="s">
        <v>252</v>
      </c>
    </row>
    <row r="271" spans="1:13" ht="16.8" x14ac:dyDescent="0.3">
      <c r="A271" s="7" t="s">
        <v>349</v>
      </c>
      <c r="B271" s="8">
        <v>45055</v>
      </c>
      <c r="C271" s="15" t="s">
        <v>271</v>
      </c>
      <c r="D271" s="10" t="s">
        <v>224</v>
      </c>
      <c r="E271">
        <v>1</v>
      </c>
      <c r="F271">
        <v>59000</v>
      </c>
      <c r="G271">
        <v>39000</v>
      </c>
      <c r="H271">
        <v>8</v>
      </c>
      <c r="I271">
        <v>54280</v>
      </c>
      <c r="J271" s="10" t="s">
        <v>278</v>
      </c>
      <c r="K271" s="10">
        <v>54280</v>
      </c>
      <c r="L271" s="10">
        <v>54280</v>
      </c>
      <c r="M271" s="12" t="s">
        <v>241</v>
      </c>
    </row>
    <row r="272" spans="1:13" ht="16.8" x14ac:dyDescent="0.3">
      <c r="A272" s="7" t="s">
        <v>350</v>
      </c>
      <c r="B272" s="8">
        <v>44202</v>
      </c>
      <c r="C272" s="15" t="s">
        <v>4</v>
      </c>
      <c r="D272" s="10" t="s">
        <v>222</v>
      </c>
      <c r="E272">
        <v>2</v>
      </c>
      <c r="F272">
        <v>65000</v>
      </c>
      <c r="G272">
        <v>35000</v>
      </c>
      <c r="H272">
        <v>5</v>
      </c>
      <c r="I272">
        <v>35000</v>
      </c>
      <c r="J272" s="10" t="s">
        <v>279</v>
      </c>
      <c r="K272" s="10">
        <v>35000</v>
      </c>
      <c r="L272" s="10">
        <v>70000</v>
      </c>
      <c r="M272" s="12" t="s">
        <v>10</v>
      </c>
    </row>
    <row r="273" spans="1:13" ht="16.8" x14ac:dyDescent="0.3">
      <c r="A273" s="7" t="s">
        <v>351</v>
      </c>
      <c r="B273" s="8">
        <v>44215</v>
      </c>
      <c r="C273" s="15" t="s">
        <v>4</v>
      </c>
      <c r="D273" s="10" t="s">
        <v>222</v>
      </c>
      <c r="E273">
        <v>2</v>
      </c>
      <c r="F273">
        <v>75000</v>
      </c>
      <c r="G273">
        <v>49000</v>
      </c>
      <c r="H273">
        <v>14</v>
      </c>
      <c r="I273">
        <v>64500</v>
      </c>
      <c r="J273" s="10" t="s">
        <v>278</v>
      </c>
      <c r="K273" s="10">
        <v>64500</v>
      </c>
      <c r="L273" s="10">
        <v>129000</v>
      </c>
      <c r="M273" s="12" t="s">
        <v>247</v>
      </c>
    </row>
    <row r="274" spans="1:13" ht="16.8" x14ac:dyDescent="0.3">
      <c r="A274" s="7" t="s">
        <v>352</v>
      </c>
      <c r="B274" s="8">
        <v>45169</v>
      </c>
      <c r="C274" s="15" t="s">
        <v>271</v>
      </c>
      <c r="D274" s="10" t="s">
        <v>224</v>
      </c>
      <c r="E274">
        <v>5</v>
      </c>
      <c r="F274">
        <v>39000</v>
      </c>
      <c r="G274">
        <v>59000</v>
      </c>
      <c r="H274">
        <v>5</v>
      </c>
      <c r="I274">
        <v>59000</v>
      </c>
      <c r="J274" s="10" t="s">
        <v>279</v>
      </c>
      <c r="K274" s="10">
        <v>59000</v>
      </c>
      <c r="L274" s="10">
        <v>295000</v>
      </c>
      <c r="M274" s="12" t="s">
        <v>246</v>
      </c>
    </row>
    <row r="275" spans="1:13" ht="16.8" x14ac:dyDescent="0.3">
      <c r="A275" s="7" t="s">
        <v>353</v>
      </c>
      <c r="B275" s="8">
        <v>44854</v>
      </c>
      <c r="C275" s="15" t="s">
        <v>274</v>
      </c>
      <c r="D275" s="10" t="s">
        <v>223</v>
      </c>
      <c r="E275">
        <v>5</v>
      </c>
      <c r="F275">
        <v>49000</v>
      </c>
      <c r="G275">
        <v>65000</v>
      </c>
      <c r="H275">
        <v>9</v>
      </c>
      <c r="I275">
        <v>65000</v>
      </c>
      <c r="J275" s="10" t="s">
        <v>279</v>
      </c>
      <c r="K275" s="10">
        <v>65000</v>
      </c>
      <c r="L275" s="10">
        <v>325000</v>
      </c>
      <c r="M275" s="12" t="s">
        <v>16</v>
      </c>
    </row>
    <row r="276" spans="1:13" ht="16.8" x14ac:dyDescent="0.3">
      <c r="A276" s="7" t="s">
        <v>354</v>
      </c>
      <c r="B276" s="8">
        <v>44363</v>
      </c>
      <c r="C276" s="15" t="s">
        <v>275</v>
      </c>
      <c r="D276" s="10" t="s">
        <v>222</v>
      </c>
      <c r="E276">
        <v>5</v>
      </c>
      <c r="F276">
        <v>69000</v>
      </c>
      <c r="G276">
        <v>39000</v>
      </c>
      <c r="H276">
        <v>14</v>
      </c>
      <c r="I276">
        <v>39000</v>
      </c>
      <c r="J276" s="10" t="s">
        <v>279</v>
      </c>
      <c r="K276" s="10">
        <v>39000</v>
      </c>
      <c r="L276" s="10">
        <v>195000</v>
      </c>
      <c r="M276" s="12" t="s">
        <v>230</v>
      </c>
    </row>
    <row r="277" spans="1:13" ht="16.8" x14ac:dyDescent="0.3">
      <c r="A277" s="7" t="s">
        <v>355</v>
      </c>
      <c r="B277" s="8">
        <v>44613</v>
      </c>
      <c r="C277" s="15" t="s">
        <v>270</v>
      </c>
      <c r="D277" s="10" t="s">
        <v>222</v>
      </c>
      <c r="E277">
        <v>3</v>
      </c>
      <c r="F277">
        <v>49000</v>
      </c>
      <c r="G277">
        <v>35000</v>
      </c>
      <c r="H277">
        <v>9</v>
      </c>
      <c r="I277">
        <v>35000</v>
      </c>
      <c r="J277" s="10" t="s">
        <v>279</v>
      </c>
      <c r="K277" s="10">
        <v>35000</v>
      </c>
      <c r="L277" s="10">
        <v>105000</v>
      </c>
      <c r="M277" s="12" t="s">
        <v>227</v>
      </c>
    </row>
    <row r="278" spans="1:13" ht="16.8" x14ac:dyDescent="0.3">
      <c r="A278" s="7" t="s">
        <v>356</v>
      </c>
      <c r="B278" s="8">
        <v>44960</v>
      </c>
      <c r="C278" s="15" t="s">
        <v>271</v>
      </c>
      <c r="D278" s="10" t="s">
        <v>224</v>
      </c>
      <c r="E278">
        <v>1</v>
      </c>
      <c r="F278">
        <v>59000</v>
      </c>
      <c r="G278">
        <v>65000</v>
      </c>
      <c r="H278">
        <v>8</v>
      </c>
      <c r="I278">
        <v>54280</v>
      </c>
      <c r="J278" s="10" t="s">
        <v>278</v>
      </c>
      <c r="K278" s="10">
        <v>54280</v>
      </c>
      <c r="L278" s="10">
        <v>54280</v>
      </c>
      <c r="M278" s="12" t="s">
        <v>246</v>
      </c>
    </row>
    <row r="279" spans="1:13" ht="16.8" x14ac:dyDescent="0.3">
      <c r="A279" s="7" t="s">
        <v>357</v>
      </c>
      <c r="B279" s="8">
        <v>44479</v>
      </c>
      <c r="C279" s="15" t="s">
        <v>275</v>
      </c>
      <c r="D279" s="10" t="s">
        <v>222</v>
      </c>
      <c r="E279">
        <v>4</v>
      </c>
      <c r="F279">
        <v>69000</v>
      </c>
      <c r="G279">
        <v>49000</v>
      </c>
      <c r="H279">
        <v>14</v>
      </c>
      <c r="I279">
        <v>49000</v>
      </c>
      <c r="J279" s="10" t="s">
        <v>279</v>
      </c>
      <c r="K279" s="10">
        <v>49000</v>
      </c>
      <c r="L279" s="10">
        <v>196000</v>
      </c>
      <c r="M279" s="12" t="s">
        <v>260</v>
      </c>
    </row>
    <row r="280" spans="1:13" ht="16.8" x14ac:dyDescent="0.3">
      <c r="A280" s="7" t="s">
        <v>358</v>
      </c>
      <c r="B280" s="8">
        <v>44631</v>
      </c>
      <c r="C280" s="15" t="s">
        <v>5</v>
      </c>
      <c r="D280" s="10" t="s">
        <v>224</v>
      </c>
      <c r="E280">
        <v>5</v>
      </c>
      <c r="F280">
        <v>59000</v>
      </c>
      <c r="G280">
        <v>49000</v>
      </c>
      <c r="H280">
        <v>12</v>
      </c>
      <c r="I280">
        <v>51920</v>
      </c>
      <c r="J280" s="10" t="s">
        <v>278</v>
      </c>
      <c r="K280" s="10">
        <v>51920</v>
      </c>
      <c r="L280" s="10">
        <v>259600</v>
      </c>
      <c r="M280" s="12" t="s">
        <v>246</v>
      </c>
    </row>
    <row r="281" spans="1:13" ht="16.8" x14ac:dyDescent="0.3">
      <c r="A281" s="7" t="s">
        <v>359</v>
      </c>
      <c r="B281" s="8">
        <v>45049</v>
      </c>
      <c r="C281" s="15" t="s">
        <v>275</v>
      </c>
      <c r="D281" s="10" t="s">
        <v>224</v>
      </c>
      <c r="E281">
        <v>4</v>
      </c>
      <c r="F281">
        <v>65000</v>
      </c>
      <c r="G281">
        <v>49000</v>
      </c>
      <c r="H281">
        <v>6</v>
      </c>
      <c r="I281">
        <v>49000</v>
      </c>
      <c r="J281" s="10" t="s">
        <v>279</v>
      </c>
      <c r="K281" s="10">
        <v>49000</v>
      </c>
      <c r="L281" s="10">
        <v>196000</v>
      </c>
      <c r="M281" s="12" t="s">
        <v>231</v>
      </c>
    </row>
    <row r="282" spans="1:13" ht="16.8" x14ac:dyDescent="0.3">
      <c r="A282" s="7" t="s">
        <v>360</v>
      </c>
      <c r="B282" s="8">
        <v>45017</v>
      </c>
      <c r="C282" s="15" t="s">
        <v>271</v>
      </c>
      <c r="D282" s="10" t="s">
        <v>224</v>
      </c>
      <c r="E282">
        <v>2</v>
      </c>
      <c r="F282">
        <v>49000</v>
      </c>
      <c r="G282">
        <v>65000</v>
      </c>
      <c r="H282">
        <v>10</v>
      </c>
      <c r="I282">
        <v>44100</v>
      </c>
      <c r="J282" s="10" t="s">
        <v>278</v>
      </c>
      <c r="K282" s="10">
        <v>44100</v>
      </c>
      <c r="L282" s="10">
        <v>88200</v>
      </c>
      <c r="M282" s="12" t="s">
        <v>248</v>
      </c>
    </row>
    <row r="283" spans="1:13" ht="16.8" x14ac:dyDescent="0.3">
      <c r="A283" s="7" t="s">
        <v>361</v>
      </c>
      <c r="B283" s="8">
        <v>45018</v>
      </c>
      <c r="C283" s="15" t="s">
        <v>3</v>
      </c>
      <c r="D283" s="10" t="s">
        <v>223</v>
      </c>
      <c r="E283">
        <v>5</v>
      </c>
      <c r="F283">
        <v>49000</v>
      </c>
      <c r="G283">
        <v>35000</v>
      </c>
      <c r="H283">
        <v>5</v>
      </c>
      <c r="I283">
        <v>35000</v>
      </c>
      <c r="J283" s="10" t="s">
        <v>279</v>
      </c>
      <c r="K283" s="10">
        <v>35000</v>
      </c>
      <c r="L283" s="10">
        <v>175000</v>
      </c>
      <c r="M283" s="12" t="s">
        <v>11</v>
      </c>
    </row>
    <row r="284" spans="1:13" ht="16.8" x14ac:dyDescent="0.3">
      <c r="A284" s="7" t="s">
        <v>362</v>
      </c>
      <c r="B284" s="8">
        <v>45270</v>
      </c>
      <c r="C284" s="15" t="s">
        <v>273</v>
      </c>
      <c r="D284" s="10" t="s">
        <v>223</v>
      </c>
      <c r="E284">
        <v>3</v>
      </c>
      <c r="F284">
        <v>65000</v>
      </c>
      <c r="G284">
        <v>59000</v>
      </c>
      <c r="H284">
        <v>5</v>
      </c>
      <c r="I284">
        <v>61750</v>
      </c>
      <c r="J284" s="10" t="s">
        <v>278</v>
      </c>
      <c r="K284" s="10">
        <v>61750</v>
      </c>
      <c r="L284" s="10">
        <v>185250</v>
      </c>
      <c r="M284" s="12" t="s">
        <v>233</v>
      </c>
    </row>
    <row r="285" spans="1:13" ht="16.8" x14ac:dyDescent="0.3">
      <c r="A285" s="7" t="s">
        <v>363</v>
      </c>
      <c r="B285" s="8">
        <v>44650</v>
      </c>
      <c r="C285" s="15" t="s">
        <v>271</v>
      </c>
      <c r="D285" s="10" t="s">
        <v>224</v>
      </c>
      <c r="E285">
        <v>5</v>
      </c>
      <c r="F285">
        <v>39000</v>
      </c>
      <c r="G285">
        <v>65000</v>
      </c>
      <c r="H285">
        <v>10</v>
      </c>
      <c r="I285">
        <v>65000</v>
      </c>
      <c r="J285" s="10" t="s">
        <v>279</v>
      </c>
      <c r="K285" s="10">
        <v>65000</v>
      </c>
      <c r="L285" s="10">
        <v>325000</v>
      </c>
      <c r="M285" s="12" t="s">
        <v>234</v>
      </c>
    </row>
    <row r="286" spans="1:13" ht="16.8" x14ac:dyDescent="0.3">
      <c r="A286" s="7" t="s">
        <v>364</v>
      </c>
      <c r="B286" s="8">
        <v>44967</v>
      </c>
      <c r="C286" s="15" t="s">
        <v>275</v>
      </c>
      <c r="D286" s="10" t="s">
        <v>223</v>
      </c>
      <c r="E286">
        <v>3</v>
      </c>
      <c r="F286">
        <v>49000</v>
      </c>
      <c r="G286">
        <v>65000</v>
      </c>
      <c r="H286">
        <v>11</v>
      </c>
      <c r="I286">
        <v>65000</v>
      </c>
      <c r="J286" s="10" t="s">
        <v>279</v>
      </c>
      <c r="K286" s="10">
        <v>65000</v>
      </c>
      <c r="L286" s="10">
        <v>195000</v>
      </c>
      <c r="M286" s="12" t="s">
        <v>20</v>
      </c>
    </row>
    <row r="287" spans="1:13" ht="16.8" x14ac:dyDescent="0.3">
      <c r="A287" s="7" t="s">
        <v>365</v>
      </c>
      <c r="B287" s="8">
        <v>44893</v>
      </c>
      <c r="C287" s="15" t="s">
        <v>3</v>
      </c>
      <c r="D287" s="10" t="s">
        <v>222</v>
      </c>
      <c r="E287">
        <v>5</v>
      </c>
      <c r="F287">
        <v>49000</v>
      </c>
      <c r="G287">
        <v>65000</v>
      </c>
      <c r="H287">
        <v>8</v>
      </c>
      <c r="I287">
        <v>45080</v>
      </c>
      <c r="J287" s="10" t="s">
        <v>278</v>
      </c>
      <c r="K287" s="10">
        <v>45080</v>
      </c>
      <c r="L287" s="10">
        <v>225400</v>
      </c>
      <c r="M287" s="12" t="s">
        <v>226</v>
      </c>
    </row>
    <row r="288" spans="1:13" ht="16.8" x14ac:dyDescent="0.3">
      <c r="A288" s="7" t="s">
        <v>366</v>
      </c>
      <c r="B288" s="8">
        <v>44773</v>
      </c>
      <c r="C288" s="15" t="s">
        <v>5</v>
      </c>
      <c r="D288" s="10" t="s">
        <v>222</v>
      </c>
      <c r="E288">
        <v>3</v>
      </c>
      <c r="F288">
        <v>35000</v>
      </c>
      <c r="G288">
        <v>49000</v>
      </c>
      <c r="H288">
        <v>13</v>
      </c>
      <c r="I288">
        <v>49000</v>
      </c>
      <c r="J288" s="10" t="s">
        <v>279</v>
      </c>
      <c r="K288" s="10">
        <v>49000</v>
      </c>
      <c r="L288" s="10">
        <v>147000</v>
      </c>
      <c r="M288" s="12" t="s">
        <v>13</v>
      </c>
    </row>
    <row r="289" spans="1:13" ht="16.8" x14ac:dyDescent="0.3">
      <c r="A289" s="7" t="s">
        <v>367</v>
      </c>
      <c r="B289" s="8">
        <v>45227</v>
      </c>
      <c r="C289" s="15" t="s">
        <v>272</v>
      </c>
      <c r="D289" s="10" t="s">
        <v>223</v>
      </c>
      <c r="E289">
        <v>2</v>
      </c>
      <c r="F289">
        <v>55000</v>
      </c>
      <c r="G289">
        <v>59000</v>
      </c>
      <c r="H289">
        <v>5</v>
      </c>
      <c r="I289">
        <v>59000</v>
      </c>
      <c r="J289" s="10" t="s">
        <v>279</v>
      </c>
      <c r="K289" s="10">
        <v>59000</v>
      </c>
      <c r="L289" s="10">
        <v>118000</v>
      </c>
      <c r="M289" s="12" t="s">
        <v>14</v>
      </c>
    </row>
    <row r="290" spans="1:13" ht="16.8" x14ac:dyDescent="0.3">
      <c r="A290" s="7" t="s">
        <v>368</v>
      </c>
      <c r="B290" s="8">
        <v>44911</v>
      </c>
      <c r="C290" s="15" t="s">
        <v>6</v>
      </c>
      <c r="D290" s="10" t="s">
        <v>222</v>
      </c>
      <c r="E290">
        <v>2</v>
      </c>
      <c r="F290">
        <v>59000</v>
      </c>
      <c r="G290">
        <v>75000</v>
      </c>
      <c r="H290">
        <v>8</v>
      </c>
      <c r="I290">
        <v>54280</v>
      </c>
      <c r="J290" s="10" t="s">
        <v>278</v>
      </c>
      <c r="K290" s="10">
        <v>54280</v>
      </c>
      <c r="L290" s="10">
        <v>108560</v>
      </c>
      <c r="M290" s="12" t="s">
        <v>225</v>
      </c>
    </row>
    <row r="291" spans="1:13" ht="16.8" x14ac:dyDescent="0.3">
      <c r="A291" s="7" t="s">
        <v>369</v>
      </c>
      <c r="B291" s="8">
        <v>44725</v>
      </c>
      <c r="C291" s="15" t="s">
        <v>5</v>
      </c>
      <c r="D291" s="10" t="s">
        <v>222</v>
      </c>
      <c r="E291">
        <v>1</v>
      </c>
      <c r="F291">
        <v>65000</v>
      </c>
      <c r="G291">
        <v>45000</v>
      </c>
      <c r="H291">
        <v>12</v>
      </c>
      <c r="I291">
        <v>57200</v>
      </c>
      <c r="J291" s="10" t="s">
        <v>278</v>
      </c>
      <c r="K291" s="10">
        <v>57200</v>
      </c>
      <c r="L291" s="10">
        <v>57200</v>
      </c>
      <c r="M291" s="12" t="s">
        <v>21</v>
      </c>
    </row>
    <row r="292" spans="1:13" ht="16.8" x14ac:dyDescent="0.3">
      <c r="A292" s="7" t="s">
        <v>370</v>
      </c>
      <c r="B292" s="8">
        <v>44315</v>
      </c>
      <c r="C292" s="15" t="s">
        <v>275</v>
      </c>
      <c r="D292" s="10" t="s">
        <v>222</v>
      </c>
      <c r="E292">
        <v>3</v>
      </c>
      <c r="F292">
        <v>59000</v>
      </c>
      <c r="G292">
        <v>59000</v>
      </c>
      <c r="H292">
        <v>9</v>
      </c>
      <c r="I292">
        <v>53690</v>
      </c>
      <c r="J292" s="10" t="s">
        <v>278</v>
      </c>
      <c r="K292" s="10">
        <v>53690</v>
      </c>
      <c r="L292" s="10">
        <v>161070</v>
      </c>
      <c r="M292" s="12" t="s">
        <v>262</v>
      </c>
    </row>
    <row r="293" spans="1:13" ht="16.8" x14ac:dyDescent="0.3">
      <c r="A293" s="7" t="s">
        <v>371</v>
      </c>
      <c r="B293" s="8">
        <v>44847</v>
      </c>
      <c r="C293" s="15" t="s">
        <v>4</v>
      </c>
      <c r="D293" s="10" t="s">
        <v>224</v>
      </c>
      <c r="E293">
        <v>2</v>
      </c>
      <c r="F293">
        <v>59000</v>
      </c>
      <c r="G293">
        <v>35000</v>
      </c>
      <c r="H293">
        <v>10</v>
      </c>
      <c r="I293">
        <v>53100</v>
      </c>
      <c r="J293" s="10" t="s">
        <v>278</v>
      </c>
      <c r="K293" s="10">
        <v>53100</v>
      </c>
      <c r="L293" s="10">
        <v>106200</v>
      </c>
      <c r="M293" s="12" t="s">
        <v>12</v>
      </c>
    </row>
    <row r="294" spans="1:13" ht="16.8" x14ac:dyDescent="0.3">
      <c r="A294" s="7" t="s">
        <v>372</v>
      </c>
      <c r="B294" s="8">
        <v>45025</v>
      </c>
      <c r="C294" s="15" t="s">
        <v>271</v>
      </c>
      <c r="D294" s="10" t="s">
        <v>224</v>
      </c>
      <c r="E294">
        <v>1</v>
      </c>
      <c r="F294">
        <v>49000</v>
      </c>
      <c r="G294">
        <v>39000</v>
      </c>
      <c r="H294">
        <v>9</v>
      </c>
      <c r="I294">
        <v>44590</v>
      </c>
      <c r="J294" s="10" t="s">
        <v>278</v>
      </c>
      <c r="K294" s="10">
        <v>44590</v>
      </c>
      <c r="L294" s="10">
        <v>44590</v>
      </c>
      <c r="M294" s="12" t="s">
        <v>16</v>
      </c>
    </row>
    <row r="295" spans="1:13" ht="16.8" x14ac:dyDescent="0.3">
      <c r="A295" s="7" t="s">
        <v>373</v>
      </c>
      <c r="B295" s="8">
        <v>44253</v>
      </c>
      <c r="C295" s="15" t="s">
        <v>271</v>
      </c>
      <c r="D295" s="10" t="s">
        <v>224</v>
      </c>
      <c r="E295">
        <v>1</v>
      </c>
      <c r="F295">
        <v>65000</v>
      </c>
      <c r="G295">
        <v>69000</v>
      </c>
      <c r="H295">
        <v>9</v>
      </c>
      <c r="I295">
        <v>59150</v>
      </c>
      <c r="J295" s="10" t="s">
        <v>278</v>
      </c>
      <c r="K295" s="10">
        <v>59150</v>
      </c>
      <c r="L295" s="10">
        <v>59150</v>
      </c>
      <c r="M295" s="12" t="s">
        <v>242</v>
      </c>
    </row>
    <row r="296" spans="1:13" ht="16.8" x14ac:dyDescent="0.3">
      <c r="A296" s="7" t="s">
        <v>374</v>
      </c>
      <c r="B296" s="8">
        <v>44923</v>
      </c>
      <c r="C296" s="15" t="s">
        <v>270</v>
      </c>
      <c r="D296" s="10" t="s">
        <v>222</v>
      </c>
      <c r="E296">
        <v>5</v>
      </c>
      <c r="F296">
        <v>35000</v>
      </c>
      <c r="G296">
        <v>65000</v>
      </c>
      <c r="H296">
        <v>10</v>
      </c>
      <c r="I296">
        <v>31500</v>
      </c>
      <c r="J296" s="10" t="s">
        <v>278</v>
      </c>
      <c r="K296" s="10">
        <v>31500</v>
      </c>
      <c r="L296" s="10">
        <v>157500</v>
      </c>
      <c r="M296" s="12" t="s">
        <v>21</v>
      </c>
    </row>
    <row r="297" spans="1:13" ht="16.8" x14ac:dyDescent="0.3">
      <c r="A297" s="7" t="s">
        <v>375</v>
      </c>
      <c r="B297" s="8">
        <v>44522</v>
      </c>
      <c r="C297" s="15" t="s">
        <v>271</v>
      </c>
      <c r="D297" s="10" t="s">
        <v>222</v>
      </c>
      <c r="E297">
        <v>2</v>
      </c>
      <c r="F297">
        <v>59000</v>
      </c>
      <c r="G297">
        <v>65000</v>
      </c>
      <c r="H297">
        <v>6</v>
      </c>
      <c r="I297">
        <v>65000</v>
      </c>
      <c r="J297" s="10" t="s">
        <v>279</v>
      </c>
      <c r="K297" s="10">
        <v>65000</v>
      </c>
      <c r="L297" s="10">
        <v>130000</v>
      </c>
      <c r="M297" s="12" t="s">
        <v>248</v>
      </c>
    </row>
    <row r="298" spans="1:13" ht="16.8" x14ac:dyDescent="0.3">
      <c r="A298" s="7" t="s">
        <v>376</v>
      </c>
      <c r="B298" s="8">
        <v>44913</v>
      </c>
      <c r="C298" s="15" t="s">
        <v>5</v>
      </c>
      <c r="D298" s="10" t="s">
        <v>223</v>
      </c>
      <c r="E298">
        <v>2</v>
      </c>
      <c r="F298">
        <v>65000</v>
      </c>
      <c r="G298">
        <v>65000</v>
      </c>
      <c r="H298">
        <v>6</v>
      </c>
      <c r="I298">
        <v>65000</v>
      </c>
      <c r="J298" s="10" t="s">
        <v>279</v>
      </c>
      <c r="K298" s="10">
        <v>65000</v>
      </c>
      <c r="L298" s="10">
        <v>130000</v>
      </c>
      <c r="M298" s="12" t="s">
        <v>13</v>
      </c>
    </row>
    <row r="299" spans="1:13" ht="16.8" x14ac:dyDescent="0.3">
      <c r="A299" s="7" t="s">
        <v>377</v>
      </c>
      <c r="B299" s="8">
        <v>44424</v>
      </c>
      <c r="C299" s="15" t="s">
        <v>3</v>
      </c>
      <c r="D299" s="10" t="s">
        <v>224</v>
      </c>
      <c r="E299">
        <v>4</v>
      </c>
      <c r="F299">
        <v>59000</v>
      </c>
      <c r="G299">
        <v>29000</v>
      </c>
      <c r="H299">
        <v>7</v>
      </c>
      <c r="I299">
        <v>29000</v>
      </c>
      <c r="J299" s="10" t="s">
        <v>279</v>
      </c>
      <c r="K299" s="10">
        <v>29000</v>
      </c>
      <c r="L299" s="10">
        <v>116000</v>
      </c>
      <c r="M299" s="12" t="s">
        <v>246</v>
      </c>
    </row>
    <row r="300" spans="1:13" ht="16.8" x14ac:dyDescent="0.3">
      <c r="A300" s="7" t="s">
        <v>378</v>
      </c>
      <c r="B300" s="8">
        <v>44579</v>
      </c>
      <c r="C300" s="15" t="s">
        <v>275</v>
      </c>
      <c r="D300" s="10" t="s">
        <v>223</v>
      </c>
      <c r="E300">
        <v>1</v>
      </c>
      <c r="F300">
        <v>49000</v>
      </c>
      <c r="G300">
        <v>49000</v>
      </c>
      <c r="H300">
        <v>8</v>
      </c>
      <c r="I300">
        <v>45080</v>
      </c>
      <c r="J300" s="10" t="s">
        <v>278</v>
      </c>
      <c r="K300" s="10">
        <v>45080</v>
      </c>
      <c r="L300" s="10">
        <v>45080</v>
      </c>
      <c r="M300" s="12" t="s">
        <v>238</v>
      </c>
    </row>
    <row r="301" spans="1:13" ht="16.8" x14ac:dyDescent="0.3">
      <c r="A301" s="7" t="s">
        <v>379</v>
      </c>
      <c r="B301" s="8">
        <v>44946</v>
      </c>
      <c r="C301" s="15" t="s">
        <v>4</v>
      </c>
      <c r="D301" s="10" t="s">
        <v>224</v>
      </c>
      <c r="E301">
        <v>4</v>
      </c>
      <c r="F301">
        <v>55000</v>
      </c>
      <c r="G301">
        <v>65000</v>
      </c>
      <c r="H301">
        <v>15</v>
      </c>
      <c r="I301">
        <v>46750</v>
      </c>
      <c r="J301" s="10" t="s">
        <v>278</v>
      </c>
      <c r="K301" s="10">
        <v>46750</v>
      </c>
      <c r="L301" s="10">
        <v>187000</v>
      </c>
      <c r="M301" s="12" t="s">
        <v>242</v>
      </c>
    </row>
    <row r="302" spans="1:13" ht="16.8" x14ac:dyDescent="0.3">
      <c r="A302" s="7" t="s">
        <v>380</v>
      </c>
      <c r="B302" s="8">
        <v>44336</v>
      </c>
      <c r="C302" s="15" t="s">
        <v>271</v>
      </c>
      <c r="D302" s="10" t="s">
        <v>224</v>
      </c>
      <c r="E302">
        <v>5</v>
      </c>
      <c r="F302">
        <v>35000</v>
      </c>
      <c r="G302">
        <v>59000</v>
      </c>
      <c r="H302">
        <v>8</v>
      </c>
      <c r="I302">
        <v>32200</v>
      </c>
      <c r="J302" s="10" t="s">
        <v>278</v>
      </c>
      <c r="K302" s="10">
        <v>32200</v>
      </c>
      <c r="L302" s="10">
        <v>161000</v>
      </c>
      <c r="M302" s="12" t="s">
        <v>254</v>
      </c>
    </row>
    <row r="303" spans="1:13" ht="16.8" x14ac:dyDescent="0.3">
      <c r="A303" s="7" t="s">
        <v>381</v>
      </c>
      <c r="B303" s="8">
        <v>44773</v>
      </c>
      <c r="C303" s="15" t="s">
        <v>272</v>
      </c>
      <c r="D303" s="10" t="s">
        <v>224</v>
      </c>
      <c r="E303">
        <v>4</v>
      </c>
      <c r="F303">
        <v>69000</v>
      </c>
      <c r="G303">
        <v>59000</v>
      </c>
      <c r="H303">
        <v>14</v>
      </c>
      <c r="I303">
        <v>59340</v>
      </c>
      <c r="J303" s="10" t="s">
        <v>278</v>
      </c>
      <c r="K303" s="10">
        <v>59340</v>
      </c>
      <c r="L303" s="10">
        <v>237360</v>
      </c>
      <c r="M303" s="12" t="s">
        <v>259</v>
      </c>
    </row>
    <row r="304" spans="1:13" ht="16.8" x14ac:dyDescent="0.3">
      <c r="A304" s="7" t="s">
        <v>382</v>
      </c>
      <c r="B304" s="8">
        <v>44963</v>
      </c>
      <c r="C304" s="15" t="s">
        <v>271</v>
      </c>
      <c r="D304" s="10" t="s">
        <v>223</v>
      </c>
      <c r="E304">
        <v>4</v>
      </c>
      <c r="F304">
        <v>69000</v>
      </c>
      <c r="G304">
        <v>49000</v>
      </c>
      <c r="H304">
        <v>12</v>
      </c>
      <c r="I304">
        <v>49000</v>
      </c>
      <c r="J304" s="10" t="s">
        <v>279</v>
      </c>
      <c r="K304" s="10">
        <v>49000</v>
      </c>
      <c r="L304" s="10">
        <v>196000</v>
      </c>
      <c r="M304" s="12" t="s">
        <v>227</v>
      </c>
    </row>
    <row r="305" spans="1:13" ht="16.8" x14ac:dyDescent="0.3">
      <c r="A305" s="7" t="s">
        <v>383</v>
      </c>
      <c r="B305" s="8">
        <v>44830</v>
      </c>
      <c r="C305" s="15" t="s">
        <v>274</v>
      </c>
      <c r="D305" s="10" t="s">
        <v>223</v>
      </c>
      <c r="E305">
        <v>5</v>
      </c>
      <c r="F305">
        <v>65000</v>
      </c>
      <c r="G305">
        <v>55000</v>
      </c>
      <c r="H305">
        <v>5</v>
      </c>
      <c r="I305">
        <v>55000</v>
      </c>
      <c r="J305" s="10" t="s">
        <v>279</v>
      </c>
      <c r="K305" s="10">
        <v>55000</v>
      </c>
      <c r="L305" s="10">
        <v>275000</v>
      </c>
      <c r="M305" s="12" t="s">
        <v>262</v>
      </c>
    </row>
    <row r="306" spans="1:13" ht="16.8" x14ac:dyDescent="0.3">
      <c r="A306" s="7" t="s">
        <v>384</v>
      </c>
      <c r="B306" s="8">
        <v>44890</v>
      </c>
      <c r="C306" s="15" t="s">
        <v>6</v>
      </c>
      <c r="D306" s="10" t="s">
        <v>223</v>
      </c>
      <c r="E306">
        <v>4</v>
      </c>
      <c r="F306">
        <v>55000</v>
      </c>
      <c r="G306">
        <v>49000</v>
      </c>
      <c r="H306">
        <v>15</v>
      </c>
      <c r="I306">
        <v>46750</v>
      </c>
      <c r="J306" s="10" t="s">
        <v>278</v>
      </c>
      <c r="K306" s="10">
        <v>46750</v>
      </c>
      <c r="L306" s="10">
        <v>187000</v>
      </c>
      <c r="M306" s="12" t="s">
        <v>232</v>
      </c>
    </row>
    <row r="307" spans="1:13" ht="16.8" x14ac:dyDescent="0.3">
      <c r="A307" s="7" t="s">
        <v>385</v>
      </c>
      <c r="B307" s="8">
        <v>45267</v>
      </c>
      <c r="C307" s="15" t="s">
        <v>271</v>
      </c>
      <c r="D307" s="10" t="s">
        <v>223</v>
      </c>
      <c r="E307">
        <v>3</v>
      </c>
      <c r="F307">
        <v>65000</v>
      </c>
      <c r="G307">
        <v>35000</v>
      </c>
      <c r="H307">
        <v>13</v>
      </c>
      <c r="I307">
        <v>35000</v>
      </c>
      <c r="J307" s="10" t="s">
        <v>279</v>
      </c>
      <c r="K307" s="10">
        <v>35000</v>
      </c>
      <c r="L307" s="10">
        <v>105000</v>
      </c>
      <c r="M307" s="12" t="s">
        <v>242</v>
      </c>
    </row>
    <row r="308" spans="1:13" ht="16.8" x14ac:dyDescent="0.3">
      <c r="A308" s="7" t="s">
        <v>386</v>
      </c>
      <c r="B308" s="8">
        <v>45126</v>
      </c>
      <c r="C308" s="15" t="s">
        <v>6</v>
      </c>
      <c r="D308" s="10" t="s">
        <v>224</v>
      </c>
      <c r="E308">
        <v>5</v>
      </c>
      <c r="F308">
        <v>49000</v>
      </c>
      <c r="G308">
        <v>65000</v>
      </c>
      <c r="H308">
        <v>6</v>
      </c>
      <c r="I308">
        <v>46060</v>
      </c>
      <c r="J308" s="10" t="s">
        <v>278</v>
      </c>
      <c r="K308" s="10">
        <v>46060</v>
      </c>
      <c r="L308" s="10">
        <v>230300</v>
      </c>
      <c r="M308" s="12" t="s">
        <v>228</v>
      </c>
    </row>
    <row r="309" spans="1:13" ht="16.8" x14ac:dyDescent="0.3">
      <c r="A309" s="7" t="s">
        <v>387</v>
      </c>
      <c r="B309" s="8">
        <v>44399</v>
      </c>
      <c r="C309" s="15" t="s">
        <v>274</v>
      </c>
      <c r="D309" s="10" t="s">
        <v>223</v>
      </c>
      <c r="E309">
        <v>5</v>
      </c>
      <c r="F309">
        <v>49000</v>
      </c>
      <c r="G309">
        <v>49000</v>
      </c>
      <c r="H309">
        <v>7</v>
      </c>
      <c r="I309">
        <v>45570</v>
      </c>
      <c r="J309" s="10" t="s">
        <v>278</v>
      </c>
      <c r="K309" s="10">
        <v>45570</v>
      </c>
      <c r="L309" s="10">
        <v>227850</v>
      </c>
      <c r="M309" s="12" t="s">
        <v>253</v>
      </c>
    </row>
    <row r="310" spans="1:13" ht="16.8" x14ac:dyDescent="0.3">
      <c r="A310" s="7" t="s">
        <v>388</v>
      </c>
      <c r="B310" s="8">
        <v>44851</v>
      </c>
      <c r="C310" s="15" t="s">
        <v>274</v>
      </c>
      <c r="D310" s="10" t="s">
        <v>222</v>
      </c>
      <c r="E310">
        <v>2</v>
      </c>
      <c r="F310">
        <v>59000</v>
      </c>
      <c r="G310">
        <v>65000</v>
      </c>
      <c r="H310">
        <v>9</v>
      </c>
      <c r="I310">
        <v>53690</v>
      </c>
      <c r="J310" s="10" t="s">
        <v>278</v>
      </c>
      <c r="K310" s="10">
        <v>53690</v>
      </c>
      <c r="L310" s="10">
        <v>107380</v>
      </c>
      <c r="M310" s="12" t="s">
        <v>15</v>
      </c>
    </row>
    <row r="311" spans="1:13" ht="16.8" x14ac:dyDescent="0.3">
      <c r="A311" s="7" t="s">
        <v>389</v>
      </c>
      <c r="B311" s="8">
        <v>44644</v>
      </c>
      <c r="C311" s="15" t="s">
        <v>270</v>
      </c>
      <c r="D311" s="10" t="s">
        <v>223</v>
      </c>
      <c r="E311">
        <v>1</v>
      </c>
      <c r="F311">
        <v>29000</v>
      </c>
      <c r="G311">
        <v>65000</v>
      </c>
      <c r="H311">
        <v>8</v>
      </c>
      <c r="I311">
        <v>26680</v>
      </c>
      <c r="J311" s="10" t="s">
        <v>278</v>
      </c>
      <c r="K311" s="10">
        <v>26680</v>
      </c>
      <c r="L311" s="10">
        <v>26680</v>
      </c>
      <c r="M311" s="12" t="s">
        <v>249</v>
      </c>
    </row>
    <row r="312" spans="1:13" ht="16.8" x14ac:dyDescent="0.3">
      <c r="A312" s="7" t="s">
        <v>390</v>
      </c>
      <c r="B312" s="8">
        <v>45078</v>
      </c>
      <c r="C312" s="15" t="s">
        <v>6</v>
      </c>
      <c r="D312" s="10" t="s">
        <v>222</v>
      </c>
      <c r="E312">
        <v>1</v>
      </c>
      <c r="F312">
        <v>69000</v>
      </c>
      <c r="G312">
        <v>65000</v>
      </c>
      <c r="H312">
        <v>7</v>
      </c>
      <c r="I312">
        <v>65000</v>
      </c>
      <c r="J312" s="10" t="s">
        <v>279</v>
      </c>
      <c r="K312" s="10">
        <v>65000</v>
      </c>
      <c r="L312" s="10">
        <v>65000</v>
      </c>
      <c r="M312" s="12" t="s">
        <v>226</v>
      </c>
    </row>
    <row r="313" spans="1:13" ht="16.8" x14ac:dyDescent="0.3">
      <c r="A313" s="7" t="s">
        <v>391</v>
      </c>
      <c r="B313" s="8">
        <v>44721</v>
      </c>
      <c r="C313" s="15" t="s">
        <v>275</v>
      </c>
      <c r="D313" s="10" t="s">
        <v>222</v>
      </c>
      <c r="E313">
        <v>4</v>
      </c>
      <c r="F313">
        <v>65000</v>
      </c>
      <c r="G313">
        <v>69000</v>
      </c>
      <c r="H313">
        <v>6</v>
      </c>
      <c r="I313">
        <v>61100</v>
      </c>
      <c r="J313" s="10" t="s">
        <v>278</v>
      </c>
      <c r="K313" s="10">
        <v>61100</v>
      </c>
      <c r="L313" s="10">
        <v>244400</v>
      </c>
      <c r="M313" s="12" t="s">
        <v>228</v>
      </c>
    </row>
    <row r="314" spans="1:13" ht="16.8" x14ac:dyDescent="0.3">
      <c r="A314" s="7" t="s">
        <v>392</v>
      </c>
      <c r="B314" s="8">
        <v>44278</v>
      </c>
      <c r="C314" s="15" t="s">
        <v>3</v>
      </c>
      <c r="D314" s="10" t="s">
        <v>224</v>
      </c>
      <c r="E314">
        <v>2</v>
      </c>
      <c r="F314">
        <v>75000</v>
      </c>
      <c r="G314">
        <v>49000</v>
      </c>
      <c r="H314">
        <v>11</v>
      </c>
      <c r="I314">
        <v>49000</v>
      </c>
      <c r="J314" s="10" t="s">
        <v>279</v>
      </c>
      <c r="K314" s="10">
        <v>49000</v>
      </c>
      <c r="L314" s="10">
        <v>98000</v>
      </c>
      <c r="M314" s="12" t="s">
        <v>225</v>
      </c>
    </row>
    <row r="315" spans="1:13" ht="16.8" x14ac:dyDescent="0.3">
      <c r="A315" s="7" t="s">
        <v>393</v>
      </c>
      <c r="B315" s="8">
        <v>45242</v>
      </c>
      <c r="C315" s="15" t="s">
        <v>4</v>
      </c>
      <c r="D315" s="10" t="s">
        <v>222</v>
      </c>
      <c r="E315">
        <v>2</v>
      </c>
      <c r="F315">
        <v>65000</v>
      </c>
      <c r="G315">
        <v>65000</v>
      </c>
      <c r="H315">
        <v>13</v>
      </c>
      <c r="I315">
        <v>65000</v>
      </c>
      <c r="J315" s="10" t="s">
        <v>279</v>
      </c>
      <c r="K315" s="10">
        <v>65000</v>
      </c>
      <c r="L315" s="10">
        <v>130000</v>
      </c>
      <c r="M315" s="12" t="s">
        <v>251</v>
      </c>
    </row>
    <row r="316" spans="1:13" ht="16.8" x14ac:dyDescent="0.3">
      <c r="A316" s="7" t="s">
        <v>394</v>
      </c>
      <c r="B316" s="8">
        <v>44433</v>
      </c>
      <c r="C316" s="15" t="s">
        <v>4</v>
      </c>
      <c r="D316" s="10" t="s">
        <v>223</v>
      </c>
      <c r="E316">
        <v>5</v>
      </c>
      <c r="F316">
        <v>65000</v>
      </c>
      <c r="G316">
        <v>75000</v>
      </c>
      <c r="H316">
        <v>14</v>
      </c>
      <c r="I316">
        <v>75000</v>
      </c>
      <c r="J316" s="10" t="s">
        <v>279</v>
      </c>
      <c r="K316" s="10">
        <v>75000</v>
      </c>
      <c r="L316" s="10">
        <v>375000</v>
      </c>
      <c r="M316" s="12" t="s">
        <v>19</v>
      </c>
    </row>
    <row r="317" spans="1:13" ht="16.8" x14ac:dyDescent="0.3">
      <c r="A317" s="7" t="s">
        <v>395</v>
      </c>
      <c r="B317" s="8">
        <v>44942</v>
      </c>
      <c r="C317" s="15" t="s">
        <v>5</v>
      </c>
      <c r="D317" s="10" t="s">
        <v>224</v>
      </c>
      <c r="E317">
        <v>1</v>
      </c>
      <c r="F317">
        <v>59000</v>
      </c>
      <c r="G317">
        <v>35000</v>
      </c>
      <c r="H317">
        <v>5</v>
      </c>
      <c r="I317">
        <v>35000</v>
      </c>
      <c r="J317" s="10" t="s">
        <v>279</v>
      </c>
      <c r="K317" s="10">
        <v>35000</v>
      </c>
      <c r="L317" s="10">
        <v>35000</v>
      </c>
      <c r="M317" s="12" t="s">
        <v>254</v>
      </c>
    </row>
    <row r="318" spans="1:13" ht="16.8" x14ac:dyDescent="0.3">
      <c r="A318" s="7" t="s">
        <v>396</v>
      </c>
      <c r="B318" s="8">
        <v>44868</v>
      </c>
      <c r="C318" s="15" t="s">
        <v>4</v>
      </c>
      <c r="D318" s="10" t="s">
        <v>222</v>
      </c>
      <c r="E318">
        <v>3</v>
      </c>
      <c r="F318">
        <v>59000</v>
      </c>
      <c r="G318">
        <v>65000</v>
      </c>
      <c r="H318">
        <v>7</v>
      </c>
      <c r="I318">
        <v>65000</v>
      </c>
      <c r="J318" s="10" t="s">
        <v>279</v>
      </c>
      <c r="K318" s="10">
        <v>65000</v>
      </c>
      <c r="L318" s="10">
        <v>195000</v>
      </c>
      <c r="M318" s="12" t="s">
        <v>236</v>
      </c>
    </row>
    <row r="319" spans="1:13" ht="16.8" x14ac:dyDescent="0.3">
      <c r="A319" s="7" t="s">
        <v>397</v>
      </c>
      <c r="B319" s="8">
        <v>45101</v>
      </c>
      <c r="C319" s="15" t="s">
        <v>270</v>
      </c>
      <c r="D319" s="10" t="s">
        <v>223</v>
      </c>
      <c r="E319">
        <v>3</v>
      </c>
      <c r="F319">
        <v>49000</v>
      </c>
      <c r="G319">
        <v>65000</v>
      </c>
      <c r="H319">
        <v>5</v>
      </c>
      <c r="I319">
        <v>65000</v>
      </c>
      <c r="J319" s="10" t="s">
        <v>279</v>
      </c>
      <c r="K319" s="10">
        <v>65000</v>
      </c>
      <c r="L319" s="10">
        <v>195000</v>
      </c>
      <c r="M319" s="12" t="s">
        <v>257</v>
      </c>
    </row>
    <row r="320" spans="1:13" ht="16.8" x14ac:dyDescent="0.3">
      <c r="A320" s="7" t="s">
        <v>398</v>
      </c>
      <c r="B320" s="8">
        <v>44872</v>
      </c>
      <c r="C320" s="15" t="s">
        <v>4</v>
      </c>
      <c r="D320" s="10" t="s">
        <v>224</v>
      </c>
      <c r="E320">
        <v>3</v>
      </c>
      <c r="F320">
        <v>29000</v>
      </c>
      <c r="G320">
        <v>59000</v>
      </c>
      <c r="H320">
        <v>14</v>
      </c>
      <c r="I320">
        <v>24940</v>
      </c>
      <c r="J320" s="10" t="s">
        <v>278</v>
      </c>
      <c r="K320" s="10">
        <v>24940</v>
      </c>
      <c r="L320" s="10">
        <v>74820</v>
      </c>
      <c r="M320" s="12" t="s">
        <v>241</v>
      </c>
    </row>
    <row r="321" spans="1:13" ht="16.8" x14ac:dyDescent="0.3">
      <c r="A321" s="7" t="s">
        <v>399</v>
      </c>
      <c r="B321" s="8">
        <v>44522</v>
      </c>
      <c r="C321" s="15" t="s">
        <v>274</v>
      </c>
      <c r="D321" s="10" t="s">
        <v>222</v>
      </c>
      <c r="E321">
        <v>4</v>
      </c>
      <c r="F321">
        <v>35000</v>
      </c>
      <c r="G321">
        <v>45000</v>
      </c>
      <c r="H321">
        <v>9</v>
      </c>
      <c r="I321">
        <v>31850</v>
      </c>
      <c r="J321" s="10" t="s">
        <v>278</v>
      </c>
      <c r="K321" s="10">
        <v>31850</v>
      </c>
      <c r="L321" s="10">
        <v>127400</v>
      </c>
      <c r="M321" s="12" t="s">
        <v>242</v>
      </c>
    </row>
    <row r="322" spans="1:13" ht="16.8" x14ac:dyDescent="0.3">
      <c r="A322" s="7" t="s">
        <v>400</v>
      </c>
      <c r="B322" s="8">
        <v>44948</v>
      </c>
      <c r="C322" s="15" t="s">
        <v>270</v>
      </c>
      <c r="D322" s="10" t="s">
        <v>223</v>
      </c>
      <c r="E322">
        <v>1</v>
      </c>
      <c r="F322">
        <v>75000</v>
      </c>
      <c r="G322">
        <v>69000</v>
      </c>
      <c r="H322">
        <v>10</v>
      </c>
      <c r="I322">
        <v>69000</v>
      </c>
      <c r="J322" s="10" t="s">
        <v>279</v>
      </c>
      <c r="K322" s="10">
        <v>69000</v>
      </c>
      <c r="L322" s="10">
        <v>69000</v>
      </c>
      <c r="M322" s="12" t="s">
        <v>18</v>
      </c>
    </row>
    <row r="323" spans="1:13" ht="16.8" x14ac:dyDescent="0.3">
      <c r="A323" s="7" t="s">
        <v>401</v>
      </c>
      <c r="B323" s="8">
        <v>44318</v>
      </c>
      <c r="C323" s="15" t="s">
        <v>273</v>
      </c>
      <c r="D323" s="10" t="s">
        <v>224</v>
      </c>
      <c r="E323">
        <v>1</v>
      </c>
      <c r="F323">
        <v>55000</v>
      </c>
      <c r="G323">
        <v>65000</v>
      </c>
      <c r="H323">
        <v>6</v>
      </c>
      <c r="I323">
        <v>65000</v>
      </c>
      <c r="J323" s="10" t="s">
        <v>279</v>
      </c>
      <c r="K323" s="10">
        <v>65000</v>
      </c>
      <c r="L323" s="10">
        <v>65000</v>
      </c>
      <c r="M323" s="12" t="s">
        <v>225</v>
      </c>
    </row>
    <row r="324" spans="1:13" ht="16.8" x14ac:dyDescent="0.3">
      <c r="A324" s="7" t="s">
        <v>402</v>
      </c>
      <c r="B324" s="8">
        <v>44763</v>
      </c>
      <c r="C324" s="15" t="s">
        <v>274</v>
      </c>
      <c r="D324" s="10" t="s">
        <v>223</v>
      </c>
      <c r="E324">
        <v>3</v>
      </c>
      <c r="F324">
        <v>39000</v>
      </c>
      <c r="G324">
        <v>49000</v>
      </c>
      <c r="H324">
        <v>6</v>
      </c>
      <c r="I324">
        <v>49000</v>
      </c>
      <c r="J324" s="10" t="s">
        <v>279</v>
      </c>
      <c r="K324" s="10">
        <v>49000</v>
      </c>
      <c r="L324" s="10">
        <v>147000</v>
      </c>
      <c r="M324" s="12" t="s">
        <v>16</v>
      </c>
    </row>
    <row r="325" spans="1:13" ht="16.8" x14ac:dyDescent="0.3">
      <c r="A325" s="7" t="s">
        <v>403</v>
      </c>
      <c r="B325" s="8">
        <v>44459</v>
      </c>
      <c r="C325" s="15" t="s">
        <v>4</v>
      </c>
      <c r="D325" s="10" t="s">
        <v>224</v>
      </c>
      <c r="E325">
        <v>1</v>
      </c>
      <c r="F325">
        <v>39000</v>
      </c>
      <c r="G325">
        <v>59000</v>
      </c>
      <c r="H325">
        <v>5</v>
      </c>
      <c r="I325">
        <v>37050</v>
      </c>
      <c r="J325" s="10" t="s">
        <v>278</v>
      </c>
      <c r="K325" s="10">
        <v>37050</v>
      </c>
      <c r="L325" s="10">
        <v>37050</v>
      </c>
      <c r="M325" s="12" t="s">
        <v>244</v>
      </c>
    </row>
    <row r="326" spans="1:13" ht="16.8" x14ac:dyDescent="0.3">
      <c r="A326" s="7" t="s">
        <v>404</v>
      </c>
      <c r="B326" s="8">
        <v>45133</v>
      </c>
      <c r="C326" s="15" t="s">
        <v>271</v>
      </c>
      <c r="D326" s="10" t="s">
        <v>223</v>
      </c>
      <c r="E326">
        <v>5</v>
      </c>
      <c r="F326">
        <v>65000</v>
      </c>
      <c r="G326">
        <v>65000</v>
      </c>
      <c r="H326">
        <v>11</v>
      </c>
      <c r="I326">
        <v>65000</v>
      </c>
      <c r="J326" s="10" t="s">
        <v>279</v>
      </c>
      <c r="K326" s="10">
        <v>65000</v>
      </c>
      <c r="L326" s="10">
        <v>325000</v>
      </c>
      <c r="M326" s="12" t="s">
        <v>18</v>
      </c>
    </row>
    <row r="327" spans="1:13" ht="16.8" x14ac:dyDescent="0.3">
      <c r="A327" s="7" t="s">
        <v>405</v>
      </c>
      <c r="B327" s="8">
        <v>44803</v>
      </c>
      <c r="C327" s="15" t="s">
        <v>5</v>
      </c>
      <c r="D327" s="10" t="s">
        <v>224</v>
      </c>
      <c r="E327">
        <v>5</v>
      </c>
      <c r="F327">
        <v>49000</v>
      </c>
      <c r="G327">
        <v>59000</v>
      </c>
      <c r="H327">
        <v>8</v>
      </c>
      <c r="I327">
        <v>59000</v>
      </c>
      <c r="J327" s="10" t="s">
        <v>279</v>
      </c>
      <c r="K327" s="10">
        <v>59000</v>
      </c>
      <c r="L327" s="10">
        <v>295000</v>
      </c>
      <c r="M327" s="12" t="s">
        <v>14</v>
      </c>
    </row>
    <row r="328" spans="1:13" ht="16.8" x14ac:dyDescent="0.3">
      <c r="A328" s="7" t="s">
        <v>406</v>
      </c>
      <c r="B328" s="8">
        <v>45068</v>
      </c>
      <c r="C328" s="15" t="s">
        <v>5</v>
      </c>
      <c r="D328" s="10" t="s">
        <v>223</v>
      </c>
      <c r="E328">
        <v>4</v>
      </c>
      <c r="F328">
        <v>39000</v>
      </c>
      <c r="G328">
        <v>49000</v>
      </c>
      <c r="H328">
        <v>8</v>
      </c>
      <c r="I328">
        <v>35880</v>
      </c>
      <c r="J328" s="10" t="s">
        <v>278</v>
      </c>
      <c r="K328" s="10">
        <v>35880</v>
      </c>
      <c r="L328" s="10">
        <v>143520</v>
      </c>
      <c r="M328" s="12" t="s">
        <v>17</v>
      </c>
    </row>
    <row r="329" spans="1:13" ht="16.8" x14ac:dyDescent="0.3">
      <c r="A329" s="7" t="s">
        <v>407</v>
      </c>
      <c r="B329" s="8">
        <v>45216</v>
      </c>
      <c r="C329" s="15" t="s">
        <v>3</v>
      </c>
      <c r="D329" s="10" t="s">
        <v>222</v>
      </c>
      <c r="E329">
        <v>5</v>
      </c>
      <c r="F329">
        <v>59000</v>
      </c>
      <c r="G329">
        <v>75000</v>
      </c>
      <c r="H329">
        <v>5</v>
      </c>
      <c r="I329">
        <v>75000</v>
      </c>
      <c r="J329" s="10" t="s">
        <v>279</v>
      </c>
      <c r="K329" s="10">
        <v>75000</v>
      </c>
      <c r="L329" s="10">
        <v>375000</v>
      </c>
      <c r="M329" s="12" t="s">
        <v>262</v>
      </c>
    </row>
    <row r="330" spans="1:13" ht="16.8" x14ac:dyDescent="0.3">
      <c r="A330" s="7" t="s">
        <v>408</v>
      </c>
      <c r="B330" s="8">
        <v>45104</v>
      </c>
      <c r="C330" s="15" t="s">
        <v>6</v>
      </c>
      <c r="D330" s="10" t="s">
        <v>223</v>
      </c>
      <c r="E330">
        <v>3</v>
      </c>
      <c r="F330">
        <v>65000</v>
      </c>
      <c r="G330">
        <v>49000</v>
      </c>
      <c r="H330">
        <v>7</v>
      </c>
      <c r="I330">
        <v>60449.999999999993</v>
      </c>
      <c r="J330" s="10" t="s">
        <v>278</v>
      </c>
      <c r="K330" s="10">
        <v>60449.999999999993</v>
      </c>
      <c r="L330" s="10">
        <v>181349.99999999997</v>
      </c>
      <c r="M330" s="12" t="s">
        <v>244</v>
      </c>
    </row>
    <row r="331" spans="1:13" ht="16.8" x14ac:dyDescent="0.3">
      <c r="A331" s="7" t="s">
        <v>409</v>
      </c>
      <c r="B331" s="8">
        <v>44809</v>
      </c>
      <c r="C331" s="15" t="s">
        <v>3</v>
      </c>
      <c r="D331" s="10" t="s">
        <v>222</v>
      </c>
      <c r="E331">
        <v>2</v>
      </c>
      <c r="F331">
        <v>49000</v>
      </c>
      <c r="G331">
        <v>45000</v>
      </c>
      <c r="H331">
        <v>6</v>
      </c>
      <c r="I331">
        <v>46060</v>
      </c>
      <c r="J331" s="10" t="s">
        <v>278</v>
      </c>
      <c r="K331" s="10">
        <v>46060</v>
      </c>
      <c r="L331" s="10">
        <v>92120</v>
      </c>
      <c r="M331" s="12" t="s">
        <v>241</v>
      </c>
    </row>
    <row r="332" spans="1:13" ht="16.8" x14ac:dyDescent="0.3">
      <c r="A332" s="7" t="s">
        <v>410</v>
      </c>
      <c r="B332" s="8">
        <v>44992</v>
      </c>
      <c r="C332" s="15" t="s">
        <v>3</v>
      </c>
      <c r="D332" s="10" t="s">
        <v>224</v>
      </c>
      <c r="E332">
        <v>5</v>
      </c>
      <c r="F332">
        <v>65000</v>
      </c>
      <c r="G332">
        <v>69000</v>
      </c>
      <c r="H332">
        <v>12</v>
      </c>
      <c r="I332">
        <v>69000</v>
      </c>
      <c r="J332" s="10" t="s">
        <v>279</v>
      </c>
      <c r="K332" s="10">
        <v>69000</v>
      </c>
      <c r="L332" s="10">
        <v>345000</v>
      </c>
      <c r="M332" s="12" t="s">
        <v>259</v>
      </c>
    </row>
    <row r="333" spans="1:13" ht="16.8" x14ac:dyDescent="0.3">
      <c r="A333" s="7" t="s">
        <v>411</v>
      </c>
      <c r="B333" s="8">
        <v>44216</v>
      </c>
      <c r="C333" s="15" t="s">
        <v>275</v>
      </c>
      <c r="D333" s="10" t="s">
        <v>224</v>
      </c>
      <c r="E333">
        <v>2</v>
      </c>
      <c r="F333">
        <v>49000</v>
      </c>
      <c r="G333">
        <v>69000</v>
      </c>
      <c r="H333">
        <v>14</v>
      </c>
      <c r="I333">
        <v>69000</v>
      </c>
      <c r="J333" s="10" t="s">
        <v>279</v>
      </c>
      <c r="K333" s="10">
        <v>69000</v>
      </c>
      <c r="L333" s="10">
        <v>138000</v>
      </c>
      <c r="M333" s="12" t="s">
        <v>14</v>
      </c>
    </row>
    <row r="334" spans="1:13" ht="16.8" x14ac:dyDescent="0.3">
      <c r="A334" s="7" t="s">
        <v>412</v>
      </c>
      <c r="B334" s="8">
        <v>45092</v>
      </c>
      <c r="C334" s="15" t="s">
        <v>274</v>
      </c>
      <c r="D334" s="10" t="s">
        <v>222</v>
      </c>
      <c r="E334">
        <v>3</v>
      </c>
      <c r="F334">
        <v>59000</v>
      </c>
      <c r="G334">
        <v>69000</v>
      </c>
      <c r="H334">
        <v>9</v>
      </c>
      <c r="I334">
        <v>53690</v>
      </c>
      <c r="J334" s="10" t="s">
        <v>278</v>
      </c>
      <c r="K334" s="10">
        <v>53690</v>
      </c>
      <c r="L334" s="10">
        <v>161070</v>
      </c>
      <c r="M334" s="12" t="s">
        <v>232</v>
      </c>
    </row>
    <row r="335" spans="1:13" ht="16.8" x14ac:dyDescent="0.3">
      <c r="A335" s="7" t="s">
        <v>413</v>
      </c>
      <c r="B335" s="8">
        <v>44437</v>
      </c>
      <c r="C335" s="15" t="s">
        <v>273</v>
      </c>
      <c r="D335" s="10" t="s">
        <v>222</v>
      </c>
      <c r="E335">
        <v>2</v>
      </c>
      <c r="F335">
        <v>65000</v>
      </c>
      <c r="G335">
        <v>45000</v>
      </c>
      <c r="H335">
        <v>11</v>
      </c>
      <c r="I335">
        <v>57850</v>
      </c>
      <c r="J335" s="10" t="s">
        <v>278</v>
      </c>
      <c r="K335" s="10">
        <v>57850</v>
      </c>
      <c r="L335" s="10">
        <v>115700</v>
      </c>
      <c r="M335" s="12" t="s">
        <v>18</v>
      </c>
    </row>
    <row r="336" spans="1:13" ht="16.8" x14ac:dyDescent="0.3">
      <c r="A336" s="7" t="s">
        <v>414</v>
      </c>
      <c r="B336" s="8">
        <v>44388</v>
      </c>
      <c r="C336" s="15" t="s">
        <v>272</v>
      </c>
      <c r="D336" s="10" t="s">
        <v>222</v>
      </c>
      <c r="E336">
        <v>3</v>
      </c>
      <c r="F336">
        <v>29000</v>
      </c>
      <c r="G336">
        <v>69000</v>
      </c>
      <c r="H336">
        <v>9</v>
      </c>
      <c r="I336">
        <v>69000</v>
      </c>
      <c r="J336" s="10" t="s">
        <v>279</v>
      </c>
      <c r="K336" s="10">
        <v>69000</v>
      </c>
      <c r="L336" s="10">
        <v>207000</v>
      </c>
      <c r="M336" s="12" t="s">
        <v>249</v>
      </c>
    </row>
    <row r="337" spans="1:13" ht="16.8" x14ac:dyDescent="0.3">
      <c r="A337" s="7" t="s">
        <v>415</v>
      </c>
      <c r="B337" s="8">
        <v>45216</v>
      </c>
      <c r="C337" s="15" t="s">
        <v>271</v>
      </c>
      <c r="D337" s="10" t="s">
        <v>222</v>
      </c>
      <c r="E337">
        <v>4</v>
      </c>
      <c r="F337">
        <v>65000</v>
      </c>
      <c r="G337">
        <v>59000</v>
      </c>
      <c r="H337">
        <v>12</v>
      </c>
      <c r="I337">
        <v>57200</v>
      </c>
      <c r="J337" s="10" t="s">
        <v>278</v>
      </c>
      <c r="K337" s="10">
        <v>57200</v>
      </c>
      <c r="L337" s="10">
        <v>228800</v>
      </c>
      <c r="M337" s="12" t="s">
        <v>14</v>
      </c>
    </row>
    <row r="338" spans="1:13" ht="16.8" x14ac:dyDescent="0.3">
      <c r="A338" s="7" t="s">
        <v>416</v>
      </c>
      <c r="B338" s="8">
        <v>45194</v>
      </c>
      <c r="C338" s="15" t="s">
        <v>270</v>
      </c>
      <c r="D338" s="10" t="s">
        <v>223</v>
      </c>
      <c r="E338">
        <v>4</v>
      </c>
      <c r="F338">
        <v>69000</v>
      </c>
      <c r="G338">
        <v>65000</v>
      </c>
      <c r="H338">
        <v>11</v>
      </c>
      <c r="I338">
        <v>65000</v>
      </c>
      <c r="J338" s="10" t="s">
        <v>279</v>
      </c>
      <c r="K338" s="10">
        <v>65000</v>
      </c>
      <c r="L338" s="10">
        <v>260000</v>
      </c>
      <c r="M338" s="12" t="s">
        <v>229</v>
      </c>
    </row>
    <row r="339" spans="1:13" ht="16.8" x14ac:dyDescent="0.3">
      <c r="A339" s="7" t="s">
        <v>417</v>
      </c>
      <c r="B339" s="8">
        <v>44410</v>
      </c>
      <c r="C339" s="15" t="s">
        <v>271</v>
      </c>
      <c r="D339" s="10" t="s">
        <v>224</v>
      </c>
      <c r="E339">
        <v>1</v>
      </c>
      <c r="F339">
        <v>65000</v>
      </c>
      <c r="G339">
        <v>65000</v>
      </c>
      <c r="H339">
        <v>15</v>
      </c>
      <c r="I339">
        <v>55250</v>
      </c>
      <c r="J339" s="10" t="s">
        <v>278</v>
      </c>
      <c r="K339" s="10">
        <v>55250</v>
      </c>
      <c r="L339" s="10">
        <v>55250</v>
      </c>
      <c r="M339" s="12" t="s">
        <v>246</v>
      </c>
    </row>
    <row r="340" spans="1:13" ht="16.8" x14ac:dyDescent="0.3">
      <c r="A340" s="7" t="s">
        <v>418</v>
      </c>
      <c r="B340" s="8">
        <v>45224</v>
      </c>
      <c r="C340" s="15" t="s">
        <v>273</v>
      </c>
      <c r="D340" s="10" t="s">
        <v>222</v>
      </c>
      <c r="E340">
        <v>1</v>
      </c>
      <c r="F340">
        <v>65000</v>
      </c>
      <c r="G340">
        <v>65000</v>
      </c>
      <c r="H340">
        <v>5</v>
      </c>
      <c r="I340">
        <v>61750</v>
      </c>
      <c r="J340" s="10" t="s">
        <v>278</v>
      </c>
      <c r="K340" s="10">
        <v>61750</v>
      </c>
      <c r="L340" s="10">
        <v>61750</v>
      </c>
      <c r="M340" s="12" t="s">
        <v>254</v>
      </c>
    </row>
    <row r="341" spans="1:13" ht="16.8" x14ac:dyDescent="0.3">
      <c r="A341" s="7" t="s">
        <v>419</v>
      </c>
      <c r="B341" s="8">
        <v>44794</v>
      </c>
      <c r="C341" s="15" t="s">
        <v>270</v>
      </c>
      <c r="D341" s="10" t="s">
        <v>222</v>
      </c>
      <c r="E341">
        <v>5</v>
      </c>
      <c r="F341">
        <v>59000</v>
      </c>
      <c r="G341">
        <v>35000</v>
      </c>
      <c r="H341">
        <v>14</v>
      </c>
      <c r="I341">
        <v>35000</v>
      </c>
      <c r="J341" s="10" t="s">
        <v>279</v>
      </c>
      <c r="K341" s="10">
        <v>35000</v>
      </c>
      <c r="L341" s="10">
        <v>175000</v>
      </c>
      <c r="M341" s="12" t="s">
        <v>233</v>
      </c>
    </row>
    <row r="342" spans="1:13" ht="16.8" x14ac:dyDescent="0.3">
      <c r="A342" s="7" t="s">
        <v>420</v>
      </c>
      <c r="B342" s="8">
        <v>44312</v>
      </c>
      <c r="C342" s="15" t="s">
        <v>270</v>
      </c>
      <c r="D342" s="10" t="s">
        <v>223</v>
      </c>
      <c r="E342">
        <v>4</v>
      </c>
      <c r="F342">
        <v>59000</v>
      </c>
      <c r="G342">
        <v>59000</v>
      </c>
      <c r="H342">
        <v>12</v>
      </c>
      <c r="I342">
        <v>59000</v>
      </c>
      <c r="J342" s="10" t="s">
        <v>279</v>
      </c>
      <c r="K342" s="10">
        <v>59000</v>
      </c>
      <c r="L342" s="10">
        <v>236000</v>
      </c>
      <c r="M342" s="12" t="s">
        <v>12</v>
      </c>
    </row>
    <row r="343" spans="1:13" ht="16.8" x14ac:dyDescent="0.3">
      <c r="A343" s="7" t="s">
        <v>421</v>
      </c>
      <c r="B343" s="8">
        <v>44224</v>
      </c>
      <c r="C343" s="15" t="s">
        <v>3</v>
      </c>
      <c r="D343" s="10" t="s">
        <v>223</v>
      </c>
      <c r="E343">
        <v>1</v>
      </c>
      <c r="F343">
        <v>69000</v>
      </c>
      <c r="G343">
        <v>59000</v>
      </c>
      <c r="H343">
        <v>15</v>
      </c>
      <c r="I343">
        <v>58650</v>
      </c>
      <c r="J343" s="10" t="s">
        <v>278</v>
      </c>
      <c r="K343" s="10">
        <v>58650</v>
      </c>
      <c r="L343" s="10">
        <v>58650</v>
      </c>
      <c r="M343" s="12" t="s">
        <v>235</v>
      </c>
    </row>
    <row r="344" spans="1:13" ht="16.8" x14ac:dyDescent="0.3">
      <c r="A344" s="7" t="s">
        <v>422</v>
      </c>
      <c r="B344" s="8">
        <v>45084</v>
      </c>
      <c r="C344" s="15" t="s">
        <v>3</v>
      </c>
      <c r="D344" s="10" t="s">
        <v>223</v>
      </c>
      <c r="E344">
        <v>5</v>
      </c>
      <c r="F344">
        <v>49000</v>
      </c>
      <c r="G344">
        <v>65000</v>
      </c>
      <c r="H344">
        <v>14</v>
      </c>
      <c r="I344">
        <v>42140</v>
      </c>
      <c r="J344" s="10" t="s">
        <v>278</v>
      </c>
      <c r="K344" s="10">
        <v>42140</v>
      </c>
      <c r="L344" s="10">
        <v>210700</v>
      </c>
      <c r="M344" s="12" t="s">
        <v>238</v>
      </c>
    </row>
    <row r="345" spans="1:13" ht="16.8" x14ac:dyDescent="0.3">
      <c r="A345" s="7" t="s">
        <v>423</v>
      </c>
      <c r="B345" s="8">
        <v>44543</v>
      </c>
      <c r="C345" s="15" t="s">
        <v>275</v>
      </c>
      <c r="D345" s="10" t="s">
        <v>224</v>
      </c>
      <c r="E345">
        <v>1</v>
      </c>
      <c r="F345">
        <v>59000</v>
      </c>
      <c r="G345">
        <v>29000</v>
      </c>
      <c r="H345">
        <v>12</v>
      </c>
      <c r="I345">
        <v>29000</v>
      </c>
      <c r="J345" s="10" t="s">
        <v>279</v>
      </c>
      <c r="K345" s="10">
        <v>29000</v>
      </c>
      <c r="L345" s="10">
        <v>29000</v>
      </c>
      <c r="M345" s="12" t="s">
        <v>235</v>
      </c>
    </row>
    <row r="346" spans="1:13" ht="16.8" x14ac:dyDescent="0.3">
      <c r="A346" s="7" t="s">
        <v>424</v>
      </c>
      <c r="B346" s="8">
        <v>44856</v>
      </c>
      <c r="C346" s="15" t="s">
        <v>272</v>
      </c>
      <c r="D346" s="10" t="s">
        <v>222</v>
      </c>
      <c r="E346">
        <v>4</v>
      </c>
      <c r="F346">
        <v>39000</v>
      </c>
      <c r="G346">
        <v>55000</v>
      </c>
      <c r="H346">
        <v>14</v>
      </c>
      <c r="I346">
        <v>55000</v>
      </c>
      <c r="J346" s="10" t="s">
        <v>279</v>
      </c>
      <c r="K346" s="10">
        <v>55000</v>
      </c>
      <c r="L346" s="10">
        <v>220000</v>
      </c>
      <c r="M346" s="12" t="s">
        <v>260</v>
      </c>
    </row>
    <row r="347" spans="1:13" ht="16.8" x14ac:dyDescent="0.3">
      <c r="A347" s="7" t="s">
        <v>425</v>
      </c>
      <c r="B347" s="8">
        <v>44881</v>
      </c>
      <c r="C347" s="15" t="s">
        <v>270</v>
      </c>
      <c r="D347" s="10" t="s">
        <v>224</v>
      </c>
      <c r="E347">
        <v>4</v>
      </c>
      <c r="F347">
        <v>59000</v>
      </c>
      <c r="G347">
        <v>69000</v>
      </c>
      <c r="H347">
        <v>13</v>
      </c>
      <c r="I347">
        <v>69000</v>
      </c>
      <c r="J347" s="10" t="s">
        <v>279</v>
      </c>
      <c r="K347" s="10">
        <v>69000</v>
      </c>
      <c r="L347" s="10">
        <v>276000</v>
      </c>
      <c r="M347" s="12" t="s">
        <v>256</v>
      </c>
    </row>
    <row r="348" spans="1:13" ht="16.8" x14ac:dyDescent="0.3">
      <c r="A348" s="7" t="s">
        <v>426</v>
      </c>
      <c r="B348" s="8">
        <v>44496</v>
      </c>
      <c r="C348" s="15" t="s">
        <v>273</v>
      </c>
      <c r="D348" s="10" t="s">
        <v>224</v>
      </c>
      <c r="E348">
        <v>2</v>
      </c>
      <c r="F348">
        <v>39000</v>
      </c>
      <c r="G348">
        <v>39000</v>
      </c>
      <c r="H348">
        <v>9</v>
      </c>
      <c r="I348">
        <v>39000</v>
      </c>
      <c r="J348" s="10" t="s">
        <v>279</v>
      </c>
      <c r="K348" s="10">
        <v>39000</v>
      </c>
      <c r="L348" s="10">
        <v>78000</v>
      </c>
      <c r="M348" s="12" t="s">
        <v>229</v>
      </c>
    </row>
    <row r="349" spans="1:13" ht="16.8" x14ac:dyDescent="0.3">
      <c r="A349" s="7" t="s">
        <v>427</v>
      </c>
      <c r="B349" s="8">
        <v>44310</v>
      </c>
      <c r="C349" s="15" t="s">
        <v>271</v>
      </c>
      <c r="D349" s="10" t="s">
        <v>223</v>
      </c>
      <c r="E349">
        <v>3</v>
      </c>
      <c r="F349">
        <v>49000</v>
      </c>
      <c r="G349">
        <v>69000</v>
      </c>
      <c r="H349">
        <v>11</v>
      </c>
      <c r="I349">
        <v>69000</v>
      </c>
      <c r="J349" s="10" t="s">
        <v>279</v>
      </c>
      <c r="K349" s="10">
        <v>69000</v>
      </c>
      <c r="L349" s="10">
        <v>207000</v>
      </c>
      <c r="M349" s="12" t="s">
        <v>247</v>
      </c>
    </row>
    <row r="350" spans="1:13" ht="16.8" x14ac:dyDescent="0.3">
      <c r="A350" s="7" t="s">
        <v>428</v>
      </c>
      <c r="B350" s="8">
        <v>44486</v>
      </c>
      <c r="C350" s="15" t="s">
        <v>274</v>
      </c>
      <c r="D350" s="10" t="s">
        <v>224</v>
      </c>
      <c r="E350">
        <v>4</v>
      </c>
      <c r="F350">
        <v>69000</v>
      </c>
      <c r="G350">
        <v>39000</v>
      </c>
      <c r="H350">
        <v>9</v>
      </c>
      <c r="I350">
        <v>62790</v>
      </c>
      <c r="J350" s="10" t="s">
        <v>278</v>
      </c>
      <c r="K350" s="10">
        <v>62790</v>
      </c>
      <c r="L350" s="10">
        <v>251160</v>
      </c>
      <c r="M350" s="12" t="s">
        <v>250</v>
      </c>
    </row>
    <row r="351" spans="1:13" ht="16.8" x14ac:dyDescent="0.3">
      <c r="A351" s="7" t="s">
        <v>429</v>
      </c>
      <c r="B351" s="8">
        <v>45246</v>
      </c>
      <c r="C351" s="15" t="s">
        <v>273</v>
      </c>
      <c r="D351" s="10" t="s">
        <v>223</v>
      </c>
      <c r="E351">
        <v>2</v>
      </c>
      <c r="F351">
        <v>29000</v>
      </c>
      <c r="G351">
        <v>65000</v>
      </c>
      <c r="H351">
        <v>15</v>
      </c>
      <c r="I351">
        <v>24650</v>
      </c>
      <c r="J351" s="10" t="s">
        <v>278</v>
      </c>
      <c r="K351" s="10">
        <v>24650</v>
      </c>
      <c r="L351" s="10">
        <v>49300</v>
      </c>
      <c r="M351" s="12" t="s">
        <v>239</v>
      </c>
    </row>
    <row r="352" spans="1:13" ht="16.8" x14ac:dyDescent="0.3">
      <c r="A352" s="7" t="s">
        <v>430</v>
      </c>
      <c r="B352" s="8">
        <v>44961</v>
      </c>
      <c r="C352" s="15" t="s">
        <v>270</v>
      </c>
      <c r="D352" s="10" t="s">
        <v>223</v>
      </c>
      <c r="E352">
        <v>3</v>
      </c>
      <c r="F352">
        <v>75000</v>
      </c>
      <c r="G352">
        <v>49000</v>
      </c>
      <c r="H352">
        <v>15</v>
      </c>
      <c r="I352">
        <v>63750</v>
      </c>
      <c r="J352" s="10" t="s">
        <v>278</v>
      </c>
      <c r="K352" s="10">
        <v>63750</v>
      </c>
      <c r="L352" s="10">
        <v>191250</v>
      </c>
      <c r="M352" s="12" t="s">
        <v>258</v>
      </c>
    </row>
    <row r="353" spans="1:13" ht="16.8" x14ac:dyDescent="0.3">
      <c r="A353" s="7" t="s">
        <v>431</v>
      </c>
      <c r="B353" s="8">
        <v>44804</v>
      </c>
      <c r="C353" s="15" t="s">
        <v>3</v>
      </c>
      <c r="D353" s="10" t="s">
        <v>222</v>
      </c>
      <c r="E353">
        <v>3</v>
      </c>
      <c r="F353">
        <v>59000</v>
      </c>
      <c r="G353">
        <v>69000</v>
      </c>
      <c r="H353">
        <v>8</v>
      </c>
      <c r="I353">
        <v>54280</v>
      </c>
      <c r="J353" s="10" t="s">
        <v>278</v>
      </c>
      <c r="K353" s="10">
        <v>54280</v>
      </c>
      <c r="L353" s="10">
        <v>162840</v>
      </c>
      <c r="M353" s="12" t="s">
        <v>248</v>
      </c>
    </row>
    <row r="354" spans="1:13" ht="16.8" x14ac:dyDescent="0.3">
      <c r="A354" s="7" t="s">
        <v>432</v>
      </c>
      <c r="B354" s="8">
        <v>44601</v>
      </c>
      <c r="C354" s="15" t="s">
        <v>4</v>
      </c>
      <c r="D354" s="10" t="s">
        <v>223</v>
      </c>
      <c r="E354">
        <v>3</v>
      </c>
      <c r="F354">
        <v>59000</v>
      </c>
      <c r="G354">
        <v>39000</v>
      </c>
      <c r="H354">
        <v>6</v>
      </c>
      <c r="I354">
        <v>39000</v>
      </c>
      <c r="J354" s="10" t="s">
        <v>279</v>
      </c>
      <c r="K354" s="10">
        <v>39000</v>
      </c>
      <c r="L354" s="10">
        <v>117000</v>
      </c>
      <c r="M354" s="12" t="s">
        <v>261</v>
      </c>
    </row>
    <row r="355" spans="1:13" ht="16.8" x14ac:dyDescent="0.3">
      <c r="A355" s="7" t="s">
        <v>433</v>
      </c>
      <c r="B355" s="8">
        <v>45141</v>
      </c>
      <c r="C355" s="15" t="s">
        <v>3</v>
      </c>
      <c r="D355" s="10" t="s">
        <v>222</v>
      </c>
      <c r="E355">
        <v>2</v>
      </c>
      <c r="F355">
        <v>75000</v>
      </c>
      <c r="G355">
        <v>75000</v>
      </c>
      <c r="H355">
        <v>15</v>
      </c>
      <c r="I355">
        <v>75000</v>
      </c>
      <c r="J355" s="10" t="s">
        <v>279</v>
      </c>
      <c r="K355" s="10">
        <v>75000</v>
      </c>
      <c r="L355" s="10">
        <v>150000</v>
      </c>
      <c r="M355" s="12" t="s">
        <v>250</v>
      </c>
    </row>
    <row r="356" spans="1:13" ht="16.8" x14ac:dyDescent="0.3">
      <c r="A356" s="7" t="s">
        <v>434</v>
      </c>
      <c r="B356" s="8">
        <v>44541</v>
      </c>
      <c r="C356" s="15" t="s">
        <v>275</v>
      </c>
      <c r="D356" s="10" t="s">
        <v>223</v>
      </c>
      <c r="E356">
        <v>5</v>
      </c>
      <c r="F356">
        <v>29000</v>
      </c>
      <c r="G356">
        <v>39000</v>
      </c>
      <c r="H356">
        <v>12</v>
      </c>
      <c r="I356">
        <v>39000</v>
      </c>
      <c r="J356" s="10" t="s">
        <v>279</v>
      </c>
      <c r="K356" s="10">
        <v>39000</v>
      </c>
      <c r="L356" s="10">
        <v>195000</v>
      </c>
      <c r="M356" s="12" t="s">
        <v>247</v>
      </c>
    </row>
    <row r="357" spans="1:13" ht="16.8" x14ac:dyDescent="0.3">
      <c r="A357" s="7" t="s">
        <v>435</v>
      </c>
      <c r="B357" s="8">
        <v>44701</v>
      </c>
      <c r="C357" s="15" t="s">
        <v>274</v>
      </c>
      <c r="D357" s="10" t="s">
        <v>222</v>
      </c>
      <c r="E357">
        <v>3</v>
      </c>
      <c r="F357">
        <v>45000</v>
      </c>
      <c r="G357">
        <v>59000</v>
      </c>
      <c r="H357">
        <v>5</v>
      </c>
      <c r="I357">
        <v>42750</v>
      </c>
      <c r="J357" s="10" t="s">
        <v>278</v>
      </c>
      <c r="K357" s="10">
        <v>42750</v>
      </c>
      <c r="L357" s="10">
        <v>128250</v>
      </c>
      <c r="M357" s="12" t="s">
        <v>227</v>
      </c>
    </row>
    <row r="358" spans="1:13" ht="16.8" x14ac:dyDescent="0.3">
      <c r="A358" s="7" t="s">
        <v>436</v>
      </c>
      <c r="B358" s="8">
        <v>45029</v>
      </c>
      <c r="C358" s="15" t="s">
        <v>271</v>
      </c>
      <c r="D358" s="10" t="s">
        <v>222</v>
      </c>
      <c r="E358">
        <v>4</v>
      </c>
      <c r="F358">
        <v>65000</v>
      </c>
      <c r="G358">
        <v>39000</v>
      </c>
      <c r="H358">
        <v>11</v>
      </c>
      <c r="I358">
        <v>57850</v>
      </c>
      <c r="J358" s="10" t="s">
        <v>278</v>
      </c>
      <c r="K358" s="10">
        <v>57850</v>
      </c>
      <c r="L358" s="10">
        <v>231400</v>
      </c>
      <c r="M358" s="12" t="s">
        <v>261</v>
      </c>
    </row>
    <row r="359" spans="1:13" ht="16.8" x14ac:dyDescent="0.3">
      <c r="A359" s="7" t="s">
        <v>437</v>
      </c>
      <c r="B359" s="8">
        <v>44305</v>
      </c>
      <c r="C359" s="15" t="s">
        <v>273</v>
      </c>
      <c r="D359" s="10" t="s">
        <v>222</v>
      </c>
      <c r="E359">
        <v>3</v>
      </c>
      <c r="F359">
        <v>65000</v>
      </c>
      <c r="G359">
        <v>65000</v>
      </c>
      <c r="H359">
        <v>14</v>
      </c>
      <c r="I359">
        <v>55900</v>
      </c>
      <c r="J359" s="10" t="s">
        <v>278</v>
      </c>
      <c r="K359" s="10">
        <v>55900</v>
      </c>
      <c r="L359" s="10">
        <v>167700</v>
      </c>
      <c r="M359" s="12" t="s">
        <v>251</v>
      </c>
    </row>
    <row r="360" spans="1:13" ht="16.8" x14ac:dyDescent="0.3">
      <c r="A360" s="7" t="s">
        <v>438</v>
      </c>
      <c r="B360" s="8">
        <v>44998</v>
      </c>
      <c r="C360" s="15" t="s">
        <v>4</v>
      </c>
      <c r="D360" s="10" t="s">
        <v>223</v>
      </c>
      <c r="E360">
        <v>5</v>
      </c>
      <c r="F360">
        <v>65000</v>
      </c>
      <c r="G360">
        <v>65000</v>
      </c>
      <c r="H360">
        <v>14</v>
      </c>
      <c r="I360">
        <v>55900</v>
      </c>
      <c r="J360" s="10" t="s">
        <v>278</v>
      </c>
      <c r="K360" s="10">
        <v>55900</v>
      </c>
      <c r="L360" s="10">
        <v>279500</v>
      </c>
      <c r="M360" s="12" t="s">
        <v>16</v>
      </c>
    </row>
    <row r="361" spans="1:13" ht="16.8" x14ac:dyDescent="0.3">
      <c r="A361" s="7" t="s">
        <v>439</v>
      </c>
      <c r="B361" s="8">
        <v>44346</v>
      </c>
      <c r="C361" s="15" t="s">
        <v>273</v>
      </c>
      <c r="D361" s="10" t="s">
        <v>222</v>
      </c>
      <c r="E361">
        <v>2</v>
      </c>
      <c r="F361">
        <v>65000</v>
      </c>
      <c r="G361">
        <v>59000</v>
      </c>
      <c r="H361">
        <v>14</v>
      </c>
      <c r="I361">
        <v>59000</v>
      </c>
      <c r="J361" s="10" t="s">
        <v>279</v>
      </c>
      <c r="K361" s="10">
        <v>59000</v>
      </c>
      <c r="L361" s="10">
        <v>118000</v>
      </c>
      <c r="M361" s="12" t="s">
        <v>12</v>
      </c>
    </row>
    <row r="362" spans="1:13" ht="16.8" x14ac:dyDescent="0.3">
      <c r="A362" s="7" t="s">
        <v>440</v>
      </c>
      <c r="B362" s="8">
        <v>44975</v>
      </c>
      <c r="C362" s="15" t="s">
        <v>273</v>
      </c>
      <c r="D362" s="10" t="s">
        <v>222</v>
      </c>
      <c r="E362">
        <v>3</v>
      </c>
      <c r="F362">
        <v>59000</v>
      </c>
      <c r="G362">
        <v>55000</v>
      </c>
      <c r="H362">
        <v>6</v>
      </c>
      <c r="I362">
        <v>55000</v>
      </c>
      <c r="J362" s="10" t="s">
        <v>279</v>
      </c>
      <c r="K362" s="10">
        <v>55000</v>
      </c>
      <c r="L362" s="10">
        <v>165000</v>
      </c>
      <c r="M362" s="12" t="s">
        <v>231</v>
      </c>
    </row>
    <row r="363" spans="1:13" ht="16.8" x14ac:dyDescent="0.3">
      <c r="A363" s="7" t="s">
        <v>441</v>
      </c>
      <c r="B363" s="8">
        <v>44669</v>
      </c>
      <c r="C363" s="15" t="s">
        <v>271</v>
      </c>
      <c r="D363" s="10" t="s">
        <v>223</v>
      </c>
      <c r="E363">
        <v>1</v>
      </c>
      <c r="F363">
        <v>65000</v>
      </c>
      <c r="G363">
        <v>49000</v>
      </c>
      <c r="H363">
        <v>11</v>
      </c>
      <c r="I363">
        <v>49000</v>
      </c>
      <c r="J363" s="10" t="s">
        <v>279</v>
      </c>
      <c r="K363" s="10">
        <v>49000</v>
      </c>
      <c r="L363" s="10">
        <v>49000</v>
      </c>
      <c r="M363" s="12" t="s">
        <v>255</v>
      </c>
    </row>
    <row r="364" spans="1:13" ht="16.8" x14ac:dyDescent="0.3">
      <c r="A364" s="7" t="s">
        <v>442</v>
      </c>
      <c r="B364" s="8">
        <v>45133</v>
      </c>
      <c r="C364" s="15" t="s">
        <v>274</v>
      </c>
      <c r="D364" s="10" t="s">
        <v>223</v>
      </c>
      <c r="E364">
        <v>3</v>
      </c>
      <c r="F364">
        <v>75000</v>
      </c>
      <c r="G364">
        <v>59000</v>
      </c>
      <c r="H364">
        <v>7</v>
      </c>
      <c r="I364">
        <v>69750</v>
      </c>
      <c r="J364" s="10" t="s">
        <v>278</v>
      </c>
      <c r="K364" s="10">
        <v>69750</v>
      </c>
      <c r="L364" s="10">
        <v>209250</v>
      </c>
      <c r="M364" s="12" t="s">
        <v>247</v>
      </c>
    </row>
    <row r="365" spans="1:13" ht="16.8" x14ac:dyDescent="0.3">
      <c r="A365" s="7" t="s">
        <v>443</v>
      </c>
      <c r="B365" s="8">
        <v>44269</v>
      </c>
      <c r="C365" s="15" t="s">
        <v>6</v>
      </c>
      <c r="D365" s="10" t="s">
        <v>223</v>
      </c>
      <c r="E365">
        <v>4</v>
      </c>
      <c r="F365">
        <v>59000</v>
      </c>
      <c r="G365">
        <v>65000</v>
      </c>
      <c r="H365">
        <v>14</v>
      </c>
      <c r="I365">
        <v>65000</v>
      </c>
      <c r="J365" s="10" t="s">
        <v>279</v>
      </c>
      <c r="K365" s="10">
        <v>65000</v>
      </c>
      <c r="L365" s="10">
        <v>260000</v>
      </c>
      <c r="M365" s="12" t="s">
        <v>234</v>
      </c>
    </row>
    <row r="366" spans="1:13" ht="16.8" x14ac:dyDescent="0.3">
      <c r="A366" s="7" t="s">
        <v>444</v>
      </c>
      <c r="B366" s="8">
        <v>44774</v>
      </c>
      <c r="C366" s="15" t="s">
        <v>273</v>
      </c>
      <c r="D366" s="10" t="s">
        <v>224</v>
      </c>
      <c r="E366">
        <v>5</v>
      </c>
      <c r="F366">
        <v>65000</v>
      </c>
      <c r="G366">
        <v>39000</v>
      </c>
      <c r="H366">
        <v>12</v>
      </c>
      <c r="I366">
        <v>57200</v>
      </c>
      <c r="J366" s="10" t="s">
        <v>278</v>
      </c>
      <c r="K366" s="10">
        <v>57200</v>
      </c>
      <c r="L366" s="10">
        <v>286000</v>
      </c>
      <c r="M366" s="12" t="s">
        <v>240</v>
      </c>
    </row>
    <row r="367" spans="1:13" ht="16.8" x14ac:dyDescent="0.3">
      <c r="A367" s="7" t="s">
        <v>445</v>
      </c>
      <c r="B367" s="8">
        <v>44411</v>
      </c>
      <c r="C367" s="15" t="s">
        <v>6</v>
      </c>
      <c r="D367" s="10" t="s">
        <v>223</v>
      </c>
      <c r="E367">
        <v>4</v>
      </c>
      <c r="F367">
        <v>59000</v>
      </c>
      <c r="G367">
        <v>49000</v>
      </c>
      <c r="H367">
        <v>11</v>
      </c>
      <c r="I367">
        <v>49000</v>
      </c>
      <c r="J367" s="10" t="s">
        <v>279</v>
      </c>
      <c r="K367" s="10">
        <v>49000</v>
      </c>
      <c r="L367" s="10">
        <v>196000</v>
      </c>
      <c r="M367" s="12" t="s">
        <v>226</v>
      </c>
    </row>
    <row r="368" spans="1:13" ht="16.8" x14ac:dyDescent="0.3">
      <c r="A368" s="7" t="s">
        <v>446</v>
      </c>
      <c r="B368" s="8">
        <v>45139</v>
      </c>
      <c r="C368" s="15" t="s">
        <v>273</v>
      </c>
      <c r="D368" s="10" t="s">
        <v>224</v>
      </c>
      <c r="E368">
        <v>4</v>
      </c>
      <c r="F368">
        <v>49000</v>
      </c>
      <c r="G368">
        <v>59000</v>
      </c>
      <c r="H368">
        <v>9</v>
      </c>
      <c r="I368">
        <v>44590</v>
      </c>
      <c r="J368" s="10" t="s">
        <v>278</v>
      </c>
      <c r="K368" s="10">
        <v>44590</v>
      </c>
      <c r="L368" s="10">
        <v>178360</v>
      </c>
      <c r="M368" s="12" t="s">
        <v>238</v>
      </c>
    </row>
    <row r="369" spans="1:13" ht="16.8" x14ac:dyDescent="0.3">
      <c r="A369" s="7" t="s">
        <v>447</v>
      </c>
      <c r="B369" s="8">
        <v>45228</v>
      </c>
      <c r="C369" s="15" t="s">
        <v>4</v>
      </c>
      <c r="D369" s="10" t="s">
        <v>224</v>
      </c>
      <c r="E369">
        <v>2</v>
      </c>
      <c r="F369">
        <v>59000</v>
      </c>
      <c r="G369">
        <v>49000</v>
      </c>
      <c r="H369">
        <v>7</v>
      </c>
      <c r="I369">
        <v>54869.999999999993</v>
      </c>
      <c r="J369" s="10" t="s">
        <v>278</v>
      </c>
      <c r="K369" s="10">
        <v>54869.999999999993</v>
      </c>
      <c r="L369" s="10">
        <v>109739.99999999999</v>
      </c>
      <c r="M369" s="12" t="s">
        <v>233</v>
      </c>
    </row>
    <row r="370" spans="1:13" ht="16.8" x14ac:dyDescent="0.3">
      <c r="A370" s="7" t="s">
        <v>448</v>
      </c>
      <c r="B370" s="8">
        <v>44218</v>
      </c>
      <c r="C370" s="15" t="s">
        <v>273</v>
      </c>
      <c r="D370" s="10" t="s">
        <v>224</v>
      </c>
      <c r="E370">
        <v>2</v>
      </c>
      <c r="F370">
        <v>59000</v>
      </c>
      <c r="G370">
        <v>59000</v>
      </c>
      <c r="H370">
        <v>5</v>
      </c>
      <c r="I370">
        <v>56050</v>
      </c>
      <c r="J370" s="10" t="s">
        <v>278</v>
      </c>
      <c r="K370" s="10">
        <v>56050</v>
      </c>
      <c r="L370" s="10">
        <v>112100</v>
      </c>
      <c r="M370" s="12" t="s">
        <v>258</v>
      </c>
    </row>
    <row r="371" spans="1:13" ht="16.8" x14ac:dyDescent="0.3">
      <c r="A371" s="7" t="s">
        <v>449</v>
      </c>
      <c r="B371" s="8">
        <v>44356</v>
      </c>
      <c r="C371" s="15" t="s">
        <v>275</v>
      </c>
      <c r="D371" s="10" t="s">
        <v>224</v>
      </c>
      <c r="E371">
        <v>5</v>
      </c>
      <c r="F371">
        <v>59000</v>
      </c>
      <c r="G371">
        <v>39000</v>
      </c>
      <c r="H371">
        <v>15</v>
      </c>
      <c r="I371">
        <v>39000</v>
      </c>
      <c r="J371" s="10" t="s">
        <v>279</v>
      </c>
      <c r="K371" s="10">
        <v>39000</v>
      </c>
      <c r="L371" s="10">
        <v>195000</v>
      </c>
      <c r="M371" s="12" t="s">
        <v>16</v>
      </c>
    </row>
    <row r="372" spans="1:13" ht="16.8" x14ac:dyDescent="0.3">
      <c r="A372" s="7" t="s">
        <v>450</v>
      </c>
      <c r="B372" s="8">
        <v>44796</v>
      </c>
      <c r="C372" s="15" t="s">
        <v>5</v>
      </c>
      <c r="D372" s="10" t="s">
        <v>224</v>
      </c>
      <c r="E372">
        <v>4</v>
      </c>
      <c r="F372">
        <v>65000</v>
      </c>
      <c r="G372">
        <v>49000</v>
      </c>
      <c r="H372">
        <v>6</v>
      </c>
      <c r="I372">
        <v>49000</v>
      </c>
      <c r="J372" s="10" t="s">
        <v>279</v>
      </c>
      <c r="K372" s="10">
        <v>49000</v>
      </c>
      <c r="L372" s="10">
        <v>196000</v>
      </c>
      <c r="M372" s="12" t="s">
        <v>228</v>
      </c>
    </row>
    <row r="373" spans="1:13" ht="16.8" x14ac:dyDescent="0.3">
      <c r="A373" s="7" t="s">
        <v>451</v>
      </c>
      <c r="B373" s="8">
        <v>45271</v>
      </c>
      <c r="C373" s="15" t="s">
        <v>270</v>
      </c>
      <c r="D373" s="10" t="s">
        <v>224</v>
      </c>
      <c r="E373">
        <v>1</v>
      </c>
      <c r="F373">
        <v>65000</v>
      </c>
      <c r="G373">
        <v>65000</v>
      </c>
      <c r="H373">
        <v>6</v>
      </c>
      <c r="I373">
        <v>65000</v>
      </c>
      <c r="J373" s="10" t="s">
        <v>279</v>
      </c>
      <c r="K373" s="10">
        <v>65000</v>
      </c>
      <c r="L373" s="10">
        <v>65000</v>
      </c>
      <c r="M373" s="12" t="s">
        <v>15</v>
      </c>
    </row>
    <row r="374" spans="1:13" ht="16.8" x14ac:dyDescent="0.3">
      <c r="A374" s="7" t="s">
        <v>452</v>
      </c>
      <c r="B374" s="8">
        <v>44413</v>
      </c>
      <c r="C374" s="15" t="s">
        <v>272</v>
      </c>
      <c r="D374" s="10" t="s">
        <v>224</v>
      </c>
      <c r="E374">
        <v>2</v>
      </c>
      <c r="F374">
        <v>59000</v>
      </c>
      <c r="G374">
        <v>55000</v>
      </c>
      <c r="H374">
        <v>5</v>
      </c>
      <c r="I374">
        <v>55000</v>
      </c>
      <c r="J374" s="10" t="s">
        <v>279</v>
      </c>
      <c r="K374" s="10">
        <v>55000</v>
      </c>
      <c r="L374" s="10">
        <v>110000</v>
      </c>
      <c r="M374" s="12" t="s">
        <v>235</v>
      </c>
    </row>
    <row r="375" spans="1:13" ht="16.8" x14ac:dyDescent="0.3">
      <c r="A375" s="7" t="s">
        <v>453</v>
      </c>
      <c r="B375" s="8">
        <v>44574</v>
      </c>
      <c r="C375" s="15" t="s">
        <v>271</v>
      </c>
      <c r="D375" s="10" t="s">
        <v>223</v>
      </c>
      <c r="E375">
        <v>1</v>
      </c>
      <c r="F375">
        <v>65000</v>
      </c>
      <c r="G375">
        <v>49000</v>
      </c>
      <c r="H375">
        <v>7</v>
      </c>
      <c r="I375">
        <v>49000</v>
      </c>
      <c r="J375" s="10" t="s">
        <v>279</v>
      </c>
      <c r="K375" s="10">
        <v>49000</v>
      </c>
      <c r="L375" s="10">
        <v>49000</v>
      </c>
      <c r="M375" s="12" t="s">
        <v>232</v>
      </c>
    </row>
    <row r="376" spans="1:13" ht="16.8" x14ac:dyDescent="0.3">
      <c r="A376" s="7" t="s">
        <v>454</v>
      </c>
      <c r="B376" s="8">
        <v>44845</v>
      </c>
      <c r="C376" s="15" t="s">
        <v>270</v>
      </c>
      <c r="D376" s="10" t="s">
        <v>224</v>
      </c>
      <c r="E376">
        <v>1</v>
      </c>
      <c r="F376">
        <v>65000</v>
      </c>
      <c r="G376">
        <v>59000</v>
      </c>
      <c r="H376">
        <v>11</v>
      </c>
      <c r="I376">
        <v>57850</v>
      </c>
      <c r="J376" s="10" t="s">
        <v>278</v>
      </c>
      <c r="K376" s="10">
        <v>57850</v>
      </c>
      <c r="L376" s="10">
        <v>57850</v>
      </c>
      <c r="M376" s="12" t="s">
        <v>247</v>
      </c>
    </row>
    <row r="377" spans="1:13" ht="16.8" x14ac:dyDescent="0.3">
      <c r="A377" s="7" t="s">
        <v>455</v>
      </c>
      <c r="B377" s="8">
        <v>45141</v>
      </c>
      <c r="C377" s="15" t="s">
        <v>274</v>
      </c>
      <c r="D377" s="10" t="s">
        <v>223</v>
      </c>
      <c r="E377">
        <v>3</v>
      </c>
      <c r="F377">
        <v>55000</v>
      </c>
      <c r="G377">
        <v>49000</v>
      </c>
      <c r="H377">
        <v>8</v>
      </c>
      <c r="I377">
        <v>49000</v>
      </c>
      <c r="J377" s="10" t="s">
        <v>279</v>
      </c>
      <c r="K377" s="10">
        <v>49000</v>
      </c>
      <c r="L377" s="10">
        <v>147000</v>
      </c>
      <c r="M377" s="12" t="s">
        <v>246</v>
      </c>
    </row>
    <row r="378" spans="1:13" ht="16.8" x14ac:dyDescent="0.3">
      <c r="A378" s="7" t="s">
        <v>456</v>
      </c>
      <c r="B378" s="8">
        <v>44993</v>
      </c>
      <c r="C378" s="15" t="s">
        <v>275</v>
      </c>
      <c r="D378" s="10" t="s">
        <v>224</v>
      </c>
      <c r="E378">
        <v>2</v>
      </c>
      <c r="F378">
        <v>49000</v>
      </c>
      <c r="G378">
        <v>35000</v>
      </c>
      <c r="H378">
        <v>6</v>
      </c>
      <c r="I378">
        <v>46060</v>
      </c>
      <c r="J378" s="10" t="s">
        <v>278</v>
      </c>
      <c r="K378" s="10">
        <v>46060</v>
      </c>
      <c r="L378" s="10">
        <v>92120</v>
      </c>
      <c r="M378" s="12" t="s">
        <v>236</v>
      </c>
    </row>
    <row r="379" spans="1:13" ht="16.8" x14ac:dyDescent="0.3">
      <c r="A379" s="7" t="s">
        <v>457</v>
      </c>
      <c r="B379" s="8">
        <v>44345</v>
      </c>
      <c r="C379" s="15" t="s">
        <v>273</v>
      </c>
      <c r="D379" s="10" t="s">
        <v>222</v>
      </c>
      <c r="E379">
        <v>1</v>
      </c>
      <c r="F379">
        <v>49000</v>
      </c>
      <c r="G379">
        <v>49000</v>
      </c>
      <c r="H379">
        <v>11</v>
      </c>
      <c r="I379">
        <v>43610</v>
      </c>
      <c r="J379" s="10" t="s">
        <v>278</v>
      </c>
      <c r="K379" s="10">
        <v>43610</v>
      </c>
      <c r="L379" s="10">
        <v>43610</v>
      </c>
      <c r="M379" s="12" t="s">
        <v>248</v>
      </c>
    </row>
    <row r="380" spans="1:13" ht="16.8" x14ac:dyDescent="0.3">
      <c r="A380" s="7" t="s">
        <v>458</v>
      </c>
      <c r="B380" s="8">
        <v>44358</v>
      </c>
      <c r="C380" s="15" t="s">
        <v>5</v>
      </c>
      <c r="D380" s="10" t="s">
        <v>222</v>
      </c>
      <c r="E380">
        <v>1</v>
      </c>
      <c r="F380">
        <v>49000</v>
      </c>
      <c r="G380">
        <v>69000</v>
      </c>
      <c r="H380">
        <v>12</v>
      </c>
      <c r="I380">
        <v>69000</v>
      </c>
      <c r="J380" s="10" t="s">
        <v>279</v>
      </c>
      <c r="K380" s="10">
        <v>69000</v>
      </c>
      <c r="L380" s="10">
        <v>69000</v>
      </c>
      <c r="M380" s="12" t="s">
        <v>234</v>
      </c>
    </row>
    <row r="381" spans="1:13" ht="16.8" x14ac:dyDescent="0.3">
      <c r="A381" s="7" t="s">
        <v>459</v>
      </c>
      <c r="B381" s="8">
        <v>44301</v>
      </c>
      <c r="C381" s="15" t="s">
        <v>273</v>
      </c>
      <c r="D381" s="10" t="s">
        <v>224</v>
      </c>
      <c r="E381">
        <v>5</v>
      </c>
      <c r="F381">
        <v>49000</v>
      </c>
      <c r="G381">
        <v>59000</v>
      </c>
      <c r="H381">
        <v>9</v>
      </c>
      <c r="I381">
        <v>59000</v>
      </c>
      <c r="J381" s="10" t="s">
        <v>279</v>
      </c>
      <c r="K381" s="10">
        <v>59000</v>
      </c>
      <c r="L381" s="10">
        <v>295000</v>
      </c>
      <c r="M381" s="12" t="s">
        <v>256</v>
      </c>
    </row>
    <row r="382" spans="1:13" ht="16.8" x14ac:dyDescent="0.3">
      <c r="A382" s="7" t="s">
        <v>460</v>
      </c>
      <c r="B382" s="8">
        <v>44959</v>
      </c>
      <c r="C382" s="15" t="s">
        <v>272</v>
      </c>
      <c r="D382" s="10" t="s">
        <v>222</v>
      </c>
      <c r="E382">
        <v>4</v>
      </c>
      <c r="F382">
        <v>35000</v>
      </c>
      <c r="G382">
        <v>55000</v>
      </c>
      <c r="H382">
        <v>14</v>
      </c>
      <c r="I382">
        <v>30100</v>
      </c>
      <c r="J382" s="10" t="s">
        <v>278</v>
      </c>
      <c r="K382" s="10">
        <v>30100</v>
      </c>
      <c r="L382" s="10">
        <v>120400</v>
      </c>
      <c r="M382" s="12" t="s">
        <v>246</v>
      </c>
    </row>
    <row r="383" spans="1:13" ht="16.8" x14ac:dyDescent="0.3">
      <c r="A383" s="7" t="s">
        <v>461</v>
      </c>
      <c r="B383" s="8">
        <v>44596</v>
      </c>
      <c r="C383" s="15" t="s">
        <v>6</v>
      </c>
      <c r="D383" s="10" t="s">
        <v>224</v>
      </c>
      <c r="E383">
        <v>3</v>
      </c>
      <c r="F383">
        <v>49000</v>
      </c>
      <c r="G383">
        <v>39000</v>
      </c>
      <c r="H383">
        <v>12</v>
      </c>
      <c r="I383">
        <v>43120</v>
      </c>
      <c r="J383" s="10" t="s">
        <v>278</v>
      </c>
      <c r="K383" s="10">
        <v>43120</v>
      </c>
      <c r="L383" s="10">
        <v>129360</v>
      </c>
      <c r="M383" s="12" t="s">
        <v>240</v>
      </c>
    </row>
    <row r="384" spans="1:13" ht="16.8" x14ac:dyDescent="0.3">
      <c r="A384" s="7" t="s">
        <v>462</v>
      </c>
      <c r="B384" s="8">
        <v>44900</v>
      </c>
      <c r="C384" s="15" t="s">
        <v>6</v>
      </c>
      <c r="D384" s="10" t="s">
        <v>223</v>
      </c>
      <c r="E384">
        <v>2</v>
      </c>
      <c r="F384">
        <v>69000</v>
      </c>
      <c r="G384">
        <v>35000</v>
      </c>
      <c r="H384">
        <v>9</v>
      </c>
      <c r="I384">
        <v>62790</v>
      </c>
      <c r="J384" s="10" t="s">
        <v>278</v>
      </c>
      <c r="K384" s="10">
        <v>62790</v>
      </c>
      <c r="L384" s="10">
        <v>125580</v>
      </c>
      <c r="M384" s="12" t="s">
        <v>227</v>
      </c>
    </row>
    <row r="385" spans="1:13" ht="16.8" x14ac:dyDescent="0.3">
      <c r="A385" s="7" t="s">
        <v>463</v>
      </c>
      <c r="B385" s="8">
        <v>45267</v>
      </c>
      <c r="C385" s="15" t="s">
        <v>5</v>
      </c>
      <c r="D385" s="10" t="s">
        <v>223</v>
      </c>
      <c r="E385">
        <v>3</v>
      </c>
      <c r="F385">
        <v>65000</v>
      </c>
      <c r="G385">
        <v>65000</v>
      </c>
      <c r="H385">
        <v>11</v>
      </c>
      <c r="I385">
        <v>65000</v>
      </c>
      <c r="J385" s="10" t="s">
        <v>279</v>
      </c>
      <c r="K385" s="10">
        <v>65000</v>
      </c>
      <c r="L385" s="10">
        <v>195000</v>
      </c>
      <c r="M385" s="12" t="s">
        <v>238</v>
      </c>
    </row>
    <row r="386" spans="1:13" ht="16.8" x14ac:dyDescent="0.3">
      <c r="A386" s="7" t="s">
        <v>464</v>
      </c>
      <c r="B386" s="8">
        <v>45196</v>
      </c>
      <c r="C386" s="15" t="s">
        <v>270</v>
      </c>
      <c r="D386" s="10" t="s">
        <v>222</v>
      </c>
      <c r="E386">
        <v>2</v>
      </c>
      <c r="F386">
        <v>69000</v>
      </c>
      <c r="G386">
        <v>65000</v>
      </c>
      <c r="H386">
        <v>12</v>
      </c>
      <c r="I386">
        <v>60720</v>
      </c>
      <c r="J386" s="10" t="s">
        <v>278</v>
      </c>
      <c r="K386" s="10">
        <v>60720</v>
      </c>
      <c r="L386" s="10">
        <v>121440</v>
      </c>
      <c r="M386" s="12" t="s">
        <v>243</v>
      </c>
    </row>
    <row r="387" spans="1:13" ht="16.8" x14ac:dyDescent="0.3">
      <c r="A387" s="7" t="s">
        <v>465</v>
      </c>
      <c r="B387" s="8">
        <v>44817</v>
      </c>
      <c r="C387" s="15" t="s">
        <v>271</v>
      </c>
      <c r="D387" s="10" t="s">
        <v>223</v>
      </c>
      <c r="E387">
        <v>5</v>
      </c>
      <c r="F387">
        <v>35000</v>
      </c>
      <c r="G387">
        <v>39000</v>
      </c>
      <c r="H387">
        <v>13</v>
      </c>
      <c r="I387">
        <v>39000</v>
      </c>
      <c r="J387" s="10" t="s">
        <v>279</v>
      </c>
      <c r="K387" s="10">
        <v>39000</v>
      </c>
      <c r="L387" s="10">
        <v>195000</v>
      </c>
      <c r="M387" s="12" t="s">
        <v>248</v>
      </c>
    </row>
    <row r="388" spans="1:13" ht="16.8" x14ac:dyDescent="0.3">
      <c r="A388" s="7" t="s">
        <v>466</v>
      </c>
      <c r="B388" s="8">
        <v>44495</v>
      </c>
      <c r="C388" s="15" t="s">
        <v>272</v>
      </c>
      <c r="D388" s="10" t="s">
        <v>223</v>
      </c>
      <c r="E388">
        <v>2</v>
      </c>
      <c r="F388">
        <v>65000</v>
      </c>
      <c r="G388">
        <v>49000</v>
      </c>
      <c r="H388">
        <v>8</v>
      </c>
      <c r="I388">
        <v>49000</v>
      </c>
      <c r="J388" s="10" t="s">
        <v>279</v>
      </c>
      <c r="K388" s="10">
        <v>49000</v>
      </c>
      <c r="L388" s="10">
        <v>98000</v>
      </c>
      <c r="M388" s="12" t="s">
        <v>249</v>
      </c>
    </row>
    <row r="389" spans="1:13" ht="16.8" x14ac:dyDescent="0.3">
      <c r="A389" s="7" t="s">
        <v>467</v>
      </c>
      <c r="B389" s="8">
        <v>44863</v>
      </c>
      <c r="C389" s="15" t="s">
        <v>6</v>
      </c>
      <c r="D389" s="10" t="s">
        <v>222</v>
      </c>
      <c r="E389">
        <v>1</v>
      </c>
      <c r="F389">
        <v>69000</v>
      </c>
      <c r="G389">
        <v>65000</v>
      </c>
      <c r="H389">
        <v>11</v>
      </c>
      <c r="I389">
        <v>61410</v>
      </c>
      <c r="J389" s="10" t="s">
        <v>278</v>
      </c>
      <c r="K389" s="10">
        <v>61410</v>
      </c>
      <c r="L389" s="10">
        <v>61410</v>
      </c>
      <c r="M389" s="12" t="s">
        <v>240</v>
      </c>
    </row>
    <row r="390" spans="1:13" ht="16.8" x14ac:dyDescent="0.3">
      <c r="A390" s="7" t="s">
        <v>468</v>
      </c>
      <c r="B390" s="8">
        <v>44936</v>
      </c>
      <c r="C390" s="15" t="s">
        <v>275</v>
      </c>
      <c r="D390" s="10" t="s">
        <v>222</v>
      </c>
      <c r="E390">
        <v>3</v>
      </c>
      <c r="F390">
        <v>55000</v>
      </c>
      <c r="G390">
        <v>65000</v>
      </c>
      <c r="H390">
        <v>10</v>
      </c>
      <c r="I390">
        <v>65000</v>
      </c>
      <c r="J390" s="10" t="s">
        <v>279</v>
      </c>
      <c r="K390" s="10">
        <v>65000</v>
      </c>
      <c r="L390" s="10">
        <v>195000</v>
      </c>
      <c r="M390" s="12" t="s">
        <v>13</v>
      </c>
    </row>
    <row r="391" spans="1:13" ht="16.8" x14ac:dyDescent="0.3">
      <c r="A391" s="7" t="s">
        <v>469</v>
      </c>
      <c r="B391" s="8">
        <v>45073</v>
      </c>
      <c r="C391" s="15" t="s">
        <v>6</v>
      </c>
      <c r="D391" s="10" t="s">
        <v>222</v>
      </c>
      <c r="E391">
        <v>2</v>
      </c>
      <c r="F391">
        <v>55000</v>
      </c>
      <c r="G391">
        <v>65000</v>
      </c>
      <c r="H391">
        <v>11</v>
      </c>
      <c r="I391">
        <v>48950</v>
      </c>
      <c r="J391" s="10" t="s">
        <v>278</v>
      </c>
      <c r="K391" s="10">
        <v>48950</v>
      </c>
      <c r="L391" s="10">
        <v>97900</v>
      </c>
      <c r="M391" s="12" t="s">
        <v>228</v>
      </c>
    </row>
    <row r="392" spans="1:13" ht="16.8" x14ac:dyDescent="0.3">
      <c r="A392" s="7" t="s">
        <v>470</v>
      </c>
      <c r="B392" s="8">
        <v>45070</v>
      </c>
      <c r="C392" s="15" t="s">
        <v>270</v>
      </c>
      <c r="D392" s="10" t="s">
        <v>224</v>
      </c>
      <c r="E392">
        <v>2</v>
      </c>
      <c r="F392">
        <v>35000</v>
      </c>
      <c r="G392">
        <v>59000</v>
      </c>
      <c r="H392">
        <v>7</v>
      </c>
      <c r="I392">
        <v>32549.999999999996</v>
      </c>
      <c r="J392" s="10" t="s">
        <v>278</v>
      </c>
      <c r="K392" s="10">
        <v>32549.999999999996</v>
      </c>
      <c r="L392" s="10">
        <v>65099.999999999993</v>
      </c>
      <c r="M392" s="12" t="s">
        <v>244</v>
      </c>
    </row>
    <row r="393" spans="1:13" ht="16.8" x14ac:dyDescent="0.3">
      <c r="A393" s="7" t="s">
        <v>471</v>
      </c>
      <c r="B393" s="8">
        <v>44695</v>
      </c>
      <c r="C393" s="15" t="s">
        <v>5</v>
      </c>
      <c r="D393" s="10" t="s">
        <v>223</v>
      </c>
      <c r="E393">
        <v>4</v>
      </c>
      <c r="F393">
        <v>59000</v>
      </c>
      <c r="G393">
        <v>69000</v>
      </c>
      <c r="H393">
        <v>13</v>
      </c>
      <c r="I393">
        <v>69000</v>
      </c>
      <c r="J393" s="10" t="s">
        <v>279</v>
      </c>
      <c r="K393" s="10">
        <v>69000</v>
      </c>
      <c r="L393" s="10">
        <v>276000</v>
      </c>
      <c r="M393" s="12" t="s">
        <v>251</v>
      </c>
    </row>
    <row r="394" spans="1:13" ht="16.8" x14ac:dyDescent="0.3">
      <c r="A394" s="7" t="s">
        <v>472</v>
      </c>
      <c r="B394" s="8">
        <v>44534</v>
      </c>
      <c r="C394" s="15" t="s">
        <v>274</v>
      </c>
      <c r="D394" s="10" t="s">
        <v>224</v>
      </c>
      <c r="E394">
        <v>2</v>
      </c>
      <c r="F394">
        <v>55000</v>
      </c>
      <c r="G394">
        <v>55000</v>
      </c>
      <c r="H394">
        <v>11</v>
      </c>
      <c r="I394">
        <v>48950</v>
      </c>
      <c r="J394" s="10" t="s">
        <v>278</v>
      </c>
      <c r="K394" s="10">
        <v>48950</v>
      </c>
      <c r="L394" s="10">
        <v>97900</v>
      </c>
      <c r="M394" s="12" t="s">
        <v>259</v>
      </c>
    </row>
    <row r="395" spans="1:13" ht="16.8" x14ac:dyDescent="0.3">
      <c r="A395" s="7" t="s">
        <v>473</v>
      </c>
      <c r="B395" s="8">
        <v>44963</v>
      </c>
      <c r="C395" s="15" t="s">
        <v>3</v>
      </c>
      <c r="D395" s="10" t="s">
        <v>223</v>
      </c>
      <c r="E395">
        <v>1</v>
      </c>
      <c r="F395">
        <v>59000</v>
      </c>
      <c r="G395">
        <v>49000</v>
      </c>
      <c r="H395">
        <v>12</v>
      </c>
      <c r="I395">
        <v>51920</v>
      </c>
      <c r="J395" s="10" t="s">
        <v>278</v>
      </c>
      <c r="K395" s="10">
        <v>51920</v>
      </c>
      <c r="L395" s="10">
        <v>51920</v>
      </c>
      <c r="M395" s="12" t="s">
        <v>236</v>
      </c>
    </row>
    <row r="396" spans="1:13" ht="16.8" x14ac:dyDescent="0.3">
      <c r="A396" s="7" t="s">
        <v>474</v>
      </c>
      <c r="B396" s="8">
        <v>45268</v>
      </c>
      <c r="C396" s="15" t="s">
        <v>271</v>
      </c>
      <c r="D396" s="10" t="s">
        <v>222</v>
      </c>
      <c r="E396">
        <v>3</v>
      </c>
      <c r="F396">
        <v>59000</v>
      </c>
      <c r="G396">
        <v>59000</v>
      </c>
      <c r="H396">
        <v>10</v>
      </c>
      <c r="I396">
        <v>59000</v>
      </c>
      <c r="J396" s="10" t="s">
        <v>279</v>
      </c>
      <c r="K396" s="10">
        <v>59000</v>
      </c>
      <c r="L396" s="10">
        <v>177000</v>
      </c>
      <c r="M396" s="12" t="s">
        <v>19</v>
      </c>
    </row>
    <row r="397" spans="1:13" ht="16.8" x14ac:dyDescent="0.3">
      <c r="A397" s="7" t="s">
        <v>475</v>
      </c>
      <c r="B397" s="8">
        <v>44460</v>
      </c>
      <c r="C397" s="15" t="s">
        <v>271</v>
      </c>
      <c r="D397" s="10" t="s">
        <v>222</v>
      </c>
      <c r="E397">
        <v>2</v>
      </c>
      <c r="F397">
        <v>35000</v>
      </c>
      <c r="G397">
        <v>49000</v>
      </c>
      <c r="H397">
        <v>9</v>
      </c>
      <c r="I397">
        <v>31850</v>
      </c>
      <c r="J397" s="10" t="s">
        <v>278</v>
      </c>
      <c r="K397" s="10">
        <v>31850</v>
      </c>
      <c r="L397" s="10">
        <v>63700</v>
      </c>
      <c r="M397" s="12" t="s">
        <v>234</v>
      </c>
    </row>
    <row r="398" spans="1:13" ht="16.8" x14ac:dyDescent="0.3">
      <c r="A398" s="7" t="s">
        <v>476</v>
      </c>
      <c r="B398" s="8">
        <v>44869</v>
      </c>
      <c r="C398" s="15" t="s">
        <v>5</v>
      </c>
      <c r="D398" s="10" t="s">
        <v>222</v>
      </c>
      <c r="E398">
        <v>5</v>
      </c>
      <c r="F398">
        <v>65000</v>
      </c>
      <c r="G398">
        <v>69000</v>
      </c>
      <c r="H398">
        <v>6</v>
      </c>
      <c r="I398">
        <v>61100</v>
      </c>
      <c r="J398" s="10" t="s">
        <v>278</v>
      </c>
      <c r="K398" s="10">
        <v>61100</v>
      </c>
      <c r="L398" s="10">
        <v>305500</v>
      </c>
      <c r="M398" s="12" t="s">
        <v>246</v>
      </c>
    </row>
    <row r="399" spans="1:13" ht="16.8" x14ac:dyDescent="0.3">
      <c r="A399" s="7" t="s">
        <v>477</v>
      </c>
      <c r="B399" s="8">
        <v>45008</v>
      </c>
      <c r="C399" s="15" t="s">
        <v>274</v>
      </c>
      <c r="D399" s="10" t="s">
        <v>222</v>
      </c>
      <c r="E399">
        <v>4</v>
      </c>
      <c r="F399">
        <v>65000</v>
      </c>
      <c r="G399">
        <v>49000</v>
      </c>
      <c r="H399">
        <v>15</v>
      </c>
      <c r="I399">
        <v>49000</v>
      </c>
      <c r="J399" s="10" t="s">
        <v>279</v>
      </c>
      <c r="K399" s="10">
        <v>49000</v>
      </c>
      <c r="L399" s="10">
        <v>196000</v>
      </c>
      <c r="M399" s="12" t="s">
        <v>246</v>
      </c>
    </row>
    <row r="400" spans="1:13" ht="16.8" x14ac:dyDescent="0.3">
      <c r="A400" s="7" t="s">
        <v>478</v>
      </c>
      <c r="B400" s="8">
        <v>44265</v>
      </c>
      <c r="C400" s="15" t="s">
        <v>275</v>
      </c>
      <c r="D400" s="10" t="s">
        <v>223</v>
      </c>
      <c r="E400">
        <v>3</v>
      </c>
      <c r="F400">
        <v>49000</v>
      </c>
      <c r="G400">
        <v>49000</v>
      </c>
      <c r="H400">
        <v>12</v>
      </c>
      <c r="I400">
        <v>43120</v>
      </c>
      <c r="J400" s="10" t="s">
        <v>278</v>
      </c>
      <c r="K400" s="10">
        <v>43120</v>
      </c>
      <c r="L400" s="10">
        <v>129360</v>
      </c>
      <c r="M400" s="12" t="s">
        <v>259</v>
      </c>
    </row>
    <row r="401" spans="1:13" ht="16.8" x14ac:dyDescent="0.3">
      <c r="A401" s="7" t="s">
        <v>479</v>
      </c>
      <c r="B401" s="8">
        <v>44469</v>
      </c>
      <c r="C401" s="15" t="s">
        <v>273</v>
      </c>
      <c r="D401" s="10" t="s">
        <v>222</v>
      </c>
      <c r="E401">
        <v>1</v>
      </c>
      <c r="F401">
        <v>65000</v>
      </c>
      <c r="G401">
        <v>49000</v>
      </c>
      <c r="H401">
        <v>8</v>
      </c>
      <c r="I401">
        <v>59800</v>
      </c>
      <c r="J401" s="10" t="s">
        <v>278</v>
      </c>
      <c r="K401" s="10">
        <v>59800</v>
      </c>
      <c r="L401" s="10">
        <v>59800</v>
      </c>
      <c r="M401" s="12" t="s">
        <v>247</v>
      </c>
    </row>
    <row r="402" spans="1:13" ht="16.8" x14ac:dyDescent="0.3">
      <c r="A402" s="7" t="s">
        <v>480</v>
      </c>
      <c r="B402" s="8">
        <v>44206</v>
      </c>
      <c r="C402" s="15" t="s">
        <v>275</v>
      </c>
      <c r="D402" s="10" t="s">
        <v>224</v>
      </c>
      <c r="E402">
        <v>3</v>
      </c>
      <c r="F402">
        <v>49000</v>
      </c>
      <c r="G402">
        <v>65000</v>
      </c>
      <c r="H402">
        <v>5</v>
      </c>
      <c r="I402">
        <v>46550</v>
      </c>
      <c r="J402" s="10" t="s">
        <v>278</v>
      </c>
      <c r="K402" s="10">
        <v>46550</v>
      </c>
      <c r="L402" s="10">
        <v>139650</v>
      </c>
      <c r="M402" s="12" t="s">
        <v>243</v>
      </c>
    </row>
    <row r="403" spans="1:13" ht="16.8" x14ac:dyDescent="0.3">
      <c r="A403" s="7" t="s">
        <v>481</v>
      </c>
      <c r="B403" s="8">
        <v>44782</v>
      </c>
      <c r="C403" s="15" t="s">
        <v>3</v>
      </c>
      <c r="D403" s="10" t="s">
        <v>224</v>
      </c>
      <c r="E403">
        <v>5</v>
      </c>
      <c r="F403">
        <v>59000</v>
      </c>
      <c r="G403">
        <v>69000</v>
      </c>
      <c r="H403">
        <v>10</v>
      </c>
      <c r="I403">
        <v>69000</v>
      </c>
      <c r="J403" s="10" t="s">
        <v>279</v>
      </c>
      <c r="K403" s="10">
        <v>69000</v>
      </c>
      <c r="L403" s="10">
        <v>345000</v>
      </c>
      <c r="M403" s="12" t="s">
        <v>245</v>
      </c>
    </row>
    <row r="404" spans="1:13" ht="16.8" x14ac:dyDescent="0.3">
      <c r="A404" s="7" t="s">
        <v>482</v>
      </c>
      <c r="B404" s="8">
        <v>44520</v>
      </c>
      <c r="C404" s="15" t="s">
        <v>5</v>
      </c>
      <c r="D404" s="10" t="s">
        <v>224</v>
      </c>
      <c r="E404">
        <v>5</v>
      </c>
      <c r="F404">
        <v>49000</v>
      </c>
      <c r="G404">
        <v>55000</v>
      </c>
      <c r="H404">
        <v>15</v>
      </c>
      <c r="I404">
        <v>55000</v>
      </c>
      <c r="J404" s="10" t="s">
        <v>279</v>
      </c>
      <c r="K404" s="10">
        <v>55000</v>
      </c>
      <c r="L404" s="10">
        <v>275000</v>
      </c>
      <c r="M404" s="12" t="s">
        <v>262</v>
      </c>
    </row>
    <row r="405" spans="1:13" ht="16.8" x14ac:dyDescent="0.3">
      <c r="A405" s="7" t="s">
        <v>483</v>
      </c>
      <c r="B405" s="8">
        <v>45147</v>
      </c>
      <c r="C405" s="15" t="s">
        <v>274</v>
      </c>
      <c r="D405" s="10" t="s">
        <v>222</v>
      </c>
      <c r="E405">
        <v>2</v>
      </c>
      <c r="F405">
        <v>59000</v>
      </c>
      <c r="G405">
        <v>59000</v>
      </c>
      <c r="H405">
        <v>8</v>
      </c>
      <c r="I405">
        <v>59000</v>
      </c>
      <c r="J405" s="10" t="s">
        <v>279</v>
      </c>
      <c r="K405" s="10">
        <v>59000</v>
      </c>
      <c r="L405" s="10">
        <v>118000</v>
      </c>
      <c r="M405" s="12" t="s">
        <v>237</v>
      </c>
    </row>
    <row r="406" spans="1:13" ht="16.8" x14ac:dyDescent="0.3">
      <c r="A406" s="7" t="s">
        <v>484</v>
      </c>
      <c r="B406" s="8">
        <v>44688</v>
      </c>
      <c r="C406" s="15" t="s">
        <v>275</v>
      </c>
      <c r="D406" s="10" t="s">
        <v>222</v>
      </c>
      <c r="E406">
        <v>2</v>
      </c>
      <c r="F406">
        <v>59000</v>
      </c>
      <c r="G406">
        <v>55000</v>
      </c>
      <c r="H406">
        <v>12</v>
      </c>
      <c r="I406">
        <v>51920</v>
      </c>
      <c r="J406" s="10" t="s">
        <v>278</v>
      </c>
      <c r="K406" s="10">
        <v>51920</v>
      </c>
      <c r="L406" s="10">
        <v>103840</v>
      </c>
      <c r="M406" s="12" t="s">
        <v>242</v>
      </c>
    </row>
    <row r="407" spans="1:13" ht="16.8" x14ac:dyDescent="0.3">
      <c r="A407" s="7" t="s">
        <v>485</v>
      </c>
      <c r="B407" s="8">
        <v>45138</v>
      </c>
      <c r="C407" s="15" t="s">
        <v>274</v>
      </c>
      <c r="D407" s="10" t="s">
        <v>222</v>
      </c>
      <c r="E407">
        <v>3</v>
      </c>
      <c r="F407">
        <v>35000</v>
      </c>
      <c r="G407">
        <v>65000</v>
      </c>
      <c r="H407">
        <v>12</v>
      </c>
      <c r="I407">
        <v>30800</v>
      </c>
      <c r="J407" s="10" t="s">
        <v>278</v>
      </c>
      <c r="K407" s="10">
        <v>30800</v>
      </c>
      <c r="L407" s="10">
        <v>92400</v>
      </c>
      <c r="M407" s="12" t="s">
        <v>230</v>
      </c>
    </row>
    <row r="408" spans="1:13" ht="16.8" x14ac:dyDescent="0.3">
      <c r="A408" s="7" t="s">
        <v>486</v>
      </c>
      <c r="B408" s="8">
        <v>44514</v>
      </c>
      <c r="C408" s="15" t="s">
        <v>272</v>
      </c>
      <c r="D408" s="10" t="s">
        <v>224</v>
      </c>
      <c r="E408">
        <v>1</v>
      </c>
      <c r="F408">
        <v>59000</v>
      </c>
      <c r="G408">
        <v>59000</v>
      </c>
      <c r="H408">
        <v>11</v>
      </c>
      <c r="I408">
        <v>52510</v>
      </c>
      <c r="J408" s="10" t="s">
        <v>278</v>
      </c>
      <c r="K408" s="10">
        <v>52510</v>
      </c>
      <c r="L408" s="10">
        <v>52510</v>
      </c>
      <c r="M408" s="12" t="s">
        <v>258</v>
      </c>
    </row>
    <row r="409" spans="1:13" ht="16.8" x14ac:dyDescent="0.3">
      <c r="A409" s="7" t="s">
        <v>487</v>
      </c>
      <c r="B409" s="8">
        <v>44347</v>
      </c>
      <c r="C409" s="15" t="s">
        <v>274</v>
      </c>
      <c r="D409" s="10" t="s">
        <v>224</v>
      </c>
      <c r="E409">
        <v>3</v>
      </c>
      <c r="F409">
        <v>49000</v>
      </c>
      <c r="G409">
        <v>35000</v>
      </c>
      <c r="H409">
        <v>13</v>
      </c>
      <c r="I409">
        <v>42630</v>
      </c>
      <c r="J409" s="10" t="s">
        <v>278</v>
      </c>
      <c r="K409" s="10">
        <v>42630</v>
      </c>
      <c r="L409" s="10">
        <v>127890</v>
      </c>
      <c r="M409" s="12" t="s">
        <v>10</v>
      </c>
    </row>
    <row r="410" spans="1:13" ht="16.8" x14ac:dyDescent="0.3">
      <c r="A410" s="7" t="s">
        <v>488</v>
      </c>
      <c r="B410" s="8">
        <v>44650</v>
      </c>
      <c r="C410" s="15" t="s">
        <v>272</v>
      </c>
      <c r="D410" s="10" t="s">
        <v>222</v>
      </c>
      <c r="E410">
        <v>4</v>
      </c>
      <c r="F410">
        <v>49000</v>
      </c>
      <c r="G410">
        <v>55000</v>
      </c>
      <c r="H410">
        <v>7</v>
      </c>
      <c r="I410">
        <v>55000</v>
      </c>
      <c r="J410" s="10" t="s">
        <v>279</v>
      </c>
      <c r="K410" s="10">
        <v>55000</v>
      </c>
      <c r="L410" s="10">
        <v>220000</v>
      </c>
      <c r="M410" s="12" t="s">
        <v>21</v>
      </c>
    </row>
    <row r="411" spans="1:13" ht="16.8" x14ac:dyDescent="0.3">
      <c r="A411" s="7" t="s">
        <v>489</v>
      </c>
      <c r="B411" s="8">
        <v>44715</v>
      </c>
      <c r="C411" s="15" t="s">
        <v>3</v>
      </c>
      <c r="D411" s="10" t="s">
        <v>223</v>
      </c>
      <c r="E411">
        <v>5</v>
      </c>
      <c r="F411">
        <v>59000</v>
      </c>
      <c r="G411">
        <v>49000</v>
      </c>
      <c r="H411">
        <v>6</v>
      </c>
      <c r="I411">
        <v>55460</v>
      </c>
      <c r="J411" s="10" t="s">
        <v>278</v>
      </c>
      <c r="K411" s="10">
        <v>55460</v>
      </c>
      <c r="L411" s="10">
        <v>277300</v>
      </c>
      <c r="M411" s="12" t="s">
        <v>259</v>
      </c>
    </row>
    <row r="412" spans="1:13" ht="16.8" x14ac:dyDescent="0.3">
      <c r="A412" s="7" t="s">
        <v>490</v>
      </c>
      <c r="B412" s="8">
        <v>44281</v>
      </c>
      <c r="C412" s="15" t="s">
        <v>274</v>
      </c>
      <c r="D412" s="10" t="s">
        <v>222</v>
      </c>
      <c r="E412">
        <v>1</v>
      </c>
      <c r="F412">
        <v>69000</v>
      </c>
      <c r="G412">
        <v>39000</v>
      </c>
      <c r="H412">
        <v>13</v>
      </c>
      <c r="I412">
        <v>39000</v>
      </c>
      <c r="J412" s="10" t="s">
        <v>279</v>
      </c>
      <c r="K412" s="10">
        <v>39000</v>
      </c>
      <c r="L412" s="10">
        <v>39000</v>
      </c>
      <c r="M412" s="12" t="s">
        <v>235</v>
      </c>
    </row>
    <row r="413" spans="1:13" ht="16.8" x14ac:dyDescent="0.3">
      <c r="A413" s="7" t="s">
        <v>491</v>
      </c>
      <c r="B413" s="8">
        <v>45275</v>
      </c>
      <c r="C413" s="15" t="s">
        <v>5</v>
      </c>
      <c r="D413" s="10" t="s">
        <v>224</v>
      </c>
      <c r="E413">
        <v>3</v>
      </c>
      <c r="F413">
        <v>35000</v>
      </c>
      <c r="G413">
        <v>59000</v>
      </c>
      <c r="H413">
        <v>11</v>
      </c>
      <c r="I413">
        <v>31150</v>
      </c>
      <c r="J413" s="10" t="s">
        <v>278</v>
      </c>
      <c r="K413" s="10">
        <v>31150</v>
      </c>
      <c r="L413" s="10">
        <v>93450</v>
      </c>
      <c r="M413" s="12" t="s">
        <v>18</v>
      </c>
    </row>
    <row r="414" spans="1:13" ht="16.8" x14ac:dyDescent="0.3">
      <c r="A414" s="7" t="s">
        <v>492</v>
      </c>
      <c r="B414" s="8">
        <v>44434</v>
      </c>
      <c r="C414" s="15" t="s">
        <v>272</v>
      </c>
      <c r="D414" s="10" t="s">
        <v>224</v>
      </c>
      <c r="E414">
        <v>3</v>
      </c>
      <c r="F414">
        <v>69000</v>
      </c>
      <c r="G414">
        <v>59000</v>
      </c>
      <c r="H414">
        <v>9</v>
      </c>
      <c r="I414">
        <v>62790</v>
      </c>
      <c r="J414" s="10" t="s">
        <v>278</v>
      </c>
      <c r="K414" s="10">
        <v>62790</v>
      </c>
      <c r="L414" s="10">
        <v>188370</v>
      </c>
      <c r="M414" s="12" t="s">
        <v>246</v>
      </c>
    </row>
    <row r="415" spans="1:13" ht="16.8" x14ac:dyDescent="0.3">
      <c r="A415" s="7" t="s">
        <v>493</v>
      </c>
      <c r="B415" s="8">
        <v>44654</v>
      </c>
      <c r="C415" s="15" t="s">
        <v>5</v>
      </c>
      <c r="D415" s="10" t="s">
        <v>223</v>
      </c>
      <c r="E415">
        <v>2</v>
      </c>
      <c r="F415">
        <v>59000</v>
      </c>
      <c r="G415">
        <v>59000</v>
      </c>
      <c r="H415">
        <v>11</v>
      </c>
      <c r="I415">
        <v>52510</v>
      </c>
      <c r="J415" s="10" t="s">
        <v>278</v>
      </c>
      <c r="K415" s="10">
        <v>52510</v>
      </c>
      <c r="L415" s="10">
        <v>105020</v>
      </c>
      <c r="M415" s="12" t="s">
        <v>229</v>
      </c>
    </row>
    <row r="416" spans="1:13" ht="16.8" x14ac:dyDescent="0.3">
      <c r="A416" s="7" t="s">
        <v>494</v>
      </c>
      <c r="B416" s="8">
        <v>44331</v>
      </c>
      <c r="C416" s="15" t="s">
        <v>274</v>
      </c>
      <c r="D416" s="10" t="s">
        <v>224</v>
      </c>
      <c r="E416">
        <v>1</v>
      </c>
      <c r="F416">
        <v>65000</v>
      </c>
      <c r="G416">
        <v>65000</v>
      </c>
      <c r="H416">
        <v>8</v>
      </c>
      <c r="I416">
        <v>65000</v>
      </c>
      <c r="J416" s="10" t="s">
        <v>279</v>
      </c>
      <c r="K416" s="10">
        <v>65000</v>
      </c>
      <c r="L416" s="10">
        <v>65000</v>
      </c>
      <c r="M416" s="12" t="s">
        <v>12</v>
      </c>
    </row>
    <row r="417" spans="1:13" ht="16.8" x14ac:dyDescent="0.3">
      <c r="A417" s="7" t="s">
        <v>495</v>
      </c>
      <c r="B417" s="8">
        <v>44822</v>
      </c>
      <c r="C417" s="15" t="s">
        <v>5</v>
      </c>
      <c r="D417" s="10" t="s">
        <v>222</v>
      </c>
      <c r="E417">
        <v>3</v>
      </c>
      <c r="F417">
        <v>35000</v>
      </c>
      <c r="G417">
        <v>49000</v>
      </c>
      <c r="H417">
        <v>8</v>
      </c>
      <c r="I417">
        <v>32200</v>
      </c>
      <c r="J417" s="10" t="s">
        <v>278</v>
      </c>
      <c r="K417" s="10">
        <v>32200</v>
      </c>
      <c r="L417" s="10">
        <v>96600</v>
      </c>
      <c r="M417" s="12" t="s">
        <v>236</v>
      </c>
    </row>
    <row r="418" spans="1:13" ht="16.8" x14ac:dyDescent="0.3">
      <c r="A418" s="7" t="s">
        <v>496</v>
      </c>
      <c r="B418" s="8">
        <v>45120</v>
      </c>
      <c r="C418" s="15" t="s">
        <v>274</v>
      </c>
      <c r="D418" s="10" t="s">
        <v>223</v>
      </c>
      <c r="E418">
        <v>5</v>
      </c>
      <c r="F418">
        <v>65000</v>
      </c>
      <c r="G418">
        <v>69000</v>
      </c>
      <c r="H418">
        <v>11</v>
      </c>
      <c r="I418">
        <v>57850</v>
      </c>
      <c r="J418" s="10" t="s">
        <v>278</v>
      </c>
      <c r="K418" s="10">
        <v>57850</v>
      </c>
      <c r="L418" s="10">
        <v>289250</v>
      </c>
      <c r="M418" s="12" t="s">
        <v>248</v>
      </c>
    </row>
    <row r="419" spans="1:13" ht="16.8" x14ac:dyDescent="0.3">
      <c r="A419" s="7" t="s">
        <v>497</v>
      </c>
      <c r="B419" s="8">
        <v>45078</v>
      </c>
      <c r="C419" s="15" t="s">
        <v>274</v>
      </c>
      <c r="D419" s="10" t="s">
        <v>223</v>
      </c>
      <c r="E419">
        <v>5</v>
      </c>
      <c r="F419">
        <v>29000</v>
      </c>
      <c r="G419">
        <v>65000</v>
      </c>
      <c r="H419">
        <v>8</v>
      </c>
      <c r="I419">
        <v>26680</v>
      </c>
      <c r="J419" s="10" t="s">
        <v>278</v>
      </c>
      <c r="K419" s="10">
        <v>26680</v>
      </c>
      <c r="L419" s="10">
        <v>133400</v>
      </c>
      <c r="M419" s="12" t="s">
        <v>228</v>
      </c>
    </row>
    <row r="420" spans="1:13" ht="16.8" x14ac:dyDescent="0.3">
      <c r="A420" s="7" t="s">
        <v>498</v>
      </c>
      <c r="B420" s="8">
        <v>44635</v>
      </c>
      <c r="C420" s="15" t="s">
        <v>5</v>
      </c>
      <c r="D420" s="10" t="s">
        <v>223</v>
      </c>
      <c r="E420">
        <v>4</v>
      </c>
      <c r="F420">
        <v>35000</v>
      </c>
      <c r="G420">
        <v>39000</v>
      </c>
      <c r="H420">
        <v>8</v>
      </c>
      <c r="I420">
        <v>32200</v>
      </c>
      <c r="J420" s="10" t="s">
        <v>278</v>
      </c>
      <c r="K420" s="10">
        <v>32200</v>
      </c>
      <c r="L420" s="10">
        <v>128800</v>
      </c>
      <c r="M420" s="12" t="s">
        <v>247</v>
      </c>
    </row>
    <row r="421" spans="1:13" ht="16.8" x14ac:dyDescent="0.3">
      <c r="A421" s="7" t="s">
        <v>499</v>
      </c>
      <c r="B421" s="8">
        <v>44472</v>
      </c>
      <c r="C421" s="15" t="s">
        <v>3</v>
      </c>
      <c r="D421" s="10" t="s">
        <v>222</v>
      </c>
      <c r="E421">
        <v>4</v>
      </c>
      <c r="F421">
        <v>59000</v>
      </c>
      <c r="G421">
        <v>65000</v>
      </c>
      <c r="H421">
        <v>6</v>
      </c>
      <c r="I421">
        <v>65000</v>
      </c>
      <c r="J421" s="10" t="s">
        <v>279</v>
      </c>
      <c r="K421" s="10">
        <v>65000</v>
      </c>
      <c r="L421" s="10">
        <v>260000</v>
      </c>
      <c r="M421" s="12" t="s">
        <v>238</v>
      </c>
    </row>
    <row r="422" spans="1:13" ht="16.8" x14ac:dyDescent="0.3">
      <c r="A422" s="7" t="s">
        <v>500</v>
      </c>
      <c r="B422" s="8">
        <v>44199</v>
      </c>
      <c r="C422" s="15" t="s">
        <v>270</v>
      </c>
      <c r="D422" s="10" t="s">
        <v>222</v>
      </c>
      <c r="E422">
        <v>5</v>
      </c>
      <c r="F422">
        <v>55000</v>
      </c>
      <c r="G422">
        <v>49000</v>
      </c>
      <c r="H422">
        <v>7</v>
      </c>
      <c r="I422">
        <v>49000</v>
      </c>
      <c r="J422" s="10" t="s">
        <v>279</v>
      </c>
      <c r="K422" s="10">
        <v>49000</v>
      </c>
      <c r="L422" s="10">
        <v>245000</v>
      </c>
      <c r="M422" s="12" t="s">
        <v>14</v>
      </c>
    </row>
    <row r="423" spans="1:13" ht="16.8" x14ac:dyDescent="0.3">
      <c r="A423" s="7" t="s">
        <v>501</v>
      </c>
      <c r="B423" s="8">
        <v>44907</v>
      </c>
      <c r="C423" s="15" t="s">
        <v>273</v>
      </c>
      <c r="D423" s="10" t="s">
        <v>222</v>
      </c>
      <c r="E423">
        <v>1</v>
      </c>
      <c r="F423">
        <v>59000</v>
      </c>
      <c r="G423">
        <v>75000</v>
      </c>
      <c r="H423">
        <v>14</v>
      </c>
      <c r="I423">
        <v>75000</v>
      </c>
      <c r="J423" s="10" t="s">
        <v>279</v>
      </c>
      <c r="K423" s="10">
        <v>75000</v>
      </c>
      <c r="L423" s="10">
        <v>75000</v>
      </c>
      <c r="M423" s="12" t="s">
        <v>252</v>
      </c>
    </row>
    <row r="424" spans="1:13" ht="16.8" x14ac:dyDescent="0.3">
      <c r="A424" s="7" t="s">
        <v>502</v>
      </c>
      <c r="B424" s="8">
        <v>44888</v>
      </c>
      <c r="C424" s="15" t="s">
        <v>270</v>
      </c>
      <c r="D424" s="10" t="s">
        <v>222</v>
      </c>
      <c r="E424">
        <v>3</v>
      </c>
      <c r="F424">
        <v>59000</v>
      </c>
      <c r="G424">
        <v>35000</v>
      </c>
      <c r="H424">
        <v>7</v>
      </c>
      <c r="I424">
        <v>35000</v>
      </c>
      <c r="J424" s="10" t="s">
        <v>279</v>
      </c>
      <c r="K424" s="10">
        <v>35000</v>
      </c>
      <c r="L424" s="10">
        <v>105000</v>
      </c>
      <c r="M424" s="12" t="s">
        <v>249</v>
      </c>
    </row>
    <row r="425" spans="1:13" ht="16.8" x14ac:dyDescent="0.3">
      <c r="A425" s="7" t="s">
        <v>503</v>
      </c>
      <c r="B425" s="8">
        <v>44276</v>
      </c>
      <c r="C425" s="15" t="s">
        <v>275</v>
      </c>
      <c r="D425" s="10" t="s">
        <v>224</v>
      </c>
      <c r="E425">
        <v>3</v>
      </c>
      <c r="F425">
        <v>49000</v>
      </c>
      <c r="G425">
        <v>49000</v>
      </c>
      <c r="H425">
        <v>14</v>
      </c>
      <c r="I425">
        <v>42140</v>
      </c>
      <c r="J425" s="10" t="s">
        <v>278</v>
      </c>
      <c r="K425" s="10">
        <v>42140</v>
      </c>
      <c r="L425" s="10">
        <v>126420</v>
      </c>
      <c r="M425" s="12" t="s">
        <v>257</v>
      </c>
    </row>
    <row r="426" spans="1:13" ht="16.8" x14ac:dyDescent="0.3">
      <c r="A426" s="7" t="s">
        <v>504</v>
      </c>
      <c r="B426" s="8">
        <v>44257</v>
      </c>
      <c r="C426" s="15" t="s">
        <v>271</v>
      </c>
      <c r="D426" s="10" t="s">
        <v>223</v>
      </c>
      <c r="E426">
        <v>2</v>
      </c>
      <c r="F426">
        <v>55000</v>
      </c>
      <c r="G426">
        <v>69000</v>
      </c>
      <c r="H426">
        <v>12</v>
      </c>
      <c r="I426">
        <v>69000</v>
      </c>
      <c r="J426" s="10" t="s">
        <v>279</v>
      </c>
      <c r="K426" s="10">
        <v>69000</v>
      </c>
      <c r="L426" s="10">
        <v>138000</v>
      </c>
      <c r="M426" s="12" t="s">
        <v>249</v>
      </c>
    </row>
    <row r="427" spans="1:13" ht="16.8" x14ac:dyDescent="0.3">
      <c r="A427" s="7" t="s">
        <v>505</v>
      </c>
      <c r="B427" s="8">
        <v>44352</v>
      </c>
      <c r="C427" s="15" t="s">
        <v>274</v>
      </c>
      <c r="D427" s="10" t="s">
        <v>222</v>
      </c>
      <c r="E427">
        <v>3</v>
      </c>
      <c r="F427">
        <v>59000</v>
      </c>
      <c r="G427">
        <v>59000</v>
      </c>
      <c r="H427">
        <v>5</v>
      </c>
      <c r="I427">
        <v>59000</v>
      </c>
      <c r="J427" s="10" t="s">
        <v>279</v>
      </c>
      <c r="K427" s="10">
        <v>59000</v>
      </c>
      <c r="L427" s="10">
        <v>177000</v>
      </c>
      <c r="M427" s="12" t="s">
        <v>262</v>
      </c>
    </row>
    <row r="428" spans="1:13" ht="16.8" x14ac:dyDescent="0.3">
      <c r="A428" s="7" t="s">
        <v>506</v>
      </c>
      <c r="B428" s="8">
        <v>44740</v>
      </c>
      <c r="C428" s="15" t="s">
        <v>5</v>
      </c>
      <c r="D428" s="10" t="s">
        <v>224</v>
      </c>
      <c r="E428">
        <v>3</v>
      </c>
      <c r="F428">
        <v>59000</v>
      </c>
      <c r="G428">
        <v>59000</v>
      </c>
      <c r="H428">
        <v>14</v>
      </c>
      <c r="I428">
        <v>50740</v>
      </c>
      <c r="J428" s="10" t="s">
        <v>278</v>
      </c>
      <c r="K428" s="10">
        <v>50740</v>
      </c>
      <c r="L428" s="10">
        <v>152220</v>
      </c>
      <c r="M428" s="12" t="s">
        <v>229</v>
      </c>
    </row>
    <row r="429" spans="1:13" ht="16.8" x14ac:dyDescent="0.3">
      <c r="A429" s="7" t="s">
        <v>507</v>
      </c>
      <c r="B429" s="8">
        <v>44564</v>
      </c>
      <c r="C429" s="15" t="s">
        <v>272</v>
      </c>
      <c r="D429" s="10" t="s">
        <v>224</v>
      </c>
      <c r="E429">
        <v>3</v>
      </c>
      <c r="F429">
        <v>65000</v>
      </c>
      <c r="G429">
        <v>75000</v>
      </c>
      <c r="H429">
        <v>9</v>
      </c>
      <c r="I429">
        <v>59150</v>
      </c>
      <c r="J429" s="10" t="s">
        <v>278</v>
      </c>
      <c r="K429" s="10">
        <v>59150</v>
      </c>
      <c r="L429" s="10">
        <v>177450</v>
      </c>
      <c r="M429" s="12" t="s">
        <v>14</v>
      </c>
    </row>
    <row r="430" spans="1:13" ht="16.8" x14ac:dyDescent="0.3">
      <c r="A430" s="7" t="s">
        <v>508</v>
      </c>
      <c r="B430" s="8">
        <v>44248</v>
      </c>
      <c r="C430" s="15" t="s">
        <v>3</v>
      </c>
      <c r="D430" s="10" t="s">
        <v>224</v>
      </c>
      <c r="E430">
        <v>1</v>
      </c>
      <c r="F430">
        <v>59000</v>
      </c>
      <c r="G430">
        <v>65000</v>
      </c>
      <c r="H430">
        <v>14</v>
      </c>
      <c r="I430">
        <v>65000</v>
      </c>
      <c r="J430" s="10" t="s">
        <v>279</v>
      </c>
      <c r="K430" s="10">
        <v>65000</v>
      </c>
      <c r="L430" s="10">
        <v>65000</v>
      </c>
      <c r="M430" s="12" t="s">
        <v>226</v>
      </c>
    </row>
    <row r="431" spans="1:13" ht="16.8" x14ac:dyDescent="0.3">
      <c r="A431" s="7" t="s">
        <v>509</v>
      </c>
      <c r="B431" s="8">
        <v>44598</v>
      </c>
      <c r="C431" s="15" t="s">
        <v>272</v>
      </c>
      <c r="D431" s="10" t="s">
        <v>223</v>
      </c>
      <c r="E431">
        <v>1</v>
      </c>
      <c r="F431">
        <v>49000</v>
      </c>
      <c r="G431">
        <v>75000</v>
      </c>
      <c r="H431">
        <v>10</v>
      </c>
      <c r="I431">
        <v>75000</v>
      </c>
      <c r="J431" s="10" t="s">
        <v>279</v>
      </c>
      <c r="K431" s="10">
        <v>75000</v>
      </c>
      <c r="L431" s="10">
        <v>75000</v>
      </c>
      <c r="M431" s="12" t="s">
        <v>250</v>
      </c>
    </row>
    <row r="432" spans="1:13" ht="16.8" x14ac:dyDescent="0.3">
      <c r="A432" s="7" t="s">
        <v>510</v>
      </c>
      <c r="B432" s="8">
        <v>44369</v>
      </c>
      <c r="C432" s="15" t="s">
        <v>6</v>
      </c>
      <c r="D432" s="10" t="s">
        <v>224</v>
      </c>
      <c r="E432">
        <v>3</v>
      </c>
      <c r="F432">
        <v>39000</v>
      </c>
      <c r="G432">
        <v>69000</v>
      </c>
      <c r="H432">
        <v>15</v>
      </c>
      <c r="I432">
        <v>69000</v>
      </c>
      <c r="J432" s="10" t="s">
        <v>279</v>
      </c>
      <c r="K432" s="10">
        <v>69000</v>
      </c>
      <c r="L432" s="10">
        <v>207000</v>
      </c>
      <c r="M432" s="12" t="s">
        <v>16</v>
      </c>
    </row>
    <row r="433" spans="1:13" ht="16.8" x14ac:dyDescent="0.3">
      <c r="A433" s="7" t="s">
        <v>511</v>
      </c>
      <c r="B433" s="8">
        <v>44561</v>
      </c>
      <c r="C433" s="15" t="s">
        <v>275</v>
      </c>
      <c r="D433" s="10" t="s">
        <v>224</v>
      </c>
      <c r="E433">
        <v>4</v>
      </c>
      <c r="F433">
        <v>69000</v>
      </c>
      <c r="G433">
        <v>49000</v>
      </c>
      <c r="H433">
        <v>5</v>
      </c>
      <c r="I433">
        <v>65550</v>
      </c>
      <c r="J433" s="10" t="s">
        <v>278</v>
      </c>
      <c r="K433" s="10">
        <v>65550</v>
      </c>
      <c r="L433" s="10">
        <v>262200</v>
      </c>
      <c r="M433" s="12" t="s">
        <v>237</v>
      </c>
    </row>
    <row r="434" spans="1:13" ht="16.8" x14ac:dyDescent="0.3">
      <c r="A434" s="7" t="s">
        <v>512</v>
      </c>
      <c r="B434" s="8">
        <v>44626</v>
      </c>
      <c r="C434" s="15" t="s">
        <v>3</v>
      </c>
      <c r="D434" s="10" t="s">
        <v>222</v>
      </c>
      <c r="E434">
        <v>5</v>
      </c>
      <c r="F434">
        <v>65000</v>
      </c>
      <c r="G434">
        <v>49000</v>
      </c>
      <c r="H434">
        <v>8</v>
      </c>
      <c r="I434">
        <v>49000</v>
      </c>
      <c r="J434" s="10" t="s">
        <v>279</v>
      </c>
      <c r="K434" s="10">
        <v>49000</v>
      </c>
      <c r="L434" s="10">
        <v>245000</v>
      </c>
      <c r="M434" s="12" t="s">
        <v>254</v>
      </c>
    </row>
    <row r="435" spans="1:13" ht="16.8" x14ac:dyDescent="0.3">
      <c r="A435" s="7" t="s">
        <v>513</v>
      </c>
      <c r="B435" s="8">
        <v>44599</v>
      </c>
      <c r="C435" s="15" t="s">
        <v>272</v>
      </c>
      <c r="D435" s="10" t="s">
        <v>222</v>
      </c>
      <c r="E435">
        <v>4</v>
      </c>
      <c r="F435">
        <v>65000</v>
      </c>
      <c r="G435">
        <v>49000</v>
      </c>
      <c r="H435">
        <v>5</v>
      </c>
      <c r="I435">
        <v>49000</v>
      </c>
      <c r="J435" s="10" t="s">
        <v>279</v>
      </c>
      <c r="K435" s="10">
        <v>49000</v>
      </c>
      <c r="L435" s="10">
        <v>196000</v>
      </c>
      <c r="M435" s="12" t="s">
        <v>236</v>
      </c>
    </row>
    <row r="436" spans="1:13" ht="16.8" x14ac:dyDescent="0.3">
      <c r="A436" s="7" t="s">
        <v>514</v>
      </c>
      <c r="B436" s="8">
        <v>44383</v>
      </c>
      <c r="C436" s="15" t="s">
        <v>3</v>
      </c>
      <c r="D436" s="10" t="s">
        <v>224</v>
      </c>
      <c r="E436">
        <v>1</v>
      </c>
      <c r="F436">
        <v>65000</v>
      </c>
      <c r="G436">
        <v>49000</v>
      </c>
      <c r="H436">
        <v>9</v>
      </c>
      <c r="I436">
        <v>49000</v>
      </c>
      <c r="J436" s="10" t="s">
        <v>279</v>
      </c>
      <c r="K436" s="10">
        <v>49000</v>
      </c>
      <c r="L436" s="10">
        <v>49000</v>
      </c>
      <c r="M436" s="12" t="s">
        <v>241</v>
      </c>
    </row>
    <row r="437" spans="1:13" ht="16.8" x14ac:dyDescent="0.3">
      <c r="A437" s="7" t="s">
        <v>515</v>
      </c>
      <c r="B437" s="8">
        <v>44998</v>
      </c>
      <c r="C437" s="15" t="s">
        <v>271</v>
      </c>
      <c r="D437" s="10" t="s">
        <v>222</v>
      </c>
      <c r="E437">
        <v>2</v>
      </c>
      <c r="F437">
        <v>49000</v>
      </c>
      <c r="G437">
        <v>65000</v>
      </c>
      <c r="H437">
        <v>6</v>
      </c>
      <c r="I437">
        <v>46060</v>
      </c>
      <c r="J437" s="10" t="s">
        <v>278</v>
      </c>
      <c r="K437" s="10">
        <v>46060</v>
      </c>
      <c r="L437" s="10">
        <v>92120</v>
      </c>
      <c r="M437" s="12" t="s">
        <v>20</v>
      </c>
    </row>
    <row r="438" spans="1:13" ht="16.8" x14ac:dyDescent="0.3">
      <c r="A438" s="7" t="s">
        <v>516</v>
      </c>
      <c r="B438" s="8">
        <v>44395</v>
      </c>
      <c r="C438" s="15" t="s">
        <v>270</v>
      </c>
      <c r="D438" s="10" t="s">
        <v>222</v>
      </c>
      <c r="E438">
        <v>2</v>
      </c>
      <c r="F438">
        <v>65000</v>
      </c>
      <c r="G438">
        <v>65000</v>
      </c>
      <c r="H438">
        <v>12</v>
      </c>
      <c r="I438">
        <v>65000</v>
      </c>
      <c r="J438" s="10" t="s">
        <v>279</v>
      </c>
      <c r="K438" s="10">
        <v>65000</v>
      </c>
      <c r="L438" s="10">
        <v>130000</v>
      </c>
      <c r="M438" s="12" t="s">
        <v>226</v>
      </c>
    </row>
    <row r="439" spans="1:13" ht="16.8" x14ac:dyDescent="0.3">
      <c r="A439" s="7" t="s">
        <v>517</v>
      </c>
      <c r="B439" s="8">
        <v>44920</v>
      </c>
      <c r="C439" s="15" t="s">
        <v>272</v>
      </c>
      <c r="D439" s="10" t="s">
        <v>223</v>
      </c>
      <c r="E439">
        <v>5</v>
      </c>
      <c r="F439">
        <v>65000</v>
      </c>
      <c r="G439">
        <v>29000</v>
      </c>
      <c r="H439">
        <v>7</v>
      </c>
      <c r="I439">
        <v>60449.999999999993</v>
      </c>
      <c r="J439" s="10" t="s">
        <v>278</v>
      </c>
      <c r="K439" s="10">
        <v>60449.999999999993</v>
      </c>
      <c r="L439" s="10">
        <v>302249.99999999994</v>
      </c>
      <c r="M439" s="12" t="s">
        <v>13</v>
      </c>
    </row>
    <row r="440" spans="1:13" ht="16.8" x14ac:dyDescent="0.3">
      <c r="A440" s="7" t="s">
        <v>518</v>
      </c>
      <c r="B440" s="8">
        <v>44831</v>
      </c>
      <c r="C440" s="15" t="s">
        <v>3</v>
      </c>
      <c r="D440" s="10" t="s">
        <v>223</v>
      </c>
      <c r="E440">
        <v>4</v>
      </c>
      <c r="F440">
        <v>65000</v>
      </c>
      <c r="G440">
        <v>49000</v>
      </c>
      <c r="H440">
        <v>11</v>
      </c>
      <c r="I440">
        <v>57850</v>
      </c>
      <c r="J440" s="10" t="s">
        <v>278</v>
      </c>
      <c r="K440" s="10">
        <v>57850</v>
      </c>
      <c r="L440" s="10">
        <v>231400</v>
      </c>
      <c r="M440" s="12" t="s">
        <v>253</v>
      </c>
    </row>
    <row r="441" spans="1:13" ht="16.8" x14ac:dyDescent="0.3">
      <c r="A441" s="7" t="s">
        <v>519</v>
      </c>
      <c r="B441" s="8">
        <v>44855</v>
      </c>
      <c r="C441" s="15" t="s">
        <v>271</v>
      </c>
      <c r="D441" s="10" t="s">
        <v>223</v>
      </c>
      <c r="E441">
        <v>4</v>
      </c>
      <c r="F441">
        <v>55000</v>
      </c>
      <c r="G441">
        <v>65000</v>
      </c>
      <c r="H441">
        <v>11</v>
      </c>
      <c r="I441">
        <v>65000</v>
      </c>
      <c r="J441" s="10" t="s">
        <v>279</v>
      </c>
      <c r="K441" s="10">
        <v>65000</v>
      </c>
      <c r="L441" s="10">
        <v>260000</v>
      </c>
      <c r="M441" s="12" t="s">
        <v>243</v>
      </c>
    </row>
    <row r="442" spans="1:13" ht="16.8" x14ac:dyDescent="0.3">
      <c r="A442" s="7" t="s">
        <v>520</v>
      </c>
      <c r="B442" s="8">
        <v>44965</v>
      </c>
      <c r="C442" s="15" t="s">
        <v>270</v>
      </c>
      <c r="D442" s="10" t="s">
        <v>224</v>
      </c>
      <c r="E442">
        <v>5</v>
      </c>
      <c r="F442">
        <v>65000</v>
      </c>
      <c r="G442">
        <v>39000</v>
      </c>
      <c r="H442">
        <v>6</v>
      </c>
      <c r="I442">
        <v>61100</v>
      </c>
      <c r="J442" s="10" t="s">
        <v>278</v>
      </c>
      <c r="K442" s="10">
        <v>61100</v>
      </c>
      <c r="L442" s="10">
        <v>305500</v>
      </c>
      <c r="M442" s="12" t="s">
        <v>230</v>
      </c>
    </row>
    <row r="443" spans="1:13" ht="16.8" x14ac:dyDescent="0.3">
      <c r="A443" s="7" t="s">
        <v>521</v>
      </c>
      <c r="B443" s="8">
        <v>44815</v>
      </c>
      <c r="C443" s="15" t="s">
        <v>272</v>
      </c>
      <c r="D443" s="10" t="s">
        <v>223</v>
      </c>
      <c r="E443">
        <v>4</v>
      </c>
      <c r="F443">
        <v>69000</v>
      </c>
      <c r="G443">
        <v>59000</v>
      </c>
      <c r="H443">
        <v>10</v>
      </c>
      <c r="I443">
        <v>59000</v>
      </c>
      <c r="J443" s="10" t="s">
        <v>279</v>
      </c>
      <c r="K443" s="10">
        <v>59000</v>
      </c>
      <c r="L443" s="10">
        <v>236000</v>
      </c>
      <c r="M443" s="12" t="s">
        <v>225</v>
      </c>
    </row>
    <row r="444" spans="1:13" ht="16.8" x14ac:dyDescent="0.3">
      <c r="A444" s="7" t="s">
        <v>522</v>
      </c>
      <c r="B444" s="8">
        <v>44958</v>
      </c>
      <c r="C444" s="15" t="s">
        <v>275</v>
      </c>
      <c r="D444" s="10" t="s">
        <v>224</v>
      </c>
      <c r="E444">
        <v>5</v>
      </c>
      <c r="F444">
        <v>59000</v>
      </c>
      <c r="G444">
        <v>65000</v>
      </c>
      <c r="H444">
        <v>8</v>
      </c>
      <c r="I444">
        <v>65000</v>
      </c>
      <c r="J444" s="10" t="s">
        <v>279</v>
      </c>
      <c r="K444" s="10">
        <v>65000</v>
      </c>
      <c r="L444" s="10">
        <v>325000</v>
      </c>
      <c r="M444" s="12" t="s">
        <v>225</v>
      </c>
    </row>
    <row r="445" spans="1:13" ht="16.8" x14ac:dyDescent="0.3">
      <c r="A445" s="7" t="s">
        <v>523</v>
      </c>
      <c r="B445" s="8">
        <v>44868</v>
      </c>
      <c r="C445" s="15" t="s">
        <v>272</v>
      </c>
      <c r="D445" s="10" t="s">
        <v>222</v>
      </c>
      <c r="E445">
        <v>3</v>
      </c>
      <c r="F445">
        <v>49000</v>
      </c>
      <c r="G445">
        <v>35000</v>
      </c>
      <c r="H445">
        <v>14</v>
      </c>
      <c r="I445">
        <v>42140</v>
      </c>
      <c r="J445" s="10" t="s">
        <v>278</v>
      </c>
      <c r="K445" s="10">
        <v>42140</v>
      </c>
      <c r="L445" s="10">
        <v>126420</v>
      </c>
      <c r="M445" s="12" t="s">
        <v>243</v>
      </c>
    </row>
    <row r="446" spans="1:13" ht="16.8" x14ac:dyDescent="0.3">
      <c r="A446" s="7" t="s">
        <v>524</v>
      </c>
      <c r="B446" s="8">
        <v>44755</v>
      </c>
      <c r="C446" s="15" t="s">
        <v>275</v>
      </c>
      <c r="D446" s="10" t="s">
        <v>223</v>
      </c>
      <c r="E446">
        <v>3</v>
      </c>
      <c r="F446">
        <v>65000</v>
      </c>
      <c r="G446">
        <v>35000</v>
      </c>
      <c r="H446">
        <v>10</v>
      </c>
      <c r="I446">
        <v>58500</v>
      </c>
      <c r="J446" s="10" t="s">
        <v>278</v>
      </c>
      <c r="K446" s="10">
        <v>58500</v>
      </c>
      <c r="L446" s="10">
        <v>175500</v>
      </c>
      <c r="M446" s="12" t="s">
        <v>10</v>
      </c>
    </row>
    <row r="447" spans="1:13" ht="16.8" x14ac:dyDescent="0.3">
      <c r="A447" s="7" t="s">
        <v>525</v>
      </c>
      <c r="B447" s="8">
        <v>44449</v>
      </c>
      <c r="C447" s="15" t="s">
        <v>273</v>
      </c>
      <c r="D447" s="10" t="s">
        <v>223</v>
      </c>
      <c r="E447">
        <v>1</v>
      </c>
      <c r="F447">
        <v>29000</v>
      </c>
      <c r="G447">
        <v>55000</v>
      </c>
      <c r="H447">
        <v>6</v>
      </c>
      <c r="I447">
        <v>55000</v>
      </c>
      <c r="J447" s="10" t="s">
        <v>279</v>
      </c>
      <c r="K447" s="10">
        <v>55000</v>
      </c>
      <c r="L447" s="10">
        <v>55000</v>
      </c>
      <c r="M447" s="12" t="s">
        <v>230</v>
      </c>
    </row>
    <row r="448" spans="1:13" ht="16.8" x14ac:dyDescent="0.3">
      <c r="A448" s="7" t="s">
        <v>526</v>
      </c>
      <c r="B448" s="8">
        <v>44323</v>
      </c>
      <c r="C448" s="15" t="s">
        <v>3</v>
      </c>
      <c r="D448" s="10" t="s">
        <v>224</v>
      </c>
      <c r="E448">
        <v>5</v>
      </c>
      <c r="F448">
        <v>55000</v>
      </c>
      <c r="G448">
        <v>65000</v>
      </c>
      <c r="H448">
        <v>14</v>
      </c>
      <c r="I448">
        <v>47300</v>
      </c>
      <c r="J448" s="10" t="s">
        <v>278</v>
      </c>
      <c r="K448" s="10">
        <v>47300</v>
      </c>
      <c r="L448" s="10">
        <v>236500</v>
      </c>
      <c r="M448" s="12" t="s">
        <v>229</v>
      </c>
    </row>
    <row r="449" spans="1:13" ht="16.8" x14ac:dyDescent="0.3">
      <c r="A449" s="7" t="s">
        <v>527</v>
      </c>
      <c r="B449" s="8">
        <v>44523</v>
      </c>
      <c r="C449" s="15" t="s">
        <v>271</v>
      </c>
      <c r="D449" s="10" t="s">
        <v>222</v>
      </c>
      <c r="E449">
        <v>5</v>
      </c>
      <c r="F449">
        <v>39000</v>
      </c>
      <c r="G449">
        <v>39000</v>
      </c>
      <c r="H449">
        <v>10</v>
      </c>
      <c r="I449">
        <v>39000</v>
      </c>
      <c r="J449" s="10" t="s">
        <v>279</v>
      </c>
      <c r="K449" s="10">
        <v>39000</v>
      </c>
      <c r="L449" s="10">
        <v>195000</v>
      </c>
      <c r="M449" s="12" t="s">
        <v>234</v>
      </c>
    </row>
    <row r="450" spans="1:13" ht="16.8" x14ac:dyDescent="0.3">
      <c r="A450" s="7" t="s">
        <v>528</v>
      </c>
      <c r="B450" s="8">
        <v>44854</v>
      </c>
      <c r="C450" s="15" t="s">
        <v>275</v>
      </c>
      <c r="D450" s="10" t="s">
        <v>222</v>
      </c>
      <c r="E450">
        <v>2</v>
      </c>
      <c r="F450">
        <v>65000</v>
      </c>
      <c r="G450">
        <v>59000</v>
      </c>
      <c r="H450">
        <v>8</v>
      </c>
      <c r="I450">
        <v>59000</v>
      </c>
      <c r="J450" s="10" t="s">
        <v>279</v>
      </c>
      <c r="K450" s="10">
        <v>59000</v>
      </c>
      <c r="L450" s="10">
        <v>118000</v>
      </c>
      <c r="M450" s="12" t="s">
        <v>253</v>
      </c>
    </row>
    <row r="451" spans="1:13" ht="16.8" x14ac:dyDescent="0.3">
      <c r="A451" s="7" t="s">
        <v>529</v>
      </c>
      <c r="B451" s="8">
        <v>45078</v>
      </c>
      <c r="C451" s="15" t="s">
        <v>270</v>
      </c>
      <c r="D451" s="10" t="s">
        <v>223</v>
      </c>
      <c r="E451">
        <v>1</v>
      </c>
      <c r="F451">
        <v>39000</v>
      </c>
      <c r="G451">
        <v>65000</v>
      </c>
      <c r="H451">
        <v>14</v>
      </c>
      <c r="I451">
        <v>33540</v>
      </c>
      <c r="J451" s="10" t="s">
        <v>278</v>
      </c>
      <c r="K451" s="10">
        <v>33540</v>
      </c>
      <c r="L451" s="10">
        <v>33540</v>
      </c>
      <c r="M451" s="12" t="s">
        <v>19</v>
      </c>
    </row>
    <row r="452" spans="1:13" ht="16.8" x14ac:dyDescent="0.3">
      <c r="A452" s="7" t="s">
        <v>530</v>
      </c>
      <c r="B452" s="8">
        <v>44998</v>
      </c>
      <c r="C452" s="15" t="s">
        <v>270</v>
      </c>
      <c r="D452" s="10" t="s">
        <v>222</v>
      </c>
      <c r="E452">
        <v>3</v>
      </c>
      <c r="F452">
        <v>65000</v>
      </c>
      <c r="G452">
        <v>49000</v>
      </c>
      <c r="H452">
        <v>11</v>
      </c>
      <c r="I452">
        <v>49000</v>
      </c>
      <c r="J452" s="10" t="s">
        <v>279</v>
      </c>
      <c r="K452" s="10">
        <v>49000</v>
      </c>
      <c r="L452" s="10">
        <v>147000</v>
      </c>
      <c r="M452" s="12" t="s">
        <v>232</v>
      </c>
    </row>
    <row r="453" spans="1:13" ht="16.8" x14ac:dyDescent="0.3">
      <c r="A453" s="7" t="s">
        <v>531</v>
      </c>
      <c r="B453" s="8">
        <v>44986</v>
      </c>
      <c r="C453" s="15" t="s">
        <v>5</v>
      </c>
      <c r="D453" s="10" t="s">
        <v>223</v>
      </c>
      <c r="E453">
        <v>4</v>
      </c>
      <c r="F453">
        <v>65000</v>
      </c>
      <c r="G453">
        <v>69000</v>
      </c>
      <c r="H453">
        <v>9</v>
      </c>
      <c r="I453">
        <v>59150</v>
      </c>
      <c r="J453" s="10" t="s">
        <v>278</v>
      </c>
      <c r="K453" s="10">
        <v>59150</v>
      </c>
      <c r="L453" s="10">
        <v>236600</v>
      </c>
      <c r="M453" s="12" t="s">
        <v>253</v>
      </c>
    </row>
    <row r="454" spans="1:13" ht="16.8" x14ac:dyDescent="0.3">
      <c r="A454" s="7" t="s">
        <v>532</v>
      </c>
      <c r="B454" s="8">
        <v>44986</v>
      </c>
      <c r="C454" s="15" t="s">
        <v>271</v>
      </c>
      <c r="D454" s="10" t="s">
        <v>224</v>
      </c>
      <c r="E454">
        <v>2</v>
      </c>
      <c r="F454">
        <v>35000</v>
      </c>
      <c r="G454">
        <v>59000</v>
      </c>
      <c r="H454">
        <v>9</v>
      </c>
      <c r="I454">
        <v>31850</v>
      </c>
      <c r="J454" s="10" t="s">
        <v>278</v>
      </c>
      <c r="K454" s="10">
        <v>31850</v>
      </c>
      <c r="L454" s="10">
        <v>63700</v>
      </c>
      <c r="M454" s="12" t="s">
        <v>225</v>
      </c>
    </row>
    <row r="455" spans="1:13" ht="16.8" x14ac:dyDescent="0.3">
      <c r="A455" s="7" t="s">
        <v>533</v>
      </c>
      <c r="B455" s="8">
        <v>45190</v>
      </c>
      <c r="C455" s="15" t="s">
        <v>271</v>
      </c>
      <c r="D455" s="10" t="s">
        <v>223</v>
      </c>
      <c r="E455">
        <v>3</v>
      </c>
      <c r="F455">
        <v>49000</v>
      </c>
      <c r="G455">
        <v>59000</v>
      </c>
      <c r="H455">
        <v>14</v>
      </c>
      <c r="I455">
        <v>59000</v>
      </c>
      <c r="J455" s="10" t="s">
        <v>279</v>
      </c>
      <c r="K455" s="10">
        <v>59000</v>
      </c>
      <c r="L455" s="10">
        <v>177000</v>
      </c>
      <c r="M455" s="12" t="s">
        <v>239</v>
      </c>
    </row>
    <row r="456" spans="1:13" ht="16.8" x14ac:dyDescent="0.3">
      <c r="A456" s="7" t="s">
        <v>534</v>
      </c>
      <c r="B456" s="8">
        <v>45144</v>
      </c>
      <c r="C456" s="15" t="s">
        <v>273</v>
      </c>
      <c r="D456" s="10" t="s">
        <v>224</v>
      </c>
      <c r="E456">
        <v>1</v>
      </c>
      <c r="F456">
        <v>65000</v>
      </c>
      <c r="G456">
        <v>65000</v>
      </c>
      <c r="H456">
        <v>15</v>
      </c>
      <c r="I456">
        <v>65000</v>
      </c>
      <c r="J456" s="10" t="s">
        <v>279</v>
      </c>
      <c r="K456" s="10">
        <v>65000</v>
      </c>
      <c r="L456" s="10">
        <v>65000</v>
      </c>
      <c r="M456" s="12" t="s">
        <v>260</v>
      </c>
    </row>
    <row r="457" spans="1:13" ht="16.8" x14ac:dyDescent="0.3">
      <c r="A457" s="7" t="s">
        <v>535</v>
      </c>
      <c r="B457" s="8">
        <v>44537</v>
      </c>
      <c r="C457" s="15" t="s">
        <v>271</v>
      </c>
      <c r="D457" s="10" t="s">
        <v>223</v>
      </c>
      <c r="E457">
        <v>3</v>
      </c>
      <c r="F457">
        <v>59000</v>
      </c>
      <c r="G457">
        <v>49000</v>
      </c>
      <c r="H457">
        <v>5</v>
      </c>
      <c r="I457">
        <v>49000</v>
      </c>
      <c r="J457" s="10" t="s">
        <v>279</v>
      </c>
      <c r="K457" s="10">
        <v>49000</v>
      </c>
      <c r="L457" s="10">
        <v>147000</v>
      </c>
      <c r="M457" s="12" t="s">
        <v>225</v>
      </c>
    </row>
    <row r="458" spans="1:13" ht="16.8" x14ac:dyDescent="0.3">
      <c r="A458" s="7" t="s">
        <v>536</v>
      </c>
      <c r="B458" s="8">
        <v>44382</v>
      </c>
      <c r="C458" s="15" t="s">
        <v>272</v>
      </c>
      <c r="D458" s="10" t="s">
        <v>223</v>
      </c>
      <c r="E458">
        <v>1</v>
      </c>
      <c r="F458">
        <v>49000</v>
      </c>
      <c r="G458">
        <v>39000</v>
      </c>
      <c r="H458">
        <v>7</v>
      </c>
      <c r="I458">
        <v>45570</v>
      </c>
      <c r="J458" s="10" t="s">
        <v>278</v>
      </c>
      <c r="K458" s="10">
        <v>45570</v>
      </c>
      <c r="L458" s="10">
        <v>45570</v>
      </c>
      <c r="M458" s="12" t="s">
        <v>10</v>
      </c>
    </row>
    <row r="459" spans="1:13" ht="16.8" x14ac:dyDescent="0.3">
      <c r="A459" s="7" t="s">
        <v>537</v>
      </c>
      <c r="B459" s="8">
        <v>44624</v>
      </c>
      <c r="C459" s="15" t="s">
        <v>274</v>
      </c>
      <c r="D459" s="10" t="s">
        <v>224</v>
      </c>
      <c r="E459">
        <v>2</v>
      </c>
      <c r="F459">
        <v>39000</v>
      </c>
      <c r="G459">
        <v>39000</v>
      </c>
      <c r="H459">
        <v>13</v>
      </c>
      <c r="I459">
        <v>39000</v>
      </c>
      <c r="J459" s="10" t="s">
        <v>279</v>
      </c>
      <c r="K459" s="10">
        <v>39000</v>
      </c>
      <c r="L459" s="10">
        <v>78000</v>
      </c>
      <c r="M459" s="12" t="s">
        <v>241</v>
      </c>
    </row>
    <row r="460" spans="1:13" ht="16.8" x14ac:dyDescent="0.3">
      <c r="A460" s="7" t="s">
        <v>538</v>
      </c>
      <c r="B460" s="8">
        <v>44500</v>
      </c>
      <c r="C460" s="15" t="s">
        <v>4</v>
      </c>
      <c r="D460" s="10" t="s">
        <v>222</v>
      </c>
      <c r="E460">
        <v>5</v>
      </c>
      <c r="F460">
        <v>65000</v>
      </c>
      <c r="G460">
        <v>69000</v>
      </c>
      <c r="H460">
        <v>15</v>
      </c>
      <c r="I460">
        <v>69000</v>
      </c>
      <c r="J460" s="10" t="s">
        <v>279</v>
      </c>
      <c r="K460" s="10">
        <v>69000</v>
      </c>
      <c r="L460" s="10">
        <v>345000</v>
      </c>
      <c r="M460" s="12" t="s">
        <v>246</v>
      </c>
    </row>
    <row r="461" spans="1:13" ht="16.8" x14ac:dyDescent="0.3">
      <c r="A461" s="7" t="s">
        <v>539</v>
      </c>
      <c r="B461" s="8">
        <v>44519</v>
      </c>
      <c r="C461" s="15" t="s">
        <v>272</v>
      </c>
      <c r="D461" s="10" t="s">
        <v>223</v>
      </c>
      <c r="E461">
        <v>3</v>
      </c>
      <c r="F461">
        <v>35000</v>
      </c>
      <c r="G461">
        <v>59000</v>
      </c>
      <c r="H461">
        <v>6</v>
      </c>
      <c r="I461">
        <v>32900</v>
      </c>
      <c r="J461" s="10" t="s">
        <v>278</v>
      </c>
      <c r="K461" s="10">
        <v>32900</v>
      </c>
      <c r="L461" s="10">
        <v>98700</v>
      </c>
      <c r="M461" s="12" t="s">
        <v>233</v>
      </c>
    </row>
    <row r="462" spans="1:13" ht="16.8" x14ac:dyDescent="0.3">
      <c r="A462" s="7" t="s">
        <v>540</v>
      </c>
      <c r="B462" s="8">
        <v>44704</v>
      </c>
      <c r="C462" s="15" t="s">
        <v>271</v>
      </c>
      <c r="D462" s="10" t="s">
        <v>222</v>
      </c>
      <c r="E462">
        <v>4</v>
      </c>
      <c r="F462">
        <v>55000</v>
      </c>
      <c r="G462">
        <v>65000</v>
      </c>
      <c r="H462">
        <v>11</v>
      </c>
      <c r="I462">
        <v>48950</v>
      </c>
      <c r="J462" s="10" t="s">
        <v>278</v>
      </c>
      <c r="K462" s="10">
        <v>48950</v>
      </c>
      <c r="L462" s="10">
        <v>195800</v>
      </c>
      <c r="M462" s="12" t="s">
        <v>251</v>
      </c>
    </row>
    <row r="463" spans="1:13" ht="16.8" x14ac:dyDescent="0.3">
      <c r="A463" s="7" t="s">
        <v>541</v>
      </c>
      <c r="B463" s="8">
        <v>45252</v>
      </c>
      <c r="C463" s="15" t="s">
        <v>271</v>
      </c>
      <c r="D463" s="10" t="s">
        <v>222</v>
      </c>
      <c r="E463">
        <v>5</v>
      </c>
      <c r="F463">
        <v>59000</v>
      </c>
      <c r="G463">
        <v>65000</v>
      </c>
      <c r="H463">
        <v>6</v>
      </c>
      <c r="I463">
        <v>65000</v>
      </c>
      <c r="J463" s="10" t="s">
        <v>279</v>
      </c>
      <c r="K463" s="10">
        <v>65000</v>
      </c>
      <c r="L463" s="10">
        <v>325000</v>
      </c>
      <c r="M463" s="12" t="s">
        <v>17</v>
      </c>
    </row>
    <row r="464" spans="1:13" ht="16.8" x14ac:dyDescent="0.3">
      <c r="A464" s="7" t="s">
        <v>542</v>
      </c>
      <c r="B464" s="8">
        <v>44971</v>
      </c>
      <c r="C464" s="15" t="s">
        <v>5</v>
      </c>
      <c r="D464" s="10" t="s">
        <v>224</v>
      </c>
      <c r="E464">
        <v>3</v>
      </c>
      <c r="F464">
        <v>55000</v>
      </c>
      <c r="G464">
        <v>65000</v>
      </c>
      <c r="H464">
        <v>6</v>
      </c>
      <c r="I464">
        <v>65000</v>
      </c>
      <c r="J464" s="10" t="s">
        <v>279</v>
      </c>
      <c r="K464" s="10">
        <v>65000</v>
      </c>
      <c r="L464" s="10">
        <v>195000</v>
      </c>
      <c r="M464" s="12" t="s">
        <v>245</v>
      </c>
    </row>
    <row r="465" spans="1:13" ht="16.8" x14ac:dyDescent="0.3">
      <c r="A465" s="7" t="s">
        <v>543</v>
      </c>
      <c r="B465" s="8">
        <v>44786</v>
      </c>
      <c r="C465" s="15" t="s">
        <v>275</v>
      </c>
      <c r="D465" s="10" t="s">
        <v>223</v>
      </c>
      <c r="E465">
        <v>3</v>
      </c>
      <c r="F465">
        <v>39000</v>
      </c>
      <c r="G465">
        <v>49000</v>
      </c>
      <c r="H465">
        <v>10</v>
      </c>
      <c r="I465">
        <v>49000</v>
      </c>
      <c r="J465" s="10" t="s">
        <v>279</v>
      </c>
      <c r="K465" s="10">
        <v>49000</v>
      </c>
      <c r="L465" s="10">
        <v>147000</v>
      </c>
      <c r="M465" s="12" t="s">
        <v>11</v>
      </c>
    </row>
    <row r="466" spans="1:13" ht="16.8" x14ac:dyDescent="0.3">
      <c r="A466" s="7" t="s">
        <v>544</v>
      </c>
      <c r="B466" s="8">
        <v>45272</v>
      </c>
      <c r="C466" s="15" t="s">
        <v>271</v>
      </c>
      <c r="D466" s="10" t="s">
        <v>223</v>
      </c>
      <c r="E466">
        <v>3</v>
      </c>
      <c r="F466">
        <v>59000</v>
      </c>
      <c r="G466">
        <v>75000</v>
      </c>
      <c r="H466">
        <v>13</v>
      </c>
      <c r="I466">
        <v>51330</v>
      </c>
      <c r="J466" s="10" t="s">
        <v>278</v>
      </c>
      <c r="K466" s="10">
        <v>51330</v>
      </c>
      <c r="L466" s="10">
        <v>153990</v>
      </c>
      <c r="M466" s="12" t="s">
        <v>248</v>
      </c>
    </row>
    <row r="467" spans="1:13" ht="16.8" x14ac:dyDescent="0.3">
      <c r="A467" s="7" t="s">
        <v>545</v>
      </c>
      <c r="B467" s="8">
        <v>44275</v>
      </c>
      <c r="C467" s="15" t="s">
        <v>273</v>
      </c>
      <c r="D467" s="10" t="s">
        <v>224</v>
      </c>
      <c r="E467">
        <v>3</v>
      </c>
      <c r="F467">
        <v>39000</v>
      </c>
      <c r="G467">
        <v>69000</v>
      </c>
      <c r="H467">
        <v>12</v>
      </c>
      <c r="I467">
        <v>69000</v>
      </c>
      <c r="J467" s="10" t="s">
        <v>279</v>
      </c>
      <c r="K467" s="10">
        <v>69000</v>
      </c>
      <c r="L467" s="10">
        <v>207000</v>
      </c>
      <c r="M467" s="12" t="s">
        <v>254</v>
      </c>
    </row>
    <row r="468" spans="1:13" ht="16.8" x14ac:dyDescent="0.3">
      <c r="A468" s="7" t="s">
        <v>546</v>
      </c>
      <c r="B468" s="8">
        <v>44985</v>
      </c>
      <c r="C468" s="15" t="s">
        <v>270</v>
      </c>
      <c r="D468" s="10" t="s">
        <v>224</v>
      </c>
      <c r="E468">
        <v>4</v>
      </c>
      <c r="F468">
        <v>59000</v>
      </c>
      <c r="G468">
        <v>35000</v>
      </c>
      <c r="H468">
        <v>13</v>
      </c>
      <c r="I468">
        <v>35000</v>
      </c>
      <c r="J468" s="10" t="s">
        <v>279</v>
      </c>
      <c r="K468" s="10">
        <v>35000</v>
      </c>
      <c r="L468" s="10">
        <v>140000</v>
      </c>
      <c r="M468" s="12" t="s">
        <v>233</v>
      </c>
    </row>
    <row r="469" spans="1:13" ht="16.8" x14ac:dyDescent="0.3">
      <c r="A469" s="7" t="s">
        <v>547</v>
      </c>
      <c r="B469" s="8">
        <v>44842</v>
      </c>
      <c r="C469" s="15" t="s">
        <v>270</v>
      </c>
      <c r="D469" s="10" t="s">
        <v>224</v>
      </c>
      <c r="E469">
        <v>4</v>
      </c>
      <c r="F469">
        <v>75000</v>
      </c>
      <c r="G469">
        <v>39000</v>
      </c>
      <c r="H469">
        <v>9</v>
      </c>
      <c r="I469">
        <v>68250</v>
      </c>
      <c r="J469" s="10" t="s">
        <v>278</v>
      </c>
      <c r="K469" s="10">
        <v>68250</v>
      </c>
      <c r="L469" s="10">
        <v>273000</v>
      </c>
      <c r="M469" s="12" t="s">
        <v>261</v>
      </c>
    </row>
    <row r="470" spans="1:13" ht="16.8" x14ac:dyDescent="0.3">
      <c r="A470" s="7" t="s">
        <v>548</v>
      </c>
      <c r="B470" s="8">
        <v>45107</v>
      </c>
      <c r="C470" s="15" t="s">
        <v>6</v>
      </c>
      <c r="D470" s="10" t="s">
        <v>224</v>
      </c>
      <c r="E470">
        <v>3</v>
      </c>
      <c r="F470">
        <v>49000</v>
      </c>
      <c r="G470">
        <v>65000</v>
      </c>
      <c r="H470">
        <v>5</v>
      </c>
      <c r="I470">
        <v>65000</v>
      </c>
      <c r="J470" s="10" t="s">
        <v>279</v>
      </c>
      <c r="K470" s="10">
        <v>65000</v>
      </c>
      <c r="L470" s="10">
        <v>195000</v>
      </c>
      <c r="M470" s="12" t="s">
        <v>259</v>
      </c>
    </row>
    <row r="471" spans="1:13" ht="16.8" x14ac:dyDescent="0.3">
      <c r="A471" s="7" t="s">
        <v>549</v>
      </c>
      <c r="B471" s="8">
        <v>45033</v>
      </c>
      <c r="C471" s="15" t="s">
        <v>4</v>
      </c>
      <c r="D471" s="10" t="s">
        <v>224</v>
      </c>
      <c r="E471">
        <v>2</v>
      </c>
      <c r="F471">
        <v>69000</v>
      </c>
      <c r="G471">
        <v>65000</v>
      </c>
      <c r="H471">
        <v>13</v>
      </c>
      <c r="I471">
        <v>60030</v>
      </c>
      <c r="J471" s="10" t="s">
        <v>278</v>
      </c>
      <c r="K471" s="10">
        <v>60030</v>
      </c>
      <c r="L471" s="10">
        <v>120060</v>
      </c>
      <c r="M471" s="12" t="s">
        <v>225</v>
      </c>
    </row>
    <row r="472" spans="1:13" ht="16.8" x14ac:dyDescent="0.3">
      <c r="A472" s="7" t="s">
        <v>550</v>
      </c>
      <c r="B472" s="8">
        <v>45161</v>
      </c>
      <c r="C472" s="15" t="s">
        <v>273</v>
      </c>
      <c r="D472" s="10" t="s">
        <v>224</v>
      </c>
      <c r="E472">
        <v>4</v>
      </c>
      <c r="F472">
        <v>45000</v>
      </c>
      <c r="G472">
        <v>35000</v>
      </c>
      <c r="H472">
        <v>15</v>
      </c>
      <c r="I472">
        <v>35000</v>
      </c>
      <c r="J472" s="10" t="s">
        <v>279</v>
      </c>
      <c r="K472" s="10">
        <v>35000</v>
      </c>
      <c r="L472" s="10">
        <v>140000</v>
      </c>
      <c r="M472" s="12" t="s">
        <v>15</v>
      </c>
    </row>
    <row r="473" spans="1:13" ht="16.8" x14ac:dyDescent="0.3">
      <c r="A473" s="7" t="s">
        <v>551</v>
      </c>
      <c r="B473" s="8">
        <v>44450</v>
      </c>
      <c r="C473" s="15" t="s">
        <v>272</v>
      </c>
      <c r="D473" s="10" t="s">
        <v>222</v>
      </c>
      <c r="E473">
        <v>1</v>
      </c>
      <c r="F473">
        <v>65000</v>
      </c>
      <c r="G473">
        <v>65000</v>
      </c>
      <c r="H473">
        <v>14</v>
      </c>
      <c r="I473">
        <v>55900</v>
      </c>
      <c r="J473" s="10" t="s">
        <v>278</v>
      </c>
      <c r="K473" s="10">
        <v>55900</v>
      </c>
      <c r="L473" s="10">
        <v>55900</v>
      </c>
      <c r="M473" s="12" t="s">
        <v>12</v>
      </c>
    </row>
    <row r="474" spans="1:13" ht="16.8" x14ac:dyDescent="0.3">
      <c r="A474" s="7" t="s">
        <v>552</v>
      </c>
      <c r="B474" s="8">
        <v>44926</v>
      </c>
      <c r="C474" s="15" t="s">
        <v>6</v>
      </c>
      <c r="D474" s="10" t="s">
        <v>224</v>
      </c>
      <c r="E474">
        <v>1</v>
      </c>
      <c r="F474">
        <v>59000</v>
      </c>
      <c r="G474">
        <v>55000</v>
      </c>
      <c r="H474">
        <v>9</v>
      </c>
      <c r="I474">
        <v>55000</v>
      </c>
      <c r="J474" s="10" t="s">
        <v>279</v>
      </c>
      <c r="K474" s="10">
        <v>55000</v>
      </c>
      <c r="L474" s="10">
        <v>55000</v>
      </c>
      <c r="M474" s="12" t="s">
        <v>252</v>
      </c>
    </row>
    <row r="475" spans="1:13" ht="16.8" x14ac:dyDescent="0.3">
      <c r="A475" s="7" t="s">
        <v>553</v>
      </c>
      <c r="B475" s="8">
        <v>45231</v>
      </c>
      <c r="C475" s="15" t="s">
        <v>275</v>
      </c>
      <c r="D475" s="10" t="s">
        <v>224</v>
      </c>
      <c r="E475">
        <v>5</v>
      </c>
      <c r="F475">
        <v>55000</v>
      </c>
      <c r="G475">
        <v>59000</v>
      </c>
      <c r="H475">
        <v>5</v>
      </c>
      <c r="I475">
        <v>52250</v>
      </c>
      <c r="J475" s="10" t="s">
        <v>278</v>
      </c>
      <c r="K475" s="10">
        <v>52250</v>
      </c>
      <c r="L475" s="10">
        <v>261250</v>
      </c>
      <c r="M475" s="12" t="s">
        <v>256</v>
      </c>
    </row>
    <row r="476" spans="1:13" ht="16.8" x14ac:dyDescent="0.3">
      <c r="A476" s="7" t="s">
        <v>554</v>
      </c>
      <c r="B476" s="8">
        <v>45088</v>
      </c>
      <c r="C476" s="15" t="s">
        <v>275</v>
      </c>
      <c r="D476" s="10" t="s">
        <v>222</v>
      </c>
      <c r="E476">
        <v>4</v>
      </c>
      <c r="F476">
        <v>49000</v>
      </c>
      <c r="G476">
        <v>59000</v>
      </c>
      <c r="H476">
        <v>7</v>
      </c>
      <c r="I476">
        <v>45570</v>
      </c>
      <c r="J476" s="10" t="s">
        <v>278</v>
      </c>
      <c r="K476" s="10">
        <v>45570</v>
      </c>
      <c r="L476" s="10">
        <v>182280</v>
      </c>
      <c r="M476" s="12" t="s">
        <v>261</v>
      </c>
    </row>
    <row r="477" spans="1:13" ht="16.8" x14ac:dyDescent="0.3">
      <c r="A477" s="7" t="s">
        <v>555</v>
      </c>
      <c r="B477" s="8">
        <v>45035</v>
      </c>
      <c r="C477" s="15" t="s">
        <v>4</v>
      </c>
      <c r="D477" s="10" t="s">
        <v>223</v>
      </c>
      <c r="E477">
        <v>2</v>
      </c>
      <c r="F477">
        <v>55000</v>
      </c>
      <c r="G477">
        <v>65000</v>
      </c>
      <c r="H477">
        <v>6</v>
      </c>
      <c r="I477">
        <v>65000</v>
      </c>
      <c r="J477" s="10" t="s">
        <v>279</v>
      </c>
      <c r="K477" s="10">
        <v>65000</v>
      </c>
      <c r="L477" s="10">
        <v>130000</v>
      </c>
      <c r="M477" s="12" t="s">
        <v>231</v>
      </c>
    </row>
    <row r="478" spans="1:13" ht="16.8" x14ac:dyDescent="0.3">
      <c r="A478" s="7" t="s">
        <v>556</v>
      </c>
      <c r="B478" s="8">
        <v>45250</v>
      </c>
      <c r="C478" s="15" t="s">
        <v>275</v>
      </c>
      <c r="D478" s="10" t="s">
        <v>222</v>
      </c>
      <c r="E478">
        <v>3</v>
      </c>
      <c r="F478">
        <v>49000</v>
      </c>
      <c r="G478">
        <v>59000</v>
      </c>
      <c r="H478">
        <v>13</v>
      </c>
      <c r="I478">
        <v>59000</v>
      </c>
      <c r="J478" s="10" t="s">
        <v>279</v>
      </c>
      <c r="K478" s="10">
        <v>59000</v>
      </c>
      <c r="L478" s="10">
        <v>177000</v>
      </c>
      <c r="M478" s="12" t="s">
        <v>260</v>
      </c>
    </row>
    <row r="479" spans="1:13" ht="16.8" x14ac:dyDescent="0.3">
      <c r="A479" s="7" t="s">
        <v>557</v>
      </c>
      <c r="B479" s="8">
        <v>44862</v>
      </c>
      <c r="C479" s="15" t="s">
        <v>6</v>
      </c>
      <c r="D479" s="10" t="s">
        <v>222</v>
      </c>
      <c r="E479">
        <v>2</v>
      </c>
      <c r="F479">
        <v>55000</v>
      </c>
      <c r="G479">
        <v>39000</v>
      </c>
      <c r="H479">
        <v>5</v>
      </c>
      <c r="I479">
        <v>52250</v>
      </c>
      <c r="J479" s="10" t="s">
        <v>278</v>
      </c>
      <c r="K479" s="10">
        <v>52250</v>
      </c>
      <c r="L479" s="10">
        <v>104500</v>
      </c>
      <c r="M479" s="12" t="s">
        <v>16</v>
      </c>
    </row>
    <row r="480" spans="1:13" ht="16.8" x14ac:dyDescent="0.3">
      <c r="A480" s="7" t="s">
        <v>558</v>
      </c>
      <c r="B480" s="8">
        <v>44678</v>
      </c>
      <c r="C480" s="15" t="s">
        <v>6</v>
      </c>
      <c r="D480" s="10" t="s">
        <v>222</v>
      </c>
      <c r="E480">
        <v>1</v>
      </c>
      <c r="F480">
        <v>29000</v>
      </c>
      <c r="G480">
        <v>49000</v>
      </c>
      <c r="H480">
        <v>8</v>
      </c>
      <c r="I480">
        <v>26680</v>
      </c>
      <c r="J480" s="10" t="s">
        <v>278</v>
      </c>
      <c r="K480" s="10">
        <v>26680</v>
      </c>
      <c r="L480" s="10">
        <v>26680</v>
      </c>
      <c r="M480" s="12" t="s">
        <v>243</v>
      </c>
    </row>
    <row r="481" spans="1:13" ht="16.8" x14ac:dyDescent="0.3">
      <c r="A481" s="7" t="s">
        <v>559</v>
      </c>
      <c r="B481" s="8">
        <v>44339</v>
      </c>
      <c r="C481" s="15" t="s">
        <v>273</v>
      </c>
      <c r="D481" s="10" t="s">
        <v>223</v>
      </c>
      <c r="E481">
        <v>1</v>
      </c>
      <c r="F481">
        <v>59000</v>
      </c>
      <c r="G481">
        <v>45000</v>
      </c>
      <c r="H481">
        <v>9</v>
      </c>
      <c r="I481">
        <v>45000</v>
      </c>
      <c r="J481" s="10" t="s">
        <v>279</v>
      </c>
      <c r="K481" s="10">
        <v>45000</v>
      </c>
      <c r="L481" s="10">
        <v>45000</v>
      </c>
      <c r="M481" s="12" t="s">
        <v>232</v>
      </c>
    </row>
    <row r="482" spans="1:13" ht="16.8" x14ac:dyDescent="0.3">
      <c r="A482" s="7" t="s">
        <v>560</v>
      </c>
      <c r="B482" s="8">
        <v>44557</v>
      </c>
      <c r="C482" s="15" t="s">
        <v>3</v>
      </c>
      <c r="D482" s="10" t="s">
        <v>224</v>
      </c>
      <c r="E482">
        <v>4</v>
      </c>
      <c r="F482">
        <v>49000</v>
      </c>
      <c r="G482">
        <v>65000</v>
      </c>
      <c r="H482">
        <v>7</v>
      </c>
      <c r="I482">
        <v>65000</v>
      </c>
      <c r="J482" s="10" t="s">
        <v>279</v>
      </c>
      <c r="K482" s="10">
        <v>65000</v>
      </c>
      <c r="L482" s="10">
        <v>260000</v>
      </c>
      <c r="M482" s="12" t="s">
        <v>15</v>
      </c>
    </row>
    <row r="483" spans="1:13" ht="16.8" x14ac:dyDescent="0.3">
      <c r="A483" s="7" t="s">
        <v>561</v>
      </c>
      <c r="B483" s="8">
        <v>45283</v>
      </c>
      <c r="C483" s="15" t="s">
        <v>3</v>
      </c>
      <c r="D483" s="10" t="s">
        <v>223</v>
      </c>
      <c r="E483">
        <v>3</v>
      </c>
      <c r="F483">
        <v>59000</v>
      </c>
      <c r="G483">
        <v>69000</v>
      </c>
      <c r="H483">
        <v>6</v>
      </c>
      <c r="I483">
        <v>55460</v>
      </c>
      <c r="J483" s="10" t="s">
        <v>278</v>
      </c>
      <c r="K483" s="10">
        <v>55460</v>
      </c>
      <c r="L483" s="10">
        <v>166380</v>
      </c>
      <c r="M483" s="12" t="s">
        <v>238</v>
      </c>
    </row>
    <row r="484" spans="1:13" ht="16.8" x14ac:dyDescent="0.3">
      <c r="A484" s="7" t="s">
        <v>562</v>
      </c>
      <c r="B484" s="8">
        <v>45073</v>
      </c>
      <c r="C484" s="15" t="s">
        <v>275</v>
      </c>
      <c r="D484" s="10" t="s">
        <v>224</v>
      </c>
      <c r="E484">
        <v>4</v>
      </c>
      <c r="F484">
        <v>59000</v>
      </c>
      <c r="G484">
        <v>59000</v>
      </c>
      <c r="H484">
        <v>7</v>
      </c>
      <c r="I484">
        <v>54869.999999999993</v>
      </c>
      <c r="J484" s="10" t="s">
        <v>278</v>
      </c>
      <c r="K484" s="10">
        <v>54869.999999999993</v>
      </c>
      <c r="L484" s="10">
        <v>219479.99999999997</v>
      </c>
      <c r="M484" s="12" t="s">
        <v>261</v>
      </c>
    </row>
    <row r="485" spans="1:13" ht="16.8" x14ac:dyDescent="0.3">
      <c r="A485" s="7" t="s">
        <v>563</v>
      </c>
      <c r="B485" s="8">
        <v>44623</v>
      </c>
      <c r="C485" s="15" t="s">
        <v>271</v>
      </c>
      <c r="D485" s="10" t="s">
        <v>224</v>
      </c>
      <c r="E485">
        <v>2</v>
      </c>
      <c r="F485">
        <v>65000</v>
      </c>
      <c r="G485">
        <v>59000</v>
      </c>
      <c r="H485">
        <v>14</v>
      </c>
      <c r="I485">
        <v>55900</v>
      </c>
      <c r="J485" s="10" t="s">
        <v>278</v>
      </c>
      <c r="K485" s="10">
        <v>55900</v>
      </c>
      <c r="L485" s="10">
        <v>111800</v>
      </c>
      <c r="M485" s="12" t="s">
        <v>240</v>
      </c>
    </row>
    <row r="486" spans="1:13" ht="16.8" x14ac:dyDescent="0.3">
      <c r="A486" s="7" t="s">
        <v>564</v>
      </c>
      <c r="B486" s="8">
        <v>44578</v>
      </c>
      <c r="C486" s="15" t="s">
        <v>271</v>
      </c>
      <c r="D486" s="10" t="s">
        <v>222</v>
      </c>
      <c r="E486">
        <v>1</v>
      </c>
      <c r="F486">
        <v>59000</v>
      </c>
      <c r="G486">
        <v>75000</v>
      </c>
      <c r="H486">
        <v>8</v>
      </c>
      <c r="I486">
        <v>75000</v>
      </c>
      <c r="J486" s="10" t="s">
        <v>279</v>
      </c>
      <c r="K486" s="10">
        <v>75000</v>
      </c>
      <c r="L486" s="10">
        <v>75000</v>
      </c>
      <c r="M486" s="12" t="s">
        <v>239</v>
      </c>
    </row>
    <row r="487" spans="1:13" ht="16.8" x14ac:dyDescent="0.3">
      <c r="A487" s="7" t="s">
        <v>565</v>
      </c>
      <c r="B487" s="8">
        <v>45075</v>
      </c>
      <c r="C487" s="15" t="s">
        <v>270</v>
      </c>
      <c r="D487" s="10" t="s">
        <v>223</v>
      </c>
      <c r="E487">
        <v>3</v>
      </c>
      <c r="F487">
        <v>65000</v>
      </c>
      <c r="G487">
        <v>49000</v>
      </c>
      <c r="H487">
        <v>12</v>
      </c>
      <c r="I487">
        <v>49000</v>
      </c>
      <c r="J487" s="10" t="s">
        <v>279</v>
      </c>
      <c r="K487" s="10">
        <v>49000</v>
      </c>
      <c r="L487" s="10">
        <v>147000</v>
      </c>
      <c r="M487" s="12" t="s">
        <v>233</v>
      </c>
    </row>
    <row r="488" spans="1:13" ht="16.8" x14ac:dyDescent="0.3">
      <c r="A488" s="7" t="s">
        <v>566</v>
      </c>
      <c r="B488" s="8">
        <v>44754</v>
      </c>
      <c r="C488" s="15" t="s">
        <v>271</v>
      </c>
      <c r="D488" s="10" t="s">
        <v>223</v>
      </c>
      <c r="E488">
        <v>4</v>
      </c>
      <c r="F488">
        <v>69000</v>
      </c>
      <c r="G488">
        <v>59000</v>
      </c>
      <c r="H488">
        <v>10</v>
      </c>
      <c r="I488">
        <v>62100</v>
      </c>
      <c r="J488" s="10" t="s">
        <v>278</v>
      </c>
      <c r="K488" s="10">
        <v>62100</v>
      </c>
      <c r="L488" s="10">
        <v>248400</v>
      </c>
      <c r="M488" s="12" t="s">
        <v>234</v>
      </c>
    </row>
    <row r="489" spans="1:13" ht="16.8" x14ac:dyDescent="0.3">
      <c r="A489" s="7" t="s">
        <v>567</v>
      </c>
      <c r="B489" s="8">
        <v>44947</v>
      </c>
      <c r="C489" s="15" t="s">
        <v>275</v>
      </c>
      <c r="D489" s="10" t="s">
        <v>222</v>
      </c>
      <c r="E489">
        <v>1</v>
      </c>
      <c r="F489">
        <v>55000</v>
      </c>
      <c r="G489">
        <v>65000</v>
      </c>
      <c r="H489">
        <v>6</v>
      </c>
      <c r="I489">
        <v>51700</v>
      </c>
      <c r="J489" s="10" t="s">
        <v>278</v>
      </c>
      <c r="K489" s="10">
        <v>51700</v>
      </c>
      <c r="L489" s="10">
        <v>51700</v>
      </c>
      <c r="M489" s="12" t="s">
        <v>246</v>
      </c>
    </row>
    <row r="490" spans="1:13" ht="16.8" x14ac:dyDescent="0.3">
      <c r="A490" s="7" t="s">
        <v>568</v>
      </c>
      <c r="B490" s="8">
        <v>44436</v>
      </c>
      <c r="C490" s="15" t="s">
        <v>272</v>
      </c>
      <c r="D490" s="10" t="s">
        <v>224</v>
      </c>
      <c r="E490">
        <v>1</v>
      </c>
      <c r="F490">
        <v>69000</v>
      </c>
      <c r="G490">
        <v>59000</v>
      </c>
      <c r="H490">
        <v>12</v>
      </c>
      <c r="I490">
        <v>60720</v>
      </c>
      <c r="J490" s="10" t="s">
        <v>278</v>
      </c>
      <c r="K490" s="10">
        <v>60720</v>
      </c>
      <c r="L490" s="10">
        <v>60720</v>
      </c>
      <c r="M490" s="12" t="s">
        <v>254</v>
      </c>
    </row>
    <row r="491" spans="1:13" ht="16.8" x14ac:dyDescent="0.3">
      <c r="A491" s="7" t="s">
        <v>569</v>
      </c>
      <c r="B491" s="8">
        <v>44227</v>
      </c>
      <c r="C491" s="15" t="s">
        <v>272</v>
      </c>
      <c r="D491" s="10" t="s">
        <v>222</v>
      </c>
      <c r="E491">
        <v>1</v>
      </c>
      <c r="F491">
        <v>59000</v>
      </c>
      <c r="G491">
        <v>35000</v>
      </c>
      <c r="H491">
        <v>6</v>
      </c>
      <c r="I491">
        <v>35000</v>
      </c>
      <c r="J491" s="10" t="s">
        <v>279</v>
      </c>
      <c r="K491" s="10">
        <v>35000</v>
      </c>
      <c r="L491" s="10">
        <v>35000</v>
      </c>
      <c r="M491" s="12" t="s">
        <v>259</v>
      </c>
    </row>
    <row r="492" spans="1:13" ht="16.8" x14ac:dyDescent="0.3">
      <c r="A492" s="7" t="s">
        <v>570</v>
      </c>
      <c r="B492" s="8">
        <v>45281</v>
      </c>
      <c r="C492" s="15" t="s">
        <v>270</v>
      </c>
      <c r="D492" s="10" t="s">
        <v>222</v>
      </c>
      <c r="E492">
        <v>3</v>
      </c>
      <c r="F492">
        <v>49000</v>
      </c>
      <c r="G492">
        <v>35000</v>
      </c>
      <c r="H492">
        <v>8</v>
      </c>
      <c r="I492">
        <v>35000</v>
      </c>
      <c r="J492" s="10" t="s">
        <v>279</v>
      </c>
      <c r="K492" s="10">
        <v>35000</v>
      </c>
      <c r="L492" s="10">
        <v>105000</v>
      </c>
      <c r="M492" s="12" t="s">
        <v>237</v>
      </c>
    </row>
    <row r="493" spans="1:13" ht="16.8" x14ac:dyDescent="0.3">
      <c r="A493" s="7" t="s">
        <v>571</v>
      </c>
      <c r="B493" s="8">
        <v>44638</v>
      </c>
      <c r="C493" s="15" t="s">
        <v>271</v>
      </c>
      <c r="D493" s="10" t="s">
        <v>222</v>
      </c>
      <c r="E493">
        <v>1</v>
      </c>
      <c r="F493">
        <v>39000</v>
      </c>
      <c r="G493">
        <v>65000</v>
      </c>
      <c r="H493">
        <v>14</v>
      </c>
      <c r="I493">
        <v>33540</v>
      </c>
      <c r="J493" s="10" t="s">
        <v>278</v>
      </c>
      <c r="K493" s="10">
        <v>33540</v>
      </c>
      <c r="L493" s="10">
        <v>33540</v>
      </c>
      <c r="M493" s="12" t="s">
        <v>18</v>
      </c>
    </row>
    <row r="494" spans="1:13" ht="16.8" x14ac:dyDescent="0.3">
      <c r="A494" s="7" t="s">
        <v>572</v>
      </c>
      <c r="B494" s="8">
        <v>44389</v>
      </c>
      <c r="C494" s="15" t="s">
        <v>271</v>
      </c>
      <c r="D494" s="10" t="s">
        <v>223</v>
      </c>
      <c r="E494">
        <v>2</v>
      </c>
      <c r="F494">
        <v>45000</v>
      </c>
      <c r="G494">
        <v>65000</v>
      </c>
      <c r="H494">
        <v>11</v>
      </c>
      <c r="I494">
        <v>65000</v>
      </c>
      <c r="J494" s="10" t="s">
        <v>279</v>
      </c>
      <c r="K494" s="10">
        <v>65000</v>
      </c>
      <c r="L494" s="10">
        <v>130000</v>
      </c>
      <c r="M494" s="12" t="s">
        <v>233</v>
      </c>
    </row>
    <row r="495" spans="1:13" ht="16.8" x14ac:dyDescent="0.3">
      <c r="A495" s="7" t="s">
        <v>573</v>
      </c>
      <c r="B495" s="8">
        <v>45103</v>
      </c>
      <c r="C495" s="15" t="s">
        <v>273</v>
      </c>
      <c r="D495" s="10" t="s">
        <v>224</v>
      </c>
      <c r="E495">
        <v>5</v>
      </c>
      <c r="F495">
        <v>65000</v>
      </c>
      <c r="G495">
        <v>35000</v>
      </c>
      <c r="H495">
        <v>8</v>
      </c>
      <c r="I495">
        <v>35000</v>
      </c>
      <c r="J495" s="10" t="s">
        <v>279</v>
      </c>
      <c r="K495" s="10">
        <v>35000</v>
      </c>
      <c r="L495" s="10">
        <v>175000</v>
      </c>
      <c r="M495" s="12" t="s">
        <v>237</v>
      </c>
    </row>
    <row r="496" spans="1:13" ht="16.8" x14ac:dyDescent="0.3">
      <c r="A496" s="7" t="s">
        <v>574</v>
      </c>
      <c r="B496" s="8">
        <v>44907</v>
      </c>
      <c r="C496" s="15" t="s">
        <v>3</v>
      </c>
      <c r="D496" s="10" t="s">
        <v>222</v>
      </c>
      <c r="E496">
        <v>5</v>
      </c>
      <c r="F496">
        <v>49000</v>
      </c>
      <c r="G496">
        <v>29000</v>
      </c>
      <c r="H496">
        <v>14</v>
      </c>
      <c r="I496">
        <v>29000</v>
      </c>
      <c r="J496" s="10" t="s">
        <v>279</v>
      </c>
      <c r="K496" s="10">
        <v>29000</v>
      </c>
      <c r="L496" s="10">
        <v>145000</v>
      </c>
      <c r="M496" s="12" t="s">
        <v>16</v>
      </c>
    </row>
    <row r="497" spans="1:13" ht="16.8" x14ac:dyDescent="0.3">
      <c r="A497" s="7" t="s">
        <v>575</v>
      </c>
      <c r="B497" s="8">
        <v>44481</v>
      </c>
      <c r="C497" s="15" t="s">
        <v>273</v>
      </c>
      <c r="D497" s="10" t="s">
        <v>222</v>
      </c>
      <c r="E497">
        <v>4</v>
      </c>
      <c r="F497">
        <v>65000</v>
      </c>
      <c r="G497">
        <v>65000</v>
      </c>
      <c r="H497">
        <v>5</v>
      </c>
      <c r="I497">
        <v>65000</v>
      </c>
      <c r="J497" s="10" t="s">
        <v>279</v>
      </c>
      <c r="K497" s="10">
        <v>65000</v>
      </c>
      <c r="L497" s="10">
        <v>260000</v>
      </c>
      <c r="M497" s="12" t="s">
        <v>13</v>
      </c>
    </row>
    <row r="498" spans="1:13" ht="16.8" x14ac:dyDescent="0.3">
      <c r="A498" s="7" t="s">
        <v>576</v>
      </c>
      <c r="B498" s="8">
        <v>44345</v>
      </c>
      <c r="C498" s="15" t="s">
        <v>3</v>
      </c>
      <c r="D498" s="10" t="s">
        <v>222</v>
      </c>
      <c r="E498">
        <v>3</v>
      </c>
      <c r="F498">
        <v>59000</v>
      </c>
      <c r="G498">
        <v>29000</v>
      </c>
      <c r="H498">
        <v>6</v>
      </c>
      <c r="I498">
        <v>29000</v>
      </c>
      <c r="J498" s="10" t="s">
        <v>279</v>
      </c>
      <c r="K498" s="10">
        <v>29000</v>
      </c>
      <c r="L498" s="10">
        <v>87000</v>
      </c>
      <c r="M498" s="12" t="s">
        <v>239</v>
      </c>
    </row>
    <row r="499" spans="1:13" ht="16.8" x14ac:dyDescent="0.3">
      <c r="A499" s="7" t="s">
        <v>577</v>
      </c>
      <c r="B499" s="8">
        <v>44335</v>
      </c>
      <c r="C499" s="15" t="s">
        <v>4</v>
      </c>
      <c r="D499" s="10" t="s">
        <v>222</v>
      </c>
      <c r="E499">
        <v>1</v>
      </c>
      <c r="F499">
        <v>29000</v>
      </c>
      <c r="G499">
        <v>59000</v>
      </c>
      <c r="H499">
        <v>7</v>
      </c>
      <c r="I499">
        <v>26970</v>
      </c>
      <c r="J499" s="10" t="s">
        <v>278</v>
      </c>
      <c r="K499" s="10">
        <v>26970</v>
      </c>
      <c r="L499" s="10">
        <v>26970</v>
      </c>
      <c r="M499" s="12" t="s">
        <v>19</v>
      </c>
    </row>
    <row r="500" spans="1:13" ht="16.8" x14ac:dyDescent="0.3">
      <c r="A500" s="7" t="s">
        <v>578</v>
      </c>
      <c r="B500" s="8">
        <v>44495</v>
      </c>
      <c r="C500" s="15" t="s">
        <v>3</v>
      </c>
      <c r="D500" s="10" t="s">
        <v>223</v>
      </c>
      <c r="E500">
        <v>1</v>
      </c>
      <c r="F500">
        <v>59000</v>
      </c>
      <c r="G500">
        <v>45000</v>
      </c>
      <c r="H500">
        <v>13</v>
      </c>
      <c r="I500">
        <v>51330</v>
      </c>
      <c r="J500" s="10" t="s">
        <v>278</v>
      </c>
      <c r="K500" s="10">
        <v>51330</v>
      </c>
      <c r="L500" s="10">
        <v>51330</v>
      </c>
      <c r="M500" s="12" t="s">
        <v>228</v>
      </c>
    </row>
    <row r="501" spans="1:13" ht="16.8" x14ac:dyDescent="0.3">
      <c r="A501" s="7" t="s">
        <v>579</v>
      </c>
      <c r="B501" s="8">
        <v>44629</v>
      </c>
      <c r="C501" s="15" t="s">
        <v>271</v>
      </c>
      <c r="D501" s="10" t="s">
        <v>222</v>
      </c>
      <c r="E501">
        <v>5</v>
      </c>
      <c r="F501">
        <v>69000</v>
      </c>
      <c r="G501">
        <v>45000</v>
      </c>
      <c r="H501">
        <v>5</v>
      </c>
      <c r="I501">
        <v>45000</v>
      </c>
      <c r="J501" s="10" t="s">
        <v>279</v>
      </c>
      <c r="K501" s="10">
        <v>45000</v>
      </c>
      <c r="L501" s="10">
        <v>225000</v>
      </c>
      <c r="M501" s="12" t="s">
        <v>261</v>
      </c>
    </row>
    <row r="502" spans="1:13" ht="16.8" x14ac:dyDescent="0.3">
      <c r="A502" s="7" t="s">
        <v>580</v>
      </c>
      <c r="B502" s="8">
        <v>44722</v>
      </c>
      <c r="C502" s="15" t="s">
        <v>6</v>
      </c>
      <c r="D502" s="10" t="s">
        <v>224</v>
      </c>
      <c r="E502">
        <v>5</v>
      </c>
      <c r="F502">
        <v>45000</v>
      </c>
      <c r="G502">
        <v>49000</v>
      </c>
      <c r="H502">
        <v>6</v>
      </c>
      <c r="I502">
        <v>49000</v>
      </c>
      <c r="J502" s="10" t="s">
        <v>279</v>
      </c>
      <c r="K502" s="10">
        <v>49000</v>
      </c>
      <c r="L502" s="10">
        <v>245000</v>
      </c>
      <c r="M502" s="12" t="s">
        <v>256</v>
      </c>
    </row>
    <row r="503" spans="1:13" ht="16.8" x14ac:dyDescent="0.3">
      <c r="A503" s="7" t="s">
        <v>581</v>
      </c>
      <c r="B503" s="8">
        <v>44448</v>
      </c>
      <c r="C503" s="15" t="s">
        <v>270</v>
      </c>
      <c r="D503" s="10" t="s">
        <v>224</v>
      </c>
      <c r="E503">
        <v>1</v>
      </c>
      <c r="F503">
        <v>35000</v>
      </c>
      <c r="G503">
        <v>59000</v>
      </c>
      <c r="H503">
        <v>10</v>
      </c>
      <c r="I503">
        <v>59000</v>
      </c>
      <c r="J503" s="10" t="s">
        <v>279</v>
      </c>
      <c r="K503" s="10">
        <v>59000</v>
      </c>
      <c r="L503" s="10">
        <v>59000</v>
      </c>
      <c r="M503" s="12" t="s">
        <v>253</v>
      </c>
    </row>
    <row r="504" spans="1:13" ht="16.8" x14ac:dyDescent="0.3">
      <c r="A504" s="7" t="s">
        <v>582</v>
      </c>
      <c r="B504" s="8">
        <v>44846</v>
      </c>
      <c r="C504" s="15" t="s">
        <v>272</v>
      </c>
      <c r="D504" s="10" t="s">
        <v>222</v>
      </c>
      <c r="E504">
        <v>1</v>
      </c>
      <c r="F504">
        <v>49000</v>
      </c>
      <c r="G504">
        <v>55000</v>
      </c>
      <c r="H504">
        <v>9</v>
      </c>
      <c r="I504">
        <v>55000</v>
      </c>
      <c r="J504" s="10" t="s">
        <v>279</v>
      </c>
      <c r="K504" s="10">
        <v>55000</v>
      </c>
      <c r="L504" s="10">
        <v>55000</v>
      </c>
      <c r="M504" s="12" t="s">
        <v>253</v>
      </c>
    </row>
    <row r="505" spans="1:13" ht="16.8" x14ac:dyDescent="0.3">
      <c r="A505" s="7" t="s">
        <v>583</v>
      </c>
      <c r="B505" s="8">
        <v>44662</v>
      </c>
      <c r="C505" s="15" t="s">
        <v>3</v>
      </c>
      <c r="D505" s="10" t="s">
        <v>223</v>
      </c>
      <c r="E505">
        <v>1</v>
      </c>
      <c r="F505">
        <v>35000</v>
      </c>
      <c r="G505">
        <v>65000</v>
      </c>
      <c r="H505">
        <v>9</v>
      </c>
      <c r="I505">
        <v>31850</v>
      </c>
      <c r="J505" s="10" t="s">
        <v>278</v>
      </c>
      <c r="K505" s="10">
        <v>31850</v>
      </c>
      <c r="L505" s="10">
        <v>31850</v>
      </c>
      <c r="M505" s="12" t="s">
        <v>253</v>
      </c>
    </row>
    <row r="506" spans="1:13" ht="16.8" x14ac:dyDescent="0.3">
      <c r="A506" s="7" t="s">
        <v>584</v>
      </c>
      <c r="B506" s="8">
        <v>44969</v>
      </c>
      <c r="C506" s="15" t="s">
        <v>5</v>
      </c>
      <c r="D506" s="10" t="s">
        <v>224</v>
      </c>
      <c r="E506">
        <v>4</v>
      </c>
      <c r="F506">
        <v>65000</v>
      </c>
      <c r="G506">
        <v>39000</v>
      </c>
      <c r="H506">
        <v>10</v>
      </c>
      <c r="I506">
        <v>39000</v>
      </c>
      <c r="J506" s="10" t="s">
        <v>279</v>
      </c>
      <c r="K506" s="10">
        <v>39000</v>
      </c>
      <c r="L506" s="10">
        <v>156000</v>
      </c>
      <c r="M506" s="12" t="s">
        <v>250</v>
      </c>
    </row>
    <row r="507" spans="1:13" ht="16.8" x14ac:dyDescent="0.3">
      <c r="A507" s="7" t="s">
        <v>585</v>
      </c>
      <c r="B507" s="8">
        <v>44753</v>
      </c>
      <c r="C507" s="15" t="s">
        <v>3</v>
      </c>
      <c r="D507" s="10" t="s">
        <v>222</v>
      </c>
      <c r="E507">
        <v>1</v>
      </c>
      <c r="F507">
        <v>59000</v>
      </c>
      <c r="G507">
        <v>49000</v>
      </c>
      <c r="H507">
        <v>9</v>
      </c>
      <c r="I507">
        <v>53690</v>
      </c>
      <c r="J507" s="10" t="s">
        <v>278</v>
      </c>
      <c r="K507" s="10">
        <v>53690</v>
      </c>
      <c r="L507" s="10">
        <v>53690</v>
      </c>
      <c r="M507" s="12" t="s">
        <v>245</v>
      </c>
    </row>
    <row r="508" spans="1:13" ht="16.8" x14ac:dyDescent="0.3">
      <c r="A508" s="7" t="s">
        <v>586</v>
      </c>
      <c r="B508" s="8">
        <v>45154</v>
      </c>
      <c r="C508" s="15" t="s">
        <v>275</v>
      </c>
      <c r="D508" s="10" t="s">
        <v>223</v>
      </c>
      <c r="E508">
        <v>3</v>
      </c>
      <c r="F508">
        <v>29000</v>
      </c>
      <c r="G508">
        <v>75000</v>
      </c>
      <c r="H508">
        <v>5</v>
      </c>
      <c r="I508">
        <v>27550</v>
      </c>
      <c r="J508" s="10" t="s">
        <v>278</v>
      </c>
      <c r="K508" s="10">
        <v>27550</v>
      </c>
      <c r="L508" s="10">
        <v>82650</v>
      </c>
      <c r="M508" s="12" t="s">
        <v>15</v>
      </c>
    </row>
    <row r="509" spans="1:13" ht="16.8" x14ac:dyDescent="0.3">
      <c r="A509" s="7" t="s">
        <v>587</v>
      </c>
      <c r="B509" s="8">
        <v>44732</v>
      </c>
      <c r="C509" s="15" t="s">
        <v>6</v>
      </c>
      <c r="D509" s="10" t="s">
        <v>222</v>
      </c>
      <c r="E509">
        <v>5</v>
      </c>
      <c r="F509">
        <v>65000</v>
      </c>
      <c r="G509">
        <v>65000</v>
      </c>
      <c r="H509">
        <v>7</v>
      </c>
      <c r="I509">
        <v>65000</v>
      </c>
      <c r="J509" s="10" t="s">
        <v>279</v>
      </c>
      <c r="K509" s="10">
        <v>65000</v>
      </c>
      <c r="L509" s="10">
        <v>325000</v>
      </c>
      <c r="M509" s="12" t="s">
        <v>239</v>
      </c>
    </row>
    <row r="510" spans="1:13" ht="16.8" x14ac:dyDescent="0.3">
      <c r="A510" s="7" t="s">
        <v>588</v>
      </c>
      <c r="B510" s="8">
        <v>44889</v>
      </c>
      <c r="C510" s="15" t="s">
        <v>5</v>
      </c>
      <c r="D510" s="10" t="s">
        <v>222</v>
      </c>
      <c r="E510">
        <v>3</v>
      </c>
      <c r="F510">
        <v>45000</v>
      </c>
      <c r="G510">
        <v>69000</v>
      </c>
      <c r="H510">
        <v>6</v>
      </c>
      <c r="I510">
        <v>42300</v>
      </c>
      <c r="J510" s="10" t="s">
        <v>278</v>
      </c>
      <c r="K510" s="10">
        <v>42300</v>
      </c>
      <c r="L510" s="10">
        <v>126900</v>
      </c>
      <c r="M510" s="12" t="s">
        <v>18</v>
      </c>
    </row>
    <row r="511" spans="1:13" ht="16.8" x14ac:dyDescent="0.3">
      <c r="A511" s="7" t="s">
        <v>589</v>
      </c>
      <c r="B511" s="8">
        <v>44846</v>
      </c>
      <c r="C511" s="15" t="s">
        <v>4</v>
      </c>
      <c r="D511" s="10" t="s">
        <v>222</v>
      </c>
      <c r="E511">
        <v>4</v>
      </c>
      <c r="F511">
        <v>59000</v>
      </c>
      <c r="G511">
        <v>35000</v>
      </c>
      <c r="H511">
        <v>9</v>
      </c>
      <c r="I511">
        <v>53690</v>
      </c>
      <c r="J511" s="10" t="s">
        <v>278</v>
      </c>
      <c r="K511" s="10">
        <v>53690</v>
      </c>
      <c r="L511" s="10">
        <v>214760</v>
      </c>
      <c r="M511" s="12" t="s">
        <v>257</v>
      </c>
    </row>
    <row r="512" spans="1:13" ht="16.8" x14ac:dyDescent="0.3">
      <c r="A512" s="7" t="s">
        <v>590</v>
      </c>
      <c r="B512" s="8">
        <v>44832</v>
      </c>
      <c r="C512" s="15" t="s">
        <v>272</v>
      </c>
      <c r="D512" s="10" t="s">
        <v>224</v>
      </c>
      <c r="E512">
        <v>1</v>
      </c>
      <c r="F512">
        <v>39000</v>
      </c>
      <c r="G512">
        <v>65000</v>
      </c>
      <c r="H512">
        <v>11</v>
      </c>
      <c r="I512">
        <v>34710</v>
      </c>
      <c r="J512" s="10" t="s">
        <v>278</v>
      </c>
      <c r="K512" s="10">
        <v>34710</v>
      </c>
      <c r="L512" s="10">
        <v>34710</v>
      </c>
      <c r="M512" s="12" t="s">
        <v>261</v>
      </c>
    </row>
    <row r="513" spans="1:13" ht="16.8" x14ac:dyDescent="0.3">
      <c r="A513" s="7" t="s">
        <v>591</v>
      </c>
      <c r="B513" s="8">
        <v>44905</v>
      </c>
      <c r="C513" s="15" t="s">
        <v>4</v>
      </c>
      <c r="D513" s="10" t="s">
        <v>224</v>
      </c>
      <c r="E513">
        <v>5</v>
      </c>
      <c r="F513">
        <v>59000</v>
      </c>
      <c r="G513">
        <v>65000</v>
      </c>
      <c r="H513">
        <v>10</v>
      </c>
      <c r="I513">
        <v>53100</v>
      </c>
      <c r="J513" s="10" t="s">
        <v>278</v>
      </c>
      <c r="K513" s="10">
        <v>53100</v>
      </c>
      <c r="L513" s="10">
        <v>265500</v>
      </c>
      <c r="M513" s="12" t="s">
        <v>15</v>
      </c>
    </row>
    <row r="514" spans="1:13" ht="16.8" x14ac:dyDescent="0.3">
      <c r="A514" s="7" t="s">
        <v>592</v>
      </c>
      <c r="B514" s="8">
        <v>44379</v>
      </c>
      <c r="C514" s="15" t="s">
        <v>274</v>
      </c>
      <c r="D514" s="10" t="s">
        <v>223</v>
      </c>
      <c r="E514">
        <v>2</v>
      </c>
      <c r="F514">
        <v>49000</v>
      </c>
      <c r="G514">
        <v>59000</v>
      </c>
      <c r="H514">
        <v>10</v>
      </c>
      <c r="I514">
        <v>44100</v>
      </c>
      <c r="J514" s="10" t="s">
        <v>278</v>
      </c>
      <c r="K514" s="10">
        <v>44100</v>
      </c>
      <c r="L514" s="10">
        <v>88200</v>
      </c>
      <c r="M514" s="12" t="s">
        <v>14</v>
      </c>
    </row>
    <row r="515" spans="1:13" ht="16.8" x14ac:dyDescent="0.3">
      <c r="A515" s="7" t="s">
        <v>593</v>
      </c>
      <c r="B515" s="8">
        <v>44313</v>
      </c>
      <c r="C515" s="15" t="s">
        <v>270</v>
      </c>
      <c r="D515" s="10" t="s">
        <v>222</v>
      </c>
      <c r="E515">
        <v>3</v>
      </c>
      <c r="F515">
        <v>49000</v>
      </c>
      <c r="G515">
        <v>59000</v>
      </c>
      <c r="H515">
        <v>9</v>
      </c>
      <c r="I515">
        <v>59000</v>
      </c>
      <c r="J515" s="10" t="s">
        <v>279</v>
      </c>
      <c r="K515" s="10">
        <v>59000</v>
      </c>
      <c r="L515" s="10">
        <v>177000</v>
      </c>
      <c r="M515" s="12" t="s">
        <v>231</v>
      </c>
    </row>
    <row r="516" spans="1:13" ht="16.8" x14ac:dyDescent="0.3">
      <c r="A516" s="7" t="s">
        <v>594</v>
      </c>
      <c r="B516" s="8">
        <v>44677</v>
      </c>
      <c r="C516" s="15" t="s">
        <v>5</v>
      </c>
      <c r="D516" s="10" t="s">
        <v>222</v>
      </c>
      <c r="E516">
        <v>1</v>
      </c>
      <c r="F516">
        <v>39000</v>
      </c>
      <c r="G516">
        <v>65000</v>
      </c>
      <c r="H516">
        <v>10</v>
      </c>
      <c r="I516">
        <v>65000</v>
      </c>
      <c r="J516" s="10" t="s">
        <v>279</v>
      </c>
      <c r="K516" s="10">
        <v>65000</v>
      </c>
      <c r="L516" s="10">
        <v>65000</v>
      </c>
      <c r="M516" s="12" t="s">
        <v>21</v>
      </c>
    </row>
    <row r="517" spans="1:13" ht="16.8" x14ac:dyDescent="0.3">
      <c r="A517" s="7" t="s">
        <v>595</v>
      </c>
      <c r="B517" s="8">
        <v>44644</v>
      </c>
      <c r="C517" s="15" t="s">
        <v>273</v>
      </c>
      <c r="D517" s="10" t="s">
        <v>223</v>
      </c>
      <c r="E517">
        <v>4</v>
      </c>
      <c r="F517">
        <v>69000</v>
      </c>
      <c r="G517">
        <v>55000</v>
      </c>
      <c r="H517">
        <v>6</v>
      </c>
      <c r="I517">
        <v>55000</v>
      </c>
      <c r="J517" s="10" t="s">
        <v>279</v>
      </c>
      <c r="K517" s="10">
        <v>55000</v>
      </c>
      <c r="L517" s="10">
        <v>220000</v>
      </c>
      <c r="M517" s="12" t="s">
        <v>16</v>
      </c>
    </row>
    <row r="518" spans="1:13" ht="16.8" x14ac:dyDescent="0.3">
      <c r="A518" s="7" t="s">
        <v>596</v>
      </c>
      <c r="B518" s="8">
        <v>44720</v>
      </c>
      <c r="C518" s="15" t="s">
        <v>273</v>
      </c>
      <c r="D518" s="10" t="s">
        <v>222</v>
      </c>
      <c r="E518">
        <v>3</v>
      </c>
      <c r="F518">
        <v>55000</v>
      </c>
      <c r="G518">
        <v>49000</v>
      </c>
      <c r="H518">
        <v>8</v>
      </c>
      <c r="I518">
        <v>50600</v>
      </c>
      <c r="J518" s="10" t="s">
        <v>278</v>
      </c>
      <c r="K518" s="10">
        <v>50600</v>
      </c>
      <c r="L518" s="10">
        <v>151800</v>
      </c>
      <c r="M518" s="12" t="s">
        <v>255</v>
      </c>
    </row>
    <row r="519" spans="1:13" ht="16.8" x14ac:dyDescent="0.3">
      <c r="A519" s="7" t="s">
        <v>597</v>
      </c>
      <c r="B519" s="8">
        <v>44816</v>
      </c>
      <c r="C519" s="15" t="s">
        <v>273</v>
      </c>
      <c r="D519" s="10" t="s">
        <v>223</v>
      </c>
      <c r="E519">
        <v>1</v>
      </c>
      <c r="F519">
        <v>29000</v>
      </c>
      <c r="G519">
        <v>59000</v>
      </c>
      <c r="H519">
        <v>5</v>
      </c>
      <c r="I519">
        <v>27550</v>
      </c>
      <c r="J519" s="10" t="s">
        <v>278</v>
      </c>
      <c r="K519" s="10">
        <v>27550</v>
      </c>
      <c r="L519" s="10">
        <v>27550</v>
      </c>
      <c r="M519" s="12" t="s">
        <v>227</v>
      </c>
    </row>
    <row r="520" spans="1:13" ht="16.8" x14ac:dyDescent="0.3">
      <c r="A520" s="7" t="s">
        <v>598</v>
      </c>
      <c r="B520" s="8">
        <v>45010</v>
      </c>
      <c r="C520" s="15" t="s">
        <v>270</v>
      </c>
      <c r="D520" s="10" t="s">
        <v>223</v>
      </c>
      <c r="E520">
        <v>2</v>
      </c>
      <c r="F520">
        <v>45000</v>
      </c>
      <c r="G520">
        <v>55000</v>
      </c>
      <c r="H520">
        <v>7</v>
      </c>
      <c r="I520">
        <v>55000</v>
      </c>
      <c r="J520" s="10" t="s">
        <v>279</v>
      </c>
      <c r="K520" s="10">
        <v>55000</v>
      </c>
      <c r="L520" s="10">
        <v>110000</v>
      </c>
      <c r="M520" s="12" t="s">
        <v>248</v>
      </c>
    </row>
    <row r="521" spans="1:13" ht="16.8" x14ac:dyDescent="0.3">
      <c r="A521" s="7" t="s">
        <v>599</v>
      </c>
      <c r="B521" s="8">
        <v>44293</v>
      </c>
      <c r="C521" s="15" t="s">
        <v>274</v>
      </c>
      <c r="D521" s="10" t="s">
        <v>223</v>
      </c>
      <c r="E521">
        <v>4</v>
      </c>
      <c r="F521">
        <v>29000</v>
      </c>
      <c r="G521">
        <v>59000</v>
      </c>
      <c r="H521">
        <v>13</v>
      </c>
      <c r="I521">
        <v>59000</v>
      </c>
      <c r="J521" s="10" t="s">
        <v>279</v>
      </c>
      <c r="K521" s="10">
        <v>59000</v>
      </c>
      <c r="L521" s="10">
        <v>236000</v>
      </c>
      <c r="M521" s="12" t="s">
        <v>241</v>
      </c>
    </row>
    <row r="522" spans="1:13" ht="16.8" x14ac:dyDescent="0.3">
      <c r="A522" s="7" t="s">
        <v>600</v>
      </c>
      <c r="B522" s="8">
        <v>44592</v>
      </c>
      <c r="C522" s="15" t="s">
        <v>274</v>
      </c>
      <c r="D522" s="10" t="s">
        <v>223</v>
      </c>
      <c r="E522">
        <v>1</v>
      </c>
      <c r="F522">
        <v>65000</v>
      </c>
      <c r="G522">
        <v>65000</v>
      </c>
      <c r="H522">
        <v>9</v>
      </c>
      <c r="I522">
        <v>59150</v>
      </c>
      <c r="J522" s="10" t="s">
        <v>278</v>
      </c>
      <c r="K522" s="10">
        <v>59150</v>
      </c>
      <c r="L522" s="10">
        <v>59150</v>
      </c>
      <c r="M522" s="12" t="s">
        <v>244</v>
      </c>
    </row>
    <row r="523" spans="1:13" ht="16.8" x14ac:dyDescent="0.3">
      <c r="A523" s="7" t="s">
        <v>601</v>
      </c>
      <c r="B523" s="8">
        <v>44438</v>
      </c>
      <c r="C523" s="15" t="s">
        <v>5</v>
      </c>
      <c r="D523" s="10" t="s">
        <v>224</v>
      </c>
      <c r="E523">
        <v>2</v>
      </c>
      <c r="F523">
        <v>65000</v>
      </c>
      <c r="G523">
        <v>49000</v>
      </c>
      <c r="H523">
        <v>5</v>
      </c>
      <c r="I523">
        <v>49000</v>
      </c>
      <c r="J523" s="10" t="s">
        <v>279</v>
      </c>
      <c r="K523" s="10">
        <v>49000</v>
      </c>
      <c r="L523" s="10">
        <v>98000</v>
      </c>
      <c r="M523" s="12" t="s">
        <v>229</v>
      </c>
    </row>
    <row r="524" spans="1:13" ht="16.8" x14ac:dyDescent="0.3">
      <c r="A524" s="7" t="s">
        <v>602</v>
      </c>
      <c r="B524" s="8">
        <v>44385</v>
      </c>
      <c r="C524" s="15" t="s">
        <v>275</v>
      </c>
      <c r="D524" s="10" t="s">
        <v>222</v>
      </c>
      <c r="E524">
        <v>5</v>
      </c>
      <c r="F524">
        <v>55000</v>
      </c>
      <c r="G524">
        <v>65000</v>
      </c>
      <c r="H524">
        <v>12</v>
      </c>
      <c r="I524">
        <v>48400</v>
      </c>
      <c r="J524" s="10" t="s">
        <v>278</v>
      </c>
      <c r="K524" s="10">
        <v>48400</v>
      </c>
      <c r="L524" s="10">
        <v>242000</v>
      </c>
      <c r="M524" s="12" t="s">
        <v>234</v>
      </c>
    </row>
    <row r="525" spans="1:13" ht="16.8" x14ac:dyDescent="0.3">
      <c r="A525" s="7" t="s">
        <v>603</v>
      </c>
      <c r="B525" s="8">
        <v>44959</v>
      </c>
      <c r="C525" s="15" t="s">
        <v>272</v>
      </c>
      <c r="D525" s="10" t="s">
        <v>223</v>
      </c>
      <c r="E525">
        <v>1</v>
      </c>
      <c r="F525">
        <v>65000</v>
      </c>
      <c r="G525">
        <v>69000</v>
      </c>
      <c r="H525">
        <v>12</v>
      </c>
      <c r="I525">
        <v>69000</v>
      </c>
      <c r="J525" s="10" t="s">
        <v>279</v>
      </c>
      <c r="K525" s="10">
        <v>69000</v>
      </c>
      <c r="L525" s="10">
        <v>69000</v>
      </c>
      <c r="M525" s="12" t="s">
        <v>13</v>
      </c>
    </row>
    <row r="526" spans="1:13" ht="16.8" x14ac:dyDescent="0.3">
      <c r="A526" s="7" t="s">
        <v>604</v>
      </c>
      <c r="B526" s="8">
        <v>45212</v>
      </c>
      <c r="C526" s="15" t="s">
        <v>5</v>
      </c>
      <c r="D526" s="10" t="s">
        <v>223</v>
      </c>
      <c r="E526">
        <v>2</v>
      </c>
      <c r="F526">
        <v>55000</v>
      </c>
      <c r="G526">
        <v>59000</v>
      </c>
      <c r="H526">
        <v>8</v>
      </c>
      <c r="I526">
        <v>59000</v>
      </c>
      <c r="J526" s="10" t="s">
        <v>279</v>
      </c>
      <c r="K526" s="10">
        <v>59000</v>
      </c>
      <c r="L526" s="10">
        <v>118000</v>
      </c>
      <c r="M526" s="12" t="s">
        <v>246</v>
      </c>
    </row>
    <row r="527" spans="1:13" ht="16.8" x14ac:dyDescent="0.3">
      <c r="A527" s="7" t="s">
        <v>605</v>
      </c>
      <c r="B527" s="8">
        <v>45088</v>
      </c>
      <c r="C527" s="15" t="s">
        <v>3</v>
      </c>
      <c r="D527" s="10" t="s">
        <v>222</v>
      </c>
      <c r="E527">
        <v>4</v>
      </c>
      <c r="F527">
        <v>65000</v>
      </c>
      <c r="G527">
        <v>55000</v>
      </c>
      <c r="H527">
        <v>7</v>
      </c>
      <c r="I527">
        <v>60449.999999999993</v>
      </c>
      <c r="J527" s="10" t="s">
        <v>278</v>
      </c>
      <c r="K527" s="10">
        <v>60449.999999999993</v>
      </c>
      <c r="L527" s="10">
        <v>241799.99999999997</v>
      </c>
      <c r="M527" s="12" t="s">
        <v>16</v>
      </c>
    </row>
    <row r="528" spans="1:13" ht="16.8" x14ac:dyDescent="0.3">
      <c r="A528" s="7" t="s">
        <v>606</v>
      </c>
      <c r="B528" s="8">
        <v>44366</v>
      </c>
      <c r="C528" s="15" t="s">
        <v>270</v>
      </c>
      <c r="D528" s="10" t="s">
        <v>223</v>
      </c>
      <c r="E528">
        <v>5</v>
      </c>
      <c r="F528">
        <v>49000</v>
      </c>
      <c r="G528">
        <v>55000</v>
      </c>
      <c r="H528">
        <v>9</v>
      </c>
      <c r="I528">
        <v>44590</v>
      </c>
      <c r="J528" s="10" t="s">
        <v>278</v>
      </c>
      <c r="K528" s="10">
        <v>44590</v>
      </c>
      <c r="L528" s="10">
        <v>222950</v>
      </c>
      <c r="M528" s="12" t="s">
        <v>225</v>
      </c>
    </row>
    <row r="529" spans="1:13" ht="16.8" x14ac:dyDescent="0.3">
      <c r="A529" s="7" t="s">
        <v>607</v>
      </c>
      <c r="B529" s="8">
        <v>45026</v>
      </c>
      <c r="C529" s="15" t="s">
        <v>6</v>
      </c>
      <c r="D529" s="10" t="s">
        <v>222</v>
      </c>
      <c r="E529">
        <v>1</v>
      </c>
      <c r="F529">
        <v>35000</v>
      </c>
      <c r="G529">
        <v>39000</v>
      </c>
      <c r="H529">
        <v>7</v>
      </c>
      <c r="I529">
        <v>32549.999999999996</v>
      </c>
      <c r="J529" s="10" t="s">
        <v>278</v>
      </c>
      <c r="K529" s="10">
        <v>32549.999999999996</v>
      </c>
      <c r="L529" s="10">
        <v>32549.999999999996</v>
      </c>
      <c r="M529" s="12" t="s">
        <v>262</v>
      </c>
    </row>
    <row r="530" spans="1:13" ht="16.8" x14ac:dyDescent="0.3">
      <c r="A530" s="7" t="s">
        <v>608</v>
      </c>
      <c r="B530" s="8">
        <v>45003</v>
      </c>
      <c r="C530" s="15" t="s">
        <v>270</v>
      </c>
      <c r="D530" s="10" t="s">
        <v>222</v>
      </c>
      <c r="E530">
        <v>1</v>
      </c>
      <c r="F530">
        <v>39000</v>
      </c>
      <c r="G530">
        <v>75000</v>
      </c>
      <c r="H530">
        <v>7</v>
      </c>
      <c r="I530">
        <v>75000</v>
      </c>
      <c r="J530" s="10" t="s">
        <v>279</v>
      </c>
      <c r="K530" s="10">
        <v>75000</v>
      </c>
      <c r="L530" s="10">
        <v>75000</v>
      </c>
      <c r="M530" s="12" t="s">
        <v>10</v>
      </c>
    </row>
    <row r="531" spans="1:13" ht="16.8" x14ac:dyDescent="0.3">
      <c r="A531" s="7" t="s">
        <v>609</v>
      </c>
      <c r="B531" s="8">
        <v>44772</v>
      </c>
      <c r="C531" s="15" t="s">
        <v>270</v>
      </c>
      <c r="D531" s="10" t="s">
        <v>223</v>
      </c>
      <c r="E531">
        <v>2</v>
      </c>
      <c r="F531">
        <v>39000</v>
      </c>
      <c r="G531">
        <v>75000</v>
      </c>
      <c r="H531">
        <v>6</v>
      </c>
      <c r="I531">
        <v>75000</v>
      </c>
      <c r="J531" s="10" t="s">
        <v>279</v>
      </c>
      <c r="K531" s="10">
        <v>75000</v>
      </c>
      <c r="L531" s="10">
        <v>150000</v>
      </c>
      <c r="M531" s="12" t="s">
        <v>232</v>
      </c>
    </row>
    <row r="532" spans="1:13" ht="16.8" x14ac:dyDescent="0.3">
      <c r="A532" s="7" t="s">
        <v>610</v>
      </c>
      <c r="B532" s="8">
        <v>44535</v>
      </c>
      <c r="C532" s="15" t="s">
        <v>5</v>
      </c>
      <c r="D532" s="10" t="s">
        <v>222</v>
      </c>
      <c r="E532">
        <v>4</v>
      </c>
      <c r="F532">
        <v>59000</v>
      </c>
      <c r="G532">
        <v>49000</v>
      </c>
      <c r="H532">
        <v>8</v>
      </c>
      <c r="I532">
        <v>49000</v>
      </c>
      <c r="J532" s="10" t="s">
        <v>279</v>
      </c>
      <c r="K532" s="10">
        <v>49000</v>
      </c>
      <c r="L532" s="10">
        <v>196000</v>
      </c>
      <c r="M532" s="12" t="s">
        <v>20</v>
      </c>
    </row>
    <row r="533" spans="1:13" ht="16.8" x14ac:dyDescent="0.3">
      <c r="A533" s="7" t="s">
        <v>611</v>
      </c>
      <c r="B533" s="8">
        <v>44832</v>
      </c>
      <c r="C533" s="15" t="s">
        <v>274</v>
      </c>
      <c r="D533" s="10" t="s">
        <v>224</v>
      </c>
      <c r="E533">
        <v>4</v>
      </c>
      <c r="F533">
        <v>65000</v>
      </c>
      <c r="G533">
        <v>65000</v>
      </c>
      <c r="H533">
        <v>14</v>
      </c>
      <c r="I533">
        <v>65000</v>
      </c>
      <c r="J533" s="10" t="s">
        <v>279</v>
      </c>
      <c r="K533" s="10">
        <v>65000</v>
      </c>
      <c r="L533" s="10">
        <v>260000</v>
      </c>
      <c r="M533" s="12" t="s">
        <v>245</v>
      </c>
    </row>
    <row r="534" spans="1:13" ht="16.8" x14ac:dyDescent="0.3">
      <c r="A534" s="7" t="s">
        <v>612</v>
      </c>
      <c r="B534" s="8">
        <v>44530</v>
      </c>
      <c r="C534" s="15" t="s">
        <v>271</v>
      </c>
      <c r="D534" s="10" t="s">
        <v>224</v>
      </c>
      <c r="E534">
        <v>3</v>
      </c>
      <c r="F534">
        <v>39000</v>
      </c>
      <c r="G534">
        <v>49000</v>
      </c>
      <c r="H534">
        <v>15</v>
      </c>
      <c r="I534">
        <v>33150</v>
      </c>
      <c r="J534" s="10" t="s">
        <v>278</v>
      </c>
      <c r="K534" s="10">
        <v>33150</v>
      </c>
      <c r="L534" s="10">
        <v>99450</v>
      </c>
      <c r="M534" s="12" t="s">
        <v>257</v>
      </c>
    </row>
    <row r="535" spans="1:13" ht="16.8" x14ac:dyDescent="0.3">
      <c r="A535" s="7" t="s">
        <v>613</v>
      </c>
      <c r="B535" s="8">
        <v>44228</v>
      </c>
      <c r="C535" s="15" t="s">
        <v>273</v>
      </c>
      <c r="D535" s="10" t="s">
        <v>224</v>
      </c>
      <c r="E535">
        <v>5</v>
      </c>
      <c r="F535">
        <v>45000</v>
      </c>
      <c r="G535">
        <v>65000</v>
      </c>
      <c r="H535">
        <v>9</v>
      </c>
      <c r="I535">
        <v>40950</v>
      </c>
      <c r="J535" s="10" t="s">
        <v>278</v>
      </c>
      <c r="K535" s="10">
        <v>40950</v>
      </c>
      <c r="L535" s="10">
        <v>204750</v>
      </c>
      <c r="M535" s="12" t="s">
        <v>11</v>
      </c>
    </row>
    <row r="536" spans="1:13" ht="16.8" x14ac:dyDescent="0.3">
      <c r="A536" s="7" t="s">
        <v>614</v>
      </c>
      <c r="B536" s="8">
        <v>45105</v>
      </c>
      <c r="C536" s="15" t="s">
        <v>270</v>
      </c>
      <c r="D536" s="10" t="s">
        <v>224</v>
      </c>
      <c r="E536">
        <v>2</v>
      </c>
      <c r="F536">
        <v>49000</v>
      </c>
      <c r="G536">
        <v>59000</v>
      </c>
      <c r="H536">
        <v>8</v>
      </c>
      <c r="I536">
        <v>45080</v>
      </c>
      <c r="J536" s="10" t="s">
        <v>278</v>
      </c>
      <c r="K536" s="10">
        <v>45080</v>
      </c>
      <c r="L536" s="10">
        <v>90160</v>
      </c>
      <c r="M536" s="12" t="s">
        <v>225</v>
      </c>
    </row>
    <row r="537" spans="1:13" ht="16.8" x14ac:dyDescent="0.3">
      <c r="A537" s="7" t="s">
        <v>615</v>
      </c>
      <c r="B537" s="8">
        <v>44581</v>
      </c>
      <c r="C537" s="15" t="s">
        <v>6</v>
      </c>
      <c r="D537" s="10" t="s">
        <v>222</v>
      </c>
      <c r="E537">
        <v>2</v>
      </c>
      <c r="F537">
        <v>59000</v>
      </c>
      <c r="G537">
        <v>49000</v>
      </c>
      <c r="H537">
        <v>15</v>
      </c>
      <c r="I537">
        <v>49000</v>
      </c>
      <c r="J537" s="10" t="s">
        <v>279</v>
      </c>
      <c r="K537" s="10">
        <v>49000</v>
      </c>
      <c r="L537" s="10">
        <v>98000</v>
      </c>
      <c r="M537" s="12" t="s">
        <v>248</v>
      </c>
    </row>
    <row r="538" spans="1:13" ht="16.8" x14ac:dyDescent="0.3">
      <c r="A538" s="7" t="s">
        <v>616</v>
      </c>
      <c r="B538" s="8">
        <v>45182</v>
      </c>
      <c r="C538" s="15" t="s">
        <v>270</v>
      </c>
      <c r="D538" s="10" t="s">
        <v>222</v>
      </c>
      <c r="E538">
        <v>5</v>
      </c>
      <c r="F538">
        <v>59000</v>
      </c>
      <c r="G538">
        <v>59000</v>
      </c>
      <c r="H538">
        <v>11</v>
      </c>
      <c r="I538">
        <v>52510</v>
      </c>
      <c r="J538" s="10" t="s">
        <v>278</v>
      </c>
      <c r="K538" s="10">
        <v>52510</v>
      </c>
      <c r="L538" s="10">
        <v>262550</v>
      </c>
      <c r="M538" s="12" t="s">
        <v>246</v>
      </c>
    </row>
    <row r="539" spans="1:13" ht="16.8" x14ac:dyDescent="0.3">
      <c r="A539" s="7" t="s">
        <v>617</v>
      </c>
      <c r="B539" s="8">
        <v>45035</v>
      </c>
      <c r="C539" s="15" t="s">
        <v>4</v>
      </c>
      <c r="D539" s="10" t="s">
        <v>224</v>
      </c>
      <c r="E539">
        <v>2</v>
      </c>
      <c r="F539">
        <v>59000</v>
      </c>
      <c r="G539">
        <v>69000</v>
      </c>
      <c r="H539">
        <v>14</v>
      </c>
      <c r="I539">
        <v>69000</v>
      </c>
      <c r="J539" s="10" t="s">
        <v>279</v>
      </c>
      <c r="K539" s="10">
        <v>69000</v>
      </c>
      <c r="L539" s="10">
        <v>138000</v>
      </c>
      <c r="M539" s="12" t="s">
        <v>249</v>
      </c>
    </row>
    <row r="540" spans="1:13" ht="16.8" x14ac:dyDescent="0.3">
      <c r="A540" s="7" t="s">
        <v>618</v>
      </c>
      <c r="B540" s="8">
        <v>44870</v>
      </c>
      <c r="C540" s="15" t="s">
        <v>271</v>
      </c>
      <c r="D540" s="10" t="s">
        <v>224</v>
      </c>
      <c r="E540">
        <v>3</v>
      </c>
      <c r="F540">
        <v>65000</v>
      </c>
      <c r="G540">
        <v>35000</v>
      </c>
      <c r="H540">
        <v>10</v>
      </c>
      <c r="I540">
        <v>35000</v>
      </c>
      <c r="J540" s="10" t="s">
        <v>279</v>
      </c>
      <c r="K540" s="10">
        <v>35000</v>
      </c>
      <c r="L540" s="10">
        <v>105000</v>
      </c>
      <c r="M540" s="12" t="s">
        <v>19</v>
      </c>
    </row>
    <row r="541" spans="1:13" ht="16.8" x14ac:dyDescent="0.3">
      <c r="A541" s="7" t="s">
        <v>619</v>
      </c>
      <c r="B541" s="8">
        <v>45139</v>
      </c>
      <c r="C541" s="15" t="s">
        <v>5</v>
      </c>
      <c r="D541" s="10" t="s">
        <v>222</v>
      </c>
      <c r="E541">
        <v>2</v>
      </c>
      <c r="F541">
        <v>59000</v>
      </c>
      <c r="G541">
        <v>65000</v>
      </c>
      <c r="H541">
        <v>7</v>
      </c>
      <c r="I541">
        <v>65000</v>
      </c>
      <c r="J541" s="10" t="s">
        <v>279</v>
      </c>
      <c r="K541" s="10">
        <v>65000</v>
      </c>
      <c r="L541" s="10">
        <v>130000</v>
      </c>
      <c r="M541" s="12" t="s">
        <v>255</v>
      </c>
    </row>
    <row r="542" spans="1:13" ht="16.8" x14ac:dyDescent="0.3">
      <c r="A542" s="7" t="s">
        <v>620</v>
      </c>
      <c r="B542" s="8">
        <v>44857</v>
      </c>
      <c r="C542" s="15" t="s">
        <v>271</v>
      </c>
      <c r="D542" s="10" t="s">
        <v>224</v>
      </c>
      <c r="E542">
        <v>5</v>
      </c>
      <c r="F542">
        <v>65000</v>
      </c>
      <c r="G542">
        <v>49000</v>
      </c>
      <c r="H542">
        <v>8</v>
      </c>
      <c r="I542">
        <v>59800</v>
      </c>
      <c r="J542" s="10" t="s">
        <v>278</v>
      </c>
      <c r="K542" s="10">
        <v>59800</v>
      </c>
      <c r="L542" s="10">
        <v>299000</v>
      </c>
      <c r="M542" s="12" t="s">
        <v>241</v>
      </c>
    </row>
    <row r="543" spans="1:13" ht="16.8" x14ac:dyDescent="0.3">
      <c r="A543" s="7" t="s">
        <v>621</v>
      </c>
      <c r="B543" s="8">
        <v>44279</v>
      </c>
      <c r="C543" s="15" t="s">
        <v>275</v>
      </c>
      <c r="D543" s="10" t="s">
        <v>223</v>
      </c>
      <c r="E543">
        <v>5</v>
      </c>
      <c r="F543">
        <v>59000</v>
      </c>
      <c r="G543">
        <v>59000</v>
      </c>
      <c r="H543">
        <v>6</v>
      </c>
      <c r="I543">
        <v>59000</v>
      </c>
      <c r="J543" s="10" t="s">
        <v>279</v>
      </c>
      <c r="K543" s="10">
        <v>59000</v>
      </c>
      <c r="L543" s="10">
        <v>295000</v>
      </c>
      <c r="M543" s="12" t="s">
        <v>13</v>
      </c>
    </row>
    <row r="544" spans="1:13" ht="16.8" x14ac:dyDescent="0.3">
      <c r="A544" s="7" t="s">
        <v>622</v>
      </c>
      <c r="B544" s="8">
        <v>44571</v>
      </c>
      <c r="C544" s="15" t="s">
        <v>4</v>
      </c>
      <c r="D544" s="10" t="s">
        <v>223</v>
      </c>
      <c r="E544">
        <v>3</v>
      </c>
      <c r="F544">
        <v>59000</v>
      </c>
      <c r="G544">
        <v>65000</v>
      </c>
      <c r="H544">
        <v>15</v>
      </c>
      <c r="I544">
        <v>65000</v>
      </c>
      <c r="J544" s="10" t="s">
        <v>279</v>
      </c>
      <c r="K544" s="10">
        <v>65000</v>
      </c>
      <c r="L544" s="10">
        <v>195000</v>
      </c>
      <c r="M544" s="12" t="s">
        <v>251</v>
      </c>
    </row>
    <row r="545" spans="1:13" ht="16.8" x14ac:dyDescent="0.3">
      <c r="A545" s="7" t="s">
        <v>623</v>
      </c>
      <c r="B545" s="8">
        <v>44616</v>
      </c>
      <c r="C545" s="15" t="s">
        <v>4</v>
      </c>
      <c r="D545" s="10" t="s">
        <v>224</v>
      </c>
      <c r="E545">
        <v>4</v>
      </c>
      <c r="F545">
        <v>59000</v>
      </c>
      <c r="G545">
        <v>49000</v>
      </c>
      <c r="H545">
        <v>10</v>
      </c>
      <c r="I545">
        <v>49000</v>
      </c>
      <c r="J545" s="10" t="s">
        <v>279</v>
      </c>
      <c r="K545" s="10">
        <v>49000</v>
      </c>
      <c r="L545" s="10">
        <v>196000</v>
      </c>
      <c r="M545" s="12" t="s">
        <v>256</v>
      </c>
    </row>
    <row r="546" spans="1:13" ht="16.8" x14ac:dyDescent="0.3">
      <c r="A546" s="7" t="s">
        <v>624</v>
      </c>
      <c r="B546" s="8">
        <v>45112</v>
      </c>
      <c r="C546" s="15" t="s">
        <v>5</v>
      </c>
      <c r="D546" s="10" t="s">
        <v>223</v>
      </c>
      <c r="E546">
        <v>5</v>
      </c>
      <c r="F546">
        <v>65000</v>
      </c>
      <c r="G546">
        <v>69000</v>
      </c>
      <c r="H546">
        <v>14</v>
      </c>
      <c r="I546">
        <v>55900</v>
      </c>
      <c r="J546" s="10" t="s">
        <v>278</v>
      </c>
      <c r="K546" s="10">
        <v>55900</v>
      </c>
      <c r="L546" s="10">
        <v>279500</v>
      </c>
      <c r="M546" s="12" t="s">
        <v>242</v>
      </c>
    </row>
    <row r="547" spans="1:13" ht="16.8" x14ac:dyDescent="0.3">
      <c r="A547" s="7" t="s">
        <v>625</v>
      </c>
      <c r="B547" s="8">
        <v>44940</v>
      </c>
      <c r="C547" s="15" t="s">
        <v>5</v>
      </c>
      <c r="D547" s="10" t="s">
        <v>222</v>
      </c>
      <c r="E547">
        <v>1</v>
      </c>
      <c r="F547">
        <v>65000</v>
      </c>
      <c r="G547">
        <v>45000</v>
      </c>
      <c r="H547">
        <v>13</v>
      </c>
      <c r="I547">
        <v>56550</v>
      </c>
      <c r="J547" s="10" t="s">
        <v>278</v>
      </c>
      <c r="K547" s="10">
        <v>56550</v>
      </c>
      <c r="L547" s="10">
        <v>56550</v>
      </c>
      <c r="M547" s="12" t="s">
        <v>254</v>
      </c>
    </row>
    <row r="548" spans="1:13" ht="16.8" x14ac:dyDescent="0.3">
      <c r="A548" s="7" t="s">
        <v>626</v>
      </c>
      <c r="B548" s="8">
        <v>44806</v>
      </c>
      <c r="C548" s="15" t="s">
        <v>3</v>
      </c>
      <c r="D548" s="10" t="s">
        <v>224</v>
      </c>
      <c r="E548">
        <v>4</v>
      </c>
      <c r="F548">
        <v>59000</v>
      </c>
      <c r="G548">
        <v>65000</v>
      </c>
      <c r="H548">
        <v>14</v>
      </c>
      <c r="I548">
        <v>65000</v>
      </c>
      <c r="J548" s="10" t="s">
        <v>279</v>
      </c>
      <c r="K548" s="10">
        <v>65000</v>
      </c>
      <c r="L548" s="10">
        <v>260000</v>
      </c>
      <c r="M548" s="12" t="s">
        <v>254</v>
      </c>
    </row>
    <row r="549" spans="1:13" ht="16.8" x14ac:dyDescent="0.3">
      <c r="A549" s="7" t="s">
        <v>627</v>
      </c>
      <c r="B549" s="8">
        <v>44509</v>
      </c>
      <c r="C549" s="15" t="s">
        <v>271</v>
      </c>
      <c r="D549" s="10" t="s">
        <v>222</v>
      </c>
      <c r="E549">
        <v>1</v>
      </c>
      <c r="F549">
        <v>55000</v>
      </c>
      <c r="G549">
        <v>59000</v>
      </c>
      <c r="H549">
        <v>13</v>
      </c>
      <c r="I549">
        <v>59000</v>
      </c>
      <c r="J549" s="10" t="s">
        <v>279</v>
      </c>
      <c r="K549" s="10">
        <v>59000</v>
      </c>
      <c r="L549" s="10">
        <v>59000</v>
      </c>
      <c r="M549" s="12" t="s">
        <v>14</v>
      </c>
    </row>
    <row r="550" spans="1:13" ht="16.8" x14ac:dyDescent="0.3">
      <c r="A550" s="7" t="s">
        <v>628</v>
      </c>
      <c r="B550" s="8">
        <v>44901</v>
      </c>
      <c r="C550" s="15" t="s">
        <v>6</v>
      </c>
      <c r="D550" s="10" t="s">
        <v>222</v>
      </c>
      <c r="E550">
        <v>3</v>
      </c>
      <c r="F550">
        <v>69000</v>
      </c>
      <c r="G550">
        <v>75000</v>
      </c>
      <c r="H550">
        <v>13</v>
      </c>
      <c r="I550">
        <v>60030</v>
      </c>
      <c r="J550" s="10" t="s">
        <v>278</v>
      </c>
      <c r="K550" s="10">
        <v>60030</v>
      </c>
      <c r="L550" s="10">
        <v>180090</v>
      </c>
      <c r="M550" s="12" t="s">
        <v>260</v>
      </c>
    </row>
    <row r="551" spans="1:13" ht="16.8" x14ac:dyDescent="0.3">
      <c r="A551" s="7" t="s">
        <v>629</v>
      </c>
      <c r="B551" s="8">
        <v>44720</v>
      </c>
      <c r="C551" s="15" t="s">
        <v>270</v>
      </c>
      <c r="D551" s="10" t="s">
        <v>223</v>
      </c>
      <c r="E551">
        <v>2</v>
      </c>
      <c r="F551">
        <v>65000</v>
      </c>
      <c r="G551">
        <v>69000</v>
      </c>
      <c r="H551">
        <v>5</v>
      </c>
      <c r="I551">
        <v>69000</v>
      </c>
      <c r="J551" s="10" t="s">
        <v>279</v>
      </c>
      <c r="K551" s="10">
        <v>69000</v>
      </c>
      <c r="L551" s="10">
        <v>138000</v>
      </c>
      <c r="M551" s="12" t="s">
        <v>233</v>
      </c>
    </row>
    <row r="552" spans="1:13" ht="16.8" x14ac:dyDescent="0.3">
      <c r="A552" s="7" t="s">
        <v>630</v>
      </c>
      <c r="B552" s="8">
        <v>44986</v>
      </c>
      <c r="C552" s="15" t="s">
        <v>3</v>
      </c>
      <c r="D552" s="10" t="s">
        <v>222</v>
      </c>
      <c r="E552">
        <v>2</v>
      </c>
      <c r="F552">
        <v>59000</v>
      </c>
      <c r="G552">
        <v>59000</v>
      </c>
      <c r="H552">
        <v>5</v>
      </c>
      <c r="I552">
        <v>56050</v>
      </c>
      <c r="J552" s="10" t="s">
        <v>278</v>
      </c>
      <c r="K552" s="10">
        <v>56050</v>
      </c>
      <c r="L552" s="10">
        <v>112100</v>
      </c>
      <c r="M552" s="12" t="s">
        <v>238</v>
      </c>
    </row>
    <row r="553" spans="1:13" ht="16.8" x14ac:dyDescent="0.3">
      <c r="A553" s="7" t="s">
        <v>631</v>
      </c>
      <c r="B553" s="8">
        <v>45157</v>
      </c>
      <c r="C553" s="15" t="s">
        <v>273</v>
      </c>
      <c r="D553" s="10" t="s">
        <v>222</v>
      </c>
      <c r="E553">
        <v>2</v>
      </c>
      <c r="F553">
        <v>35000</v>
      </c>
      <c r="G553">
        <v>49000</v>
      </c>
      <c r="H553">
        <v>8</v>
      </c>
      <c r="I553">
        <v>49000</v>
      </c>
      <c r="J553" s="10" t="s">
        <v>279</v>
      </c>
      <c r="K553" s="10">
        <v>49000</v>
      </c>
      <c r="L553" s="10">
        <v>98000</v>
      </c>
      <c r="M553" s="12" t="s">
        <v>17</v>
      </c>
    </row>
    <row r="554" spans="1:13" ht="16.8" x14ac:dyDescent="0.3">
      <c r="A554" s="7" t="s">
        <v>632</v>
      </c>
      <c r="B554" s="8">
        <v>44964</v>
      </c>
      <c r="C554" s="15" t="s">
        <v>275</v>
      </c>
      <c r="D554" s="10" t="s">
        <v>222</v>
      </c>
      <c r="E554">
        <v>2</v>
      </c>
      <c r="F554">
        <v>59000</v>
      </c>
      <c r="G554">
        <v>39000</v>
      </c>
      <c r="H554">
        <v>13</v>
      </c>
      <c r="I554">
        <v>39000</v>
      </c>
      <c r="J554" s="10" t="s">
        <v>279</v>
      </c>
      <c r="K554" s="10">
        <v>39000</v>
      </c>
      <c r="L554" s="10">
        <v>78000</v>
      </c>
      <c r="M554" s="12" t="s">
        <v>11</v>
      </c>
    </row>
    <row r="555" spans="1:13" ht="16.8" x14ac:dyDescent="0.3">
      <c r="A555" s="7" t="s">
        <v>633</v>
      </c>
      <c r="B555" s="8">
        <v>44879</v>
      </c>
      <c r="C555" s="15" t="s">
        <v>274</v>
      </c>
      <c r="D555" s="10" t="s">
        <v>223</v>
      </c>
      <c r="E555">
        <v>3</v>
      </c>
      <c r="F555">
        <v>55000</v>
      </c>
      <c r="G555">
        <v>59000</v>
      </c>
      <c r="H555">
        <v>7</v>
      </c>
      <c r="I555">
        <v>59000</v>
      </c>
      <c r="J555" s="10" t="s">
        <v>279</v>
      </c>
      <c r="K555" s="10">
        <v>59000</v>
      </c>
      <c r="L555" s="10">
        <v>177000</v>
      </c>
      <c r="M555" s="12" t="s">
        <v>255</v>
      </c>
    </row>
    <row r="556" spans="1:13" ht="16.8" x14ac:dyDescent="0.3">
      <c r="A556" s="7" t="s">
        <v>634</v>
      </c>
      <c r="B556" s="8">
        <v>44396</v>
      </c>
      <c r="C556" s="15" t="s">
        <v>270</v>
      </c>
      <c r="D556" s="10" t="s">
        <v>223</v>
      </c>
      <c r="E556">
        <v>3</v>
      </c>
      <c r="F556">
        <v>49000</v>
      </c>
      <c r="G556">
        <v>49000</v>
      </c>
      <c r="H556">
        <v>15</v>
      </c>
      <c r="I556">
        <v>41650</v>
      </c>
      <c r="J556" s="10" t="s">
        <v>278</v>
      </c>
      <c r="K556" s="10">
        <v>41650</v>
      </c>
      <c r="L556" s="10">
        <v>124950</v>
      </c>
      <c r="M556" s="12" t="s">
        <v>236</v>
      </c>
    </row>
    <row r="557" spans="1:13" ht="16.8" x14ac:dyDescent="0.3">
      <c r="A557" s="7" t="s">
        <v>635</v>
      </c>
      <c r="B557" s="8">
        <v>45179</v>
      </c>
      <c r="C557" s="15" t="s">
        <v>273</v>
      </c>
      <c r="D557" s="10" t="s">
        <v>222</v>
      </c>
      <c r="E557">
        <v>3</v>
      </c>
      <c r="F557">
        <v>65000</v>
      </c>
      <c r="G557">
        <v>55000</v>
      </c>
      <c r="H557">
        <v>13</v>
      </c>
      <c r="I557">
        <v>55000</v>
      </c>
      <c r="J557" s="10" t="s">
        <v>279</v>
      </c>
      <c r="K557" s="10">
        <v>55000</v>
      </c>
      <c r="L557" s="10">
        <v>165000</v>
      </c>
      <c r="M557" s="12" t="s">
        <v>18</v>
      </c>
    </row>
    <row r="558" spans="1:13" ht="16.8" x14ac:dyDescent="0.3">
      <c r="A558" s="7" t="s">
        <v>636</v>
      </c>
      <c r="B558" s="8">
        <v>44823</v>
      </c>
      <c r="C558" s="15" t="s">
        <v>271</v>
      </c>
      <c r="D558" s="10" t="s">
        <v>222</v>
      </c>
      <c r="E558">
        <v>1</v>
      </c>
      <c r="F558">
        <v>59000</v>
      </c>
      <c r="G558">
        <v>69000</v>
      </c>
      <c r="H558">
        <v>12</v>
      </c>
      <c r="I558">
        <v>69000</v>
      </c>
      <c r="J558" s="10" t="s">
        <v>279</v>
      </c>
      <c r="K558" s="10">
        <v>69000</v>
      </c>
      <c r="L558" s="10">
        <v>69000</v>
      </c>
      <c r="M558" s="12" t="s">
        <v>11</v>
      </c>
    </row>
    <row r="559" spans="1:13" ht="16.8" x14ac:dyDescent="0.3">
      <c r="A559" s="7" t="s">
        <v>637</v>
      </c>
      <c r="B559" s="8">
        <v>44932</v>
      </c>
      <c r="C559" s="15" t="s">
        <v>5</v>
      </c>
      <c r="D559" s="10" t="s">
        <v>224</v>
      </c>
      <c r="E559">
        <v>3</v>
      </c>
      <c r="F559">
        <v>69000</v>
      </c>
      <c r="G559">
        <v>49000</v>
      </c>
      <c r="H559">
        <v>10</v>
      </c>
      <c r="I559">
        <v>49000</v>
      </c>
      <c r="J559" s="10" t="s">
        <v>279</v>
      </c>
      <c r="K559" s="10">
        <v>49000</v>
      </c>
      <c r="L559" s="10">
        <v>147000</v>
      </c>
      <c r="M559" s="12" t="s">
        <v>251</v>
      </c>
    </row>
    <row r="560" spans="1:13" ht="16.8" x14ac:dyDescent="0.3">
      <c r="A560" s="7" t="s">
        <v>638</v>
      </c>
      <c r="B560" s="8">
        <v>44939</v>
      </c>
      <c r="C560" s="15" t="s">
        <v>4</v>
      </c>
      <c r="D560" s="10" t="s">
        <v>223</v>
      </c>
      <c r="E560">
        <v>5</v>
      </c>
      <c r="F560">
        <v>35000</v>
      </c>
      <c r="G560">
        <v>65000</v>
      </c>
      <c r="H560">
        <v>9</v>
      </c>
      <c r="I560">
        <v>65000</v>
      </c>
      <c r="J560" s="10" t="s">
        <v>279</v>
      </c>
      <c r="K560" s="10">
        <v>65000</v>
      </c>
      <c r="L560" s="10">
        <v>325000</v>
      </c>
      <c r="M560" s="12" t="s">
        <v>245</v>
      </c>
    </row>
    <row r="561" spans="1:13" ht="16.8" x14ac:dyDescent="0.3">
      <c r="A561" s="7" t="s">
        <v>639</v>
      </c>
      <c r="B561" s="8">
        <v>44263</v>
      </c>
      <c r="C561" s="15" t="s">
        <v>274</v>
      </c>
      <c r="D561" s="10" t="s">
        <v>224</v>
      </c>
      <c r="E561">
        <v>5</v>
      </c>
      <c r="F561">
        <v>65000</v>
      </c>
      <c r="G561">
        <v>65000</v>
      </c>
      <c r="H561">
        <v>10</v>
      </c>
      <c r="I561">
        <v>65000</v>
      </c>
      <c r="J561" s="10" t="s">
        <v>279</v>
      </c>
      <c r="K561" s="10">
        <v>65000</v>
      </c>
      <c r="L561" s="10">
        <v>325000</v>
      </c>
      <c r="M561" s="12" t="s">
        <v>234</v>
      </c>
    </row>
    <row r="562" spans="1:13" ht="16.8" x14ac:dyDescent="0.3">
      <c r="A562" s="7" t="s">
        <v>640</v>
      </c>
      <c r="B562" s="8">
        <v>44923</v>
      </c>
      <c r="C562" s="15" t="s">
        <v>4</v>
      </c>
      <c r="D562" s="10" t="s">
        <v>222</v>
      </c>
      <c r="E562">
        <v>2</v>
      </c>
      <c r="F562">
        <v>65000</v>
      </c>
      <c r="G562">
        <v>65000</v>
      </c>
      <c r="H562">
        <v>12</v>
      </c>
      <c r="I562">
        <v>65000</v>
      </c>
      <c r="J562" s="10" t="s">
        <v>279</v>
      </c>
      <c r="K562" s="10">
        <v>65000</v>
      </c>
      <c r="L562" s="10">
        <v>130000</v>
      </c>
      <c r="M562" s="12" t="s">
        <v>17</v>
      </c>
    </row>
    <row r="563" spans="1:13" ht="16.8" x14ac:dyDescent="0.3">
      <c r="A563" s="7" t="s">
        <v>641</v>
      </c>
      <c r="B563" s="8">
        <v>45106</v>
      </c>
      <c r="C563" s="15" t="s">
        <v>271</v>
      </c>
      <c r="D563" s="10" t="s">
        <v>222</v>
      </c>
      <c r="E563">
        <v>3</v>
      </c>
      <c r="F563">
        <v>55000</v>
      </c>
      <c r="G563">
        <v>49000</v>
      </c>
      <c r="H563">
        <v>14</v>
      </c>
      <c r="I563">
        <v>47300</v>
      </c>
      <c r="J563" s="10" t="s">
        <v>278</v>
      </c>
      <c r="K563" s="10">
        <v>47300</v>
      </c>
      <c r="L563" s="10">
        <v>141900</v>
      </c>
      <c r="M563" s="12" t="s">
        <v>225</v>
      </c>
    </row>
    <row r="564" spans="1:13" ht="16.8" x14ac:dyDescent="0.3">
      <c r="A564" s="7" t="s">
        <v>642</v>
      </c>
      <c r="B564" s="8">
        <v>44707</v>
      </c>
      <c r="C564" s="15" t="s">
        <v>6</v>
      </c>
      <c r="D564" s="10" t="s">
        <v>222</v>
      </c>
      <c r="E564">
        <v>1</v>
      </c>
      <c r="F564">
        <v>65000</v>
      </c>
      <c r="G564">
        <v>75000</v>
      </c>
      <c r="H564">
        <v>10</v>
      </c>
      <c r="I564">
        <v>75000</v>
      </c>
      <c r="J564" s="10" t="s">
        <v>279</v>
      </c>
      <c r="K564" s="10">
        <v>75000</v>
      </c>
      <c r="L564" s="10">
        <v>75000</v>
      </c>
      <c r="M564" s="12" t="s">
        <v>234</v>
      </c>
    </row>
    <row r="565" spans="1:13" ht="16.8" x14ac:dyDescent="0.3">
      <c r="A565" s="7" t="s">
        <v>643</v>
      </c>
      <c r="B565" s="8">
        <v>45051</v>
      </c>
      <c r="C565" s="15" t="s">
        <v>273</v>
      </c>
      <c r="D565" s="10" t="s">
        <v>223</v>
      </c>
      <c r="E565">
        <v>3</v>
      </c>
      <c r="F565">
        <v>65000</v>
      </c>
      <c r="G565">
        <v>55000</v>
      </c>
      <c r="H565">
        <v>14</v>
      </c>
      <c r="I565">
        <v>55000</v>
      </c>
      <c r="J565" s="10" t="s">
        <v>279</v>
      </c>
      <c r="K565" s="10">
        <v>55000</v>
      </c>
      <c r="L565" s="10">
        <v>165000</v>
      </c>
      <c r="M565" s="12" t="s">
        <v>245</v>
      </c>
    </row>
    <row r="566" spans="1:13" ht="16.8" x14ac:dyDescent="0.3">
      <c r="A566" s="7" t="s">
        <v>644</v>
      </c>
      <c r="B566" s="8">
        <v>45173</v>
      </c>
      <c r="C566" s="15" t="s">
        <v>270</v>
      </c>
      <c r="D566" s="10" t="s">
        <v>222</v>
      </c>
      <c r="E566">
        <v>4</v>
      </c>
      <c r="F566">
        <v>65000</v>
      </c>
      <c r="G566">
        <v>59000</v>
      </c>
      <c r="H566">
        <v>14</v>
      </c>
      <c r="I566">
        <v>55900</v>
      </c>
      <c r="J566" s="10" t="s">
        <v>278</v>
      </c>
      <c r="K566" s="10">
        <v>55900</v>
      </c>
      <c r="L566" s="10">
        <v>223600</v>
      </c>
      <c r="M566" s="12" t="s">
        <v>225</v>
      </c>
    </row>
    <row r="567" spans="1:13" ht="16.8" x14ac:dyDescent="0.3">
      <c r="A567" s="7" t="s">
        <v>645</v>
      </c>
      <c r="B567" s="8">
        <v>44982</v>
      </c>
      <c r="C567" s="15" t="s">
        <v>271</v>
      </c>
      <c r="D567" s="10" t="s">
        <v>222</v>
      </c>
      <c r="E567">
        <v>5</v>
      </c>
      <c r="F567">
        <v>65000</v>
      </c>
      <c r="G567">
        <v>65000</v>
      </c>
      <c r="H567">
        <v>13</v>
      </c>
      <c r="I567">
        <v>65000</v>
      </c>
      <c r="J567" s="10" t="s">
        <v>279</v>
      </c>
      <c r="K567" s="10">
        <v>65000</v>
      </c>
      <c r="L567" s="10">
        <v>325000</v>
      </c>
      <c r="M567" s="12" t="s">
        <v>256</v>
      </c>
    </row>
    <row r="568" spans="1:13" ht="16.8" x14ac:dyDescent="0.3">
      <c r="A568" s="7" t="s">
        <v>646</v>
      </c>
      <c r="B568" s="8">
        <v>44617</v>
      </c>
      <c r="C568" s="15" t="s">
        <v>4</v>
      </c>
      <c r="D568" s="10" t="s">
        <v>223</v>
      </c>
      <c r="E568">
        <v>5</v>
      </c>
      <c r="F568">
        <v>49000</v>
      </c>
      <c r="G568">
        <v>49000</v>
      </c>
      <c r="H568">
        <v>6</v>
      </c>
      <c r="I568">
        <v>46060</v>
      </c>
      <c r="J568" s="10" t="s">
        <v>278</v>
      </c>
      <c r="K568" s="10">
        <v>46060</v>
      </c>
      <c r="L568" s="10">
        <v>230300</v>
      </c>
      <c r="M568" s="12" t="s">
        <v>14</v>
      </c>
    </row>
    <row r="569" spans="1:13" ht="16.8" x14ac:dyDescent="0.3">
      <c r="A569" s="7" t="s">
        <v>647</v>
      </c>
      <c r="B569" s="8">
        <v>44721</v>
      </c>
      <c r="C569" s="15" t="s">
        <v>3</v>
      </c>
      <c r="D569" s="10" t="s">
        <v>223</v>
      </c>
      <c r="E569">
        <v>5</v>
      </c>
      <c r="F569">
        <v>65000</v>
      </c>
      <c r="G569">
        <v>65000</v>
      </c>
      <c r="H569">
        <v>11</v>
      </c>
      <c r="I569">
        <v>57850</v>
      </c>
      <c r="J569" s="10" t="s">
        <v>278</v>
      </c>
      <c r="K569" s="10">
        <v>57850</v>
      </c>
      <c r="L569" s="10">
        <v>289250</v>
      </c>
      <c r="M569" s="12" t="s">
        <v>245</v>
      </c>
    </row>
    <row r="570" spans="1:13" ht="16.8" x14ac:dyDescent="0.3">
      <c r="A570" s="7" t="s">
        <v>648</v>
      </c>
      <c r="B570" s="8">
        <v>44541</v>
      </c>
      <c r="C570" s="15" t="s">
        <v>4</v>
      </c>
      <c r="D570" s="10" t="s">
        <v>224</v>
      </c>
      <c r="E570">
        <v>3</v>
      </c>
      <c r="F570">
        <v>49000</v>
      </c>
      <c r="G570">
        <v>65000</v>
      </c>
      <c r="H570">
        <v>14</v>
      </c>
      <c r="I570">
        <v>65000</v>
      </c>
      <c r="J570" s="10" t="s">
        <v>279</v>
      </c>
      <c r="K570" s="10">
        <v>65000</v>
      </c>
      <c r="L570" s="10">
        <v>195000</v>
      </c>
      <c r="M570" s="12" t="s">
        <v>245</v>
      </c>
    </row>
    <row r="571" spans="1:13" ht="16.8" x14ac:dyDescent="0.3">
      <c r="A571" s="7" t="s">
        <v>649</v>
      </c>
      <c r="B571" s="8">
        <v>44800</v>
      </c>
      <c r="C571" s="15" t="s">
        <v>3</v>
      </c>
      <c r="D571" s="10" t="s">
        <v>223</v>
      </c>
      <c r="E571">
        <v>4</v>
      </c>
      <c r="F571">
        <v>35000</v>
      </c>
      <c r="G571">
        <v>65000</v>
      </c>
      <c r="H571">
        <v>6</v>
      </c>
      <c r="I571">
        <v>32900</v>
      </c>
      <c r="J571" s="10" t="s">
        <v>278</v>
      </c>
      <c r="K571" s="10">
        <v>32900</v>
      </c>
      <c r="L571" s="10">
        <v>131600</v>
      </c>
      <c r="M571" s="12" t="s">
        <v>13</v>
      </c>
    </row>
    <row r="572" spans="1:13" ht="16.8" x14ac:dyDescent="0.3">
      <c r="A572" s="7" t="s">
        <v>650</v>
      </c>
      <c r="B572" s="8">
        <v>44417</v>
      </c>
      <c r="C572" s="15" t="s">
        <v>274</v>
      </c>
      <c r="D572" s="10" t="s">
        <v>222</v>
      </c>
      <c r="E572">
        <v>2</v>
      </c>
      <c r="F572">
        <v>59000</v>
      </c>
      <c r="G572">
        <v>49000</v>
      </c>
      <c r="H572">
        <v>7</v>
      </c>
      <c r="I572">
        <v>49000</v>
      </c>
      <c r="J572" s="10" t="s">
        <v>279</v>
      </c>
      <c r="K572" s="10">
        <v>49000</v>
      </c>
      <c r="L572" s="10">
        <v>98000</v>
      </c>
      <c r="M572" s="12" t="s">
        <v>235</v>
      </c>
    </row>
    <row r="573" spans="1:13" ht="16.8" x14ac:dyDescent="0.3">
      <c r="A573" s="7" t="s">
        <v>651</v>
      </c>
      <c r="B573" s="8">
        <v>45284</v>
      </c>
      <c r="C573" s="15" t="s">
        <v>273</v>
      </c>
      <c r="D573" s="10" t="s">
        <v>224</v>
      </c>
      <c r="E573">
        <v>2</v>
      </c>
      <c r="F573">
        <v>39000</v>
      </c>
      <c r="G573">
        <v>69000</v>
      </c>
      <c r="H573">
        <v>12</v>
      </c>
      <c r="I573">
        <v>69000</v>
      </c>
      <c r="J573" s="10" t="s">
        <v>279</v>
      </c>
      <c r="K573" s="10">
        <v>69000</v>
      </c>
      <c r="L573" s="10">
        <v>138000</v>
      </c>
      <c r="M573" s="12" t="s">
        <v>237</v>
      </c>
    </row>
    <row r="574" spans="1:13" ht="16.8" x14ac:dyDescent="0.3">
      <c r="A574" s="7" t="s">
        <v>652</v>
      </c>
      <c r="B574" s="8">
        <v>44623</v>
      </c>
      <c r="C574" s="15" t="s">
        <v>271</v>
      </c>
      <c r="D574" s="10" t="s">
        <v>222</v>
      </c>
      <c r="E574">
        <v>3</v>
      </c>
      <c r="F574">
        <v>35000</v>
      </c>
      <c r="G574">
        <v>45000</v>
      </c>
      <c r="H574">
        <v>5</v>
      </c>
      <c r="I574">
        <v>45000</v>
      </c>
      <c r="J574" s="10" t="s">
        <v>279</v>
      </c>
      <c r="K574" s="10">
        <v>45000</v>
      </c>
      <c r="L574" s="10">
        <v>135000</v>
      </c>
      <c r="M574" s="12" t="s">
        <v>231</v>
      </c>
    </row>
    <row r="575" spans="1:13" ht="16.8" x14ac:dyDescent="0.3">
      <c r="A575" s="7" t="s">
        <v>653</v>
      </c>
      <c r="B575" s="8">
        <v>44272</v>
      </c>
      <c r="C575" s="15" t="s">
        <v>274</v>
      </c>
      <c r="D575" s="10" t="s">
        <v>222</v>
      </c>
      <c r="E575">
        <v>5</v>
      </c>
      <c r="F575">
        <v>35000</v>
      </c>
      <c r="G575">
        <v>69000</v>
      </c>
      <c r="H575">
        <v>7</v>
      </c>
      <c r="I575">
        <v>32549.999999999996</v>
      </c>
      <c r="J575" s="10" t="s">
        <v>278</v>
      </c>
      <c r="K575" s="10">
        <v>32549.999999999996</v>
      </c>
      <c r="L575" s="10">
        <v>162749.99999999997</v>
      </c>
      <c r="M575" s="12" t="s">
        <v>17</v>
      </c>
    </row>
    <row r="576" spans="1:13" ht="16.8" x14ac:dyDescent="0.3">
      <c r="A576" s="7" t="s">
        <v>654</v>
      </c>
      <c r="B576" s="8">
        <v>45091</v>
      </c>
      <c r="C576" s="15" t="s">
        <v>273</v>
      </c>
      <c r="D576" s="10" t="s">
        <v>224</v>
      </c>
      <c r="E576">
        <v>1</v>
      </c>
      <c r="F576">
        <v>65000</v>
      </c>
      <c r="G576">
        <v>49000</v>
      </c>
      <c r="H576">
        <v>5</v>
      </c>
      <c r="I576">
        <v>49000</v>
      </c>
      <c r="J576" s="10" t="s">
        <v>279</v>
      </c>
      <c r="K576" s="10">
        <v>49000</v>
      </c>
      <c r="L576" s="10">
        <v>49000</v>
      </c>
      <c r="M576" s="12" t="s">
        <v>256</v>
      </c>
    </row>
    <row r="577" spans="1:13" ht="16.8" x14ac:dyDescent="0.3">
      <c r="A577" s="7" t="s">
        <v>655</v>
      </c>
      <c r="B577" s="8">
        <v>45175</v>
      </c>
      <c r="C577" s="15" t="s">
        <v>275</v>
      </c>
      <c r="D577" s="10" t="s">
        <v>223</v>
      </c>
      <c r="E577">
        <v>1</v>
      </c>
      <c r="F577">
        <v>49000</v>
      </c>
      <c r="G577">
        <v>49000</v>
      </c>
      <c r="H577">
        <v>6</v>
      </c>
      <c r="I577">
        <v>49000</v>
      </c>
      <c r="J577" s="10" t="s">
        <v>279</v>
      </c>
      <c r="K577" s="10">
        <v>49000</v>
      </c>
      <c r="L577" s="10">
        <v>49000</v>
      </c>
      <c r="M577" s="12" t="s">
        <v>244</v>
      </c>
    </row>
    <row r="578" spans="1:13" ht="16.8" x14ac:dyDescent="0.3">
      <c r="A578" s="7" t="s">
        <v>656</v>
      </c>
      <c r="B578" s="8">
        <v>44553</v>
      </c>
      <c r="C578" s="15" t="s">
        <v>273</v>
      </c>
      <c r="D578" s="10" t="s">
        <v>224</v>
      </c>
      <c r="E578">
        <v>3</v>
      </c>
      <c r="F578">
        <v>65000</v>
      </c>
      <c r="G578">
        <v>55000</v>
      </c>
      <c r="H578">
        <v>10</v>
      </c>
      <c r="I578">
        <v>55000</v>
      </c>
      <c r="J578" s="10" t="s">
        <v>279</v>
      </c>
      <c r="K578" s="10">
        <v>55000</v>
      </c>
      <c r="L578" s="10">
        <v>165000</v>
      </c>
      <c r="M578" s="12" t="s">
        <v>238</v>
      </c>
    </row>
    <row r="579" spans="1:13" ht="16.8" x14ac:dyDescent="0.3">
      <c r="A579" s="7" t="s">
        <v>657</v>
      </c>
      <c r="B579" s="8">
        <v>45008</v>
      </c>
      <c r="C579" s="15" t="s">
        <v>272</v>
      </c>
      <c r="D579" s="10" t="s">
        <v>222</v>
      </c>
      <c r="E579">
        <v>3</v>
      </c>
      <c r="F579">
        <v>49000</v>
      </c>
      <c r="G579">
        <v>65000</v>
      </c>
      <c r="H579">
        <v>7</v>
      </c>
      <c r="I579">
        <v>65000</v>
      </c>
      <c r="J579" s="10" t="s">
        <v>279</v>
      </c>
      <c r="K579" s="10">
        <v>65000</v>
      </c>
      <c r="L579" s="10">
        <v>195000</v>
      </c>
      <c r="M579" s="12" t="s">
        <v>255</v>
      </c>
    </row>
    <row r="580" spans="1:13" ht="16.8" x14ac:dyDescent="0.3">
      <c r="A580" s="7" t="s">
        <v>658</v>
      </c>
      <c r="B580" s="8">
        <v>44618</v>
      </c>
      <c r="C580" s="15" t="s">
        <v>273</v>
      </c>
      <c r="D580" s="10" t="s">
        <v>224</v>
      </c>
      <c r="E580">
        <v>2</v>
      </c>
      <c r="F580">
        <v>55000</v>
      </c>
      <c r="G580">
        <v>59000</v>
      </c>
      <c r="H580">
        <v>9</v>
      </c>
      <c r="I580">
        <v>59000</v>
      </c>
      <c r="J580" s="10" t="s">
        <v>279</v>
      </c>
      <c r="K580" s="10">
        <v>59000</v>
      </c>
      <c r="L580" s="10">
        <v>118000</v>
      </c>
      <c r="M580" s="12" t="s">
        <v>232</v>
      </c>
    </row>
    <row r="581" spans="1:13" ht="16.8" x14ac:dyDescent="0.3">
      <c r="A581" s="7" t="s">
        <v>659</v>
      </c>
      <c r="B581" s="8">
        <v>44777</v>
      </c>
      <c r="C581" s="15" t="s">
        <v>6</v>
      </c>
      <c r="D581" s="10" t="s">
        <v>224</v>
      </c>
      <c r="E581">
        <v>2</v>
      </c>
      <c r="F581">
        <v>29000</v>
      </c>
      <c r="G581">
        <v>59000</v>
      </c>
      <c r="H581">
        <v>9</v>
      </c>
      <c r="I581">
        <v>26390</v>
      </c>
      <c r="J581" s="10" t="s">
        <v>278</v>
      </c>
      <c r="K581" s="10">
        <v>26390</v>
      </c>
      <c r="L581" s="10">
        <v>52780</v>
      </c>
      <c r="M581" s="12" t="s">
        <v>232</v>
      </c>
    </row>
    <row r="582" spans="1:13" ht="16.8" x14ac:dyDescent="0.3">
      <c r="A582" s="7" t="s">
        <v>660</v>
      </c>
      <c r="B582" s="8">
        <v>44510</v>
      </c>
      <c r="C582" s="15" t="s">
        <v>275</v>
      </c>
      <c r="D582" s="10" t="s">
        <v>222</v>
      </c>
      <c r="E582">
        <v>3</v>
      </c>
      <c r="F582">
        <v>55000</v>
      </c>
      <c r="G582">
        <v>55000</v>
      </c>
      <c r="H582">
        <v>12</v>
      </c>
      <c r="I582">
        <v>55000</v>
      </c>
      <c r="J582" s="10" t="s">
        <v>279</v>
      </c>
      <c r="K582" s="10">
        <v>55000</v>
      </c>
      <c r="L582" s="10">
        <v>165000</v>
      </c>
      <c r="M582" s="12" t="s">
        <v>243</v>
      </c>
    </row>
    <row r="583" spans="1:13" ht="16.8" x14ac:dyDescent="0.3">
      <c r="A583" s="7" t="s">
        <v>661</v>
      </c>
      <c r="B583" s="8">
        <v>44806</v>
      </c>
      <c r="C583" s="15" t="s">
        <v>274</v>
      </c>
      <c r="D583" s="10" t="s">
        <v>224</v>
      </c>
      <c r="E583">
        <v>2</v>
      </c>
      <c r="F583">
        <v>65000</v>
      </c>
      <c r="G583">
        <v>59000</v>
      </c>
      <c r="H583">
        <v>5</v>
      </c>
      <c r="I583">
        <v>61750</v>
      </c>
      <c r="J583" s="10" t="s">
        <v>278</v>
      </c>
      <c r="K583" s="10">
        <v>61750</v>
      </c>
      <c r="L583" s="10">
        <v>123500</v>
      </c>
      <c r="M583" s="12" t="s">
        <v>11</v>
      </c>
    </row>
    <row r="584" spans="1:13" ht="16.8" x14ac:dyDescent="0.3">
      <c r="A584" s="7" t="s">
        <v>662</v>
      </c>
      <c r="B584" s="8">
        <v>44636</v>
      </c>
      <c r="C584" s="15" t="s">
        <v>6</v>
      </c>
      <c r="D584" s="10" t="s">
        <v>222</v>
      </c>
      <c r="E584">
        <v>3</v>
      </c>
      <c r="F584">
        <v>55000</v>
      </c>
      <c r="G584">
        <v>49000</v>
      </c>
      <c r="H584">
        <v>7</v>
      </c>
      <c r="I584">
        <v>49000</v>
      </c>
      <c r="J584" s="10" t="s">
        <v>279</v>
      </c>
      <c r="K584" s="10">
        <v>49000</v>
      </c>
      <c r="L584" s="10">
        <v>147000</v>
      </c>
      <c r="M584" s="12" t="s">
        <v>236</v>
      </c>
    </row>
    <row r="585" spans="1:13" ht="16.8" x14ac:dyDescent="0.3">
      <c r="A585" s="7" t="s">
        <v>663</v>
      </c>
      <c r="B585" s="8">
        <v>44289</v>
      </c>
      <c r="C585" s="15" t="s">
        <v>270</v>
      </c>
      <c r="D585" s="10" t="s">
        <v>224</v>
      </c>
      <c r="E585">
        <v>5</v>
      </c>
      <c r="F585">
        <v>39000</v>
      </c>
      <c r="G585">
        <v>59000</v>
      </c>
      <c r="H585">
        <v>14</v>
      </c>
      <c r="I585">
        <v>59000</v>
      </c>
      <c r="J585" s="10" t="s">
        <v>279</v>
      </c>
      <c r="K585" s="10">
        <v>59000</v>
      </c>
      <c r="L585" s="10">
        <v>295000</v>
      </c>
      <c r="M585" s="12" t="s">
        <v>14</v>
      </c>
    </row>
    <row r="586" spans="1:13" ht="16.8" x14ac:dyDescent="0.3">
      <c r="A586" s="7" t="s">
        <v>664</v>
      </c>
      <c r="B586" s="8">
        <v>44583</v>
      </c>
      <c r="C586" s="15" t="s">
        <v>275</v>
      </c>
      <c r="D586" s="10" t="s">
        <v>224</v>
      </c>
      <c r="E586">
        <v>5</v>
      </c>
      <c r="F586">
        <v>55000</v>
      </c>
      <c r="G586">
        <v>65000</v>
      </c>
      <c r="H586">
        <v>12</v>
      </c>
      <c r="I586">
        <v>48400</v>
      </c>
      <c r="J586" s="10" t="s">
        <v>278</v>
      </c>
      <c r="K586" s="10">
        <v>48400</v>
      </c>
      <c r="L586" s="10">
        <v>242000</v>
      </c>
      <c r="M586" s="12" t="s">
        <v>15</v>
      </c>
    </row>
    <row r="587" spans="1:13" ht="16.8" x14ac:dyDescent="0.3">
      <c r="A587" s="7" t="s">
        <v>665</v>
      </c>
      <c r="B587" s="8">
        <v>44905</v>
      </c>
      <c r="C587" s="15" t="s">
        <v>5</v>
      </c>
      <c r="D587" s="10" t="s">
        <v>222</v>
      </c>
      <c r="E587">
        <v>1</v>
      </c>
      <c r="F587">
        <v>49000</v>
      </c>
      <c r="G587">
        <v>65000</v>
      </c>
      <c r="H587">
        <v>7</v>
      </c>
      <c r="I587">
        <v>45570</v>
      </c>
      <c r="J587" s="10" t="s">
        <v>278</v>
      </c>
      <c r="K587" s="10">
        <v>45570</v>
      </c>
      <c r="L587" s="10">
        <v>45570</v>
      </c>
      <c r="M587" s="12" t="s">
        <v>18</v>
      </c>
    </row>
    <row r="588" spans="1:13" ht="16.8" x14ac:dyDescent="0.3">
      <c r="A588" s="7" t="s">
        <v>666</v>
      </c>
      <c r="B588" s="8">
        <v>44561</v>
      </c>
      <c r="C588" s="15" t="s">
        <v>3</v>
      </c>
      <c r="D588" s="10" t="s">
        <v>223</v>
      </c>
      <c r="E588">
        <v>2</v>
      </c>
      <c r="F588">
        <v>59000</v>
      </c>
      <c r="G588">
        <v>65000</v>
      </c>
      <c r="H588">
        <v>5</v>
      </c>
      <c r="I588">
        <v>65000</v>
      </c>
      <c r="J588" s="10" t="s">
        <v>279</v>
      </c>
      <c r="K588" s="10">
        <v>65000</v>
      </c>
      <c r="L588" s="10">
        <v>130000</v>
      </c>
      <c r="M588" s="12" t="s">
        <v>21</v>
      </c>
    </row>
    <row r="589" spans="1:13" ht="16.8" x14ac:dyDescent="0.3">
      <c r="A589" s="7" t="s">
        <v>667</v>
      </c>
      <c r="B589" s="8">
        <v>45051</v>
      </c>
      <c r="C589" s="15" t="s">
        <v>273</v>
      </c>
      <c r="D589" s="10" t="s">
        <v>222</v>
      </c>
      <c r="E589">
        <v>2</v>
      </c>
      <c r="F589">
        <v>59000</v>
      </c>
      <c r="G589">
        <v>49000</v>
      </c>
      <c r="H589">
        <v>14</v>
      </c>
      <c r="I589">
        <v>50740</v>
      </c>
      <c r="J589" s="10" t="s">
        <v>278</v>
      </c>
      <c r="K589" s="10">
        <v>50740</v>
      </c>
      <c r="L589" s="10">
        <v>101480</v>
      </c>
      <c r="M589" s="12" t="s">
        <v>11</v>
      </c>
    </row>
    <row r="590" spans="1:13" ht="16.8" x14ac:dyDescent="0.3">
      <c r="A590" s="7" t="s">
        <v>668</v>
      </c>
      <c r="B590" s="8">
        <v>45018</v>
      </c>
      <c r="C590" s="15" t="s">
        <v>272</v>
      </c>
      <c r="D590" s="10" t="s">
        <v>223</v>
      </c>
      <c r="E590">
        <v>1</v>
      </c>
      <c r="F590">
        <v>65000</v>
      </c>
      <c r="G590">
        <v>29000</v>
      </c>
      <c r="H590">
        <v>11</v>
      </c>
      <c r="I590">
        <v>29000</v>
      </c>
      <c r="J590" s="10" t="s">
        <v>279</v>
      </c>
      <c r="K590" s="10">
        <v>29000</v>
      </c>
      <c r="L590" s="10">
        <v>29000</v>
      </c>
      <c r="M590" s="12" t="s">
        <v>254</v>
      </c>
    </row>
    <row r="591" spans="1:13" ht="16.8" x14ac:dyDescent="0.3">
      <c r="A591" s="7" t="s">
        <v>669</v>
      </c>
      <c r="B591" s="8">
        <v>44492</v>
      </c>
      <c r="C591" s="15" t="s">
        <v>4</v>
      </c>
      <c r="D591" s="10" t="s">
        <v>223</v>
      </c>
      <c r="E591">
        <v>3</v>
      </c>
      <c r="F591">
        <v>75000</v>
      </c>
      <c r="G591">
        <v>49000</v>
      </c>
      <c r="H591">
        <v>13</v>
      </c>
      <c r="I591">
        <v>49000</v>
      </c>
      <c r="J591" s="10" t="s">
        <v>279</v>
      </c>
      <c r="K591" s="10">
        <v>49000</v>
      </c>
      <c r="L591" s="10">
        <v>147000</v>
      </c>
      <c r="M591" s="12" t="s">
        <v>232</v>
      </c>
    </row>
    <row r="592" spans="1:13" ht="16.8" x14ac:dyDescent="0.3">
      <c r="A592" s="7" t="s">
        <v>670</v>
      </c>
      <c r="B592" s="8">
        <v>45005</v>
      </c>
      <c r="C592" s="15" t="s">
        <v>3</v>
      </c>
      <c r="D592" s="10" t="s">
        <v>224</v>
      </c>
      <c r="E592">
        <v>5</v>
      </c>
      <c r="F592">
        <v>39000</v>
      </c>
      <c r="G592">
        <v>59000</v>
      </c>
      <c r="H592">
        <v>13</v>
      </c>
      <c r="I592">
        <v>33930</v>
      </c>
      <c r="J592" s="10" t="s">
        <v>278</v>
      </c>
      <c r="K592" s="10">
        <v>33930</v>
      </c>
      <c r="L592" s="10">
        <v>169650</v>
      </c>
      <c r="M592" s="12" t="s">
        <v>240</v>
      </c>
    </row>
    <row r="593" spans="1:13" ht="16.8" x14ac:dyDescent="0.3">
      <c r="A593" s="7" t="s">
        <v>671</v>
      </c>
      <c r="B593" s="8">
        <v>44376</v>
      </c>
      <c r="C593" s="15" t="s">
        <v>4</v>
      </c>
      <c r="D593" s="10" t="s">
        <v>223</v>
      </c>
      <c r="E593">
        <v>1</v>
      </c>
      <c r="F593">
        <v>35000</v>
      </c>
      <c r="G593">
        <v>69000</v>
      </c>
      <c r="H593">
        <v>9</v>
      </c>
      <c r="I593">
        <v>31850</v>
      </c>
      <c r="J593" s="10" t="s">
        <v>278</v>
      </c>
      <c r="K593" s="10">
        <v>31850</v>
      </c>
      <c r="L593" s="10">
        <v>31850</v>
      </c>
      <c r="M593" s="12" t="s">
        <v>242</v>
      </c>
    </row>
    <row r="594" spans="1:13" ht="16.8" x14ac:dyDescent="0.3">
      <c r="A594" s="7" t="s">
        <v>672</v>
      </c>
      <c r="B594" s="8">
        <v>45017</v>
      </c>
      <c r="C594" s="15" t="s">
        <v>274</v>
      </c>
      <c r="D594" s="10" t="s">
        <v>224</v>
      </c>
      <c r="E594">
        <v>3</v>
      </c>
      <c r="F594">
        <v>59000</v>
      </c>
      <c r="G594">
        <v>59000</v>
      </c>
      <c r="H594">
        <v>7</v>
      </c>
      <c r="I594">
        <v>54869.999999999993</v>
      </c>
      <c r="J594" s="10" t="s">
        <v>278</v>
      </c>
      <c r="K594" s="10">
        <v>54869.999999999993</v>
      </c>
      <c r="L594" s="10">
        <v>164609.99999999997</v>
      </c>
      <c r="M594" s="12" t="s">
        <v>227</v>
      </c>
    </row>
    <row r="595" spans="1:13" ht="16.8" x14ac:dyDescent="0.3">
      <c r="A595" s="7" t="s">
        <v>673</v>
      </c>
      <c r="B595" s="8">
        <v>44906</v>
      </c>
      <c r="C595" s="15" t="s">
        <v>272</v>
      </c>
      <c r="D595" s="10" t="s">
        <v>224</v>
      </c>
      <c r="E595">
        <v>2</v>
      </c>
      <c r="F595">
        <v>59000</v>
      </c>
      <c r="G595">
        <v>49000</v>
      </c>
      <c r="H595">
        <v>11</v>
      </c>
      <c r="I595">
        <v>49000</v>
      </c>
      <c r="J595" s="10" t="s">
        <v>279</v>
      </c>
      <c r="K595" s="10">
        <v>49000</v>
      </c>
      <c r="L595" s="10">
        <v>98000</v>
      </c>
      <c r="M595" s="12" t="s">
        <v>255</v>
      </c>
    </row>
    <row r="596" spans="1:13" ht="16.8" x14ac:dyDescent="0.3">
      <c r="A596" s="7" t="s">
        <v>674</v>
      </c>
      <c r="B596" s="8">
        <v>44620</v>
      </c>
      <c r="C596" s="15" t="s">
        <v>272</v>
      </c>
      <c r="D596" s="10" t="s">
        <v>223</v>
      </c>
      <c r="E596">
        <v>1</v>
      </c>
      <c r="F596">
        <v>65000</v>
      </c>
      <c r="G596">
        <v>65000</v>
      </c>
      <c r="H596">
        <v>7</v>
      </c>
      <c r="I596">
        <v>60449.999999999993</v>
      </c>
      <c r="J596" s="10" t="s">
        <v>278</v>
      </c>
      <c r="K596" s="10">
        <v>60449.999999999993</v>
      </c>
      <c r="L596" s="10">
        <v>60449.999999999993</v>
      </c>
      <c r="M596" s="12" t="s">
        <v>261</v>
      </c>
    </row>
    <row r="597" spans="1:13" ht="16.8" x14ac:dyDescent="0.3">
      <c r="A597" s="7" t="s">
        <v>675</v>
      </c>
      <c r="B597" s="8">
        <v>45137</v>
      </c>
      <c r="C597" s="15" t="s">
        <v>272</v>
      </c>
      <c r="D597" s="10" t="s">
        <v>222</v>
      </c>
      <c r="E597">
        <v>5</v>
      </c>
      <c r="F597">
        <v>65000</v>
      </c>
      <c r="G597">
        <v>65000</v>
      </c>
      <c r="H597">
        <v>9</v>
      </c>
      <c r="I597">
        <v>65000</v>
      </c>
      <c r="J597" s="10" t="s">
        <v>279</v>
      </c>
      <c r="K597" s="10">
        <v>65000</v>
      </c>
      <c r="L597" s="10">
        <v>325000</v>
      </c>
      <c r="M597" s="12" t="s">
        <v>260</v>
      </c>
    </row>
    <row r="598" spans="1:13" ht="16.8" x14ac:dyDescent="0.3">
      <c r="A598" s="7" t="s">
        <v>676</v>
      </c>
      <c r="B598" s="8">
        <v>45005</v>
      </c>
      <c r="C598" s="15" t="s">
        <v>271</v>
      </c>
      <c r="D598" s="10" t="s">
        <v>223</v>
      </c>
      <c r="E598">
        <v>4</v>
      </c>
      <c r="F598">
        <v>29000</v>
      </c>
      <c r="G598">
        <v>65000</v>
      </c>
      <c r="H598">
        <v>5</v>
      </c>
      <c r="I598">
        <v>27550</v>
      </c>
      <c r="J598" s="10" t="s">
        <v>278</v>
      </c>
      <c r="K598" s="10">
        <v>27550</v>
      </c>
      <c r="L598" s="10">
        <v>110200</v>
      </c>
      <c r="M598" s="12" t="s">
        <v>252</v>
      </c>
    </row>
    <row r="599" spans="1:13" ht="16.8" x14ac:dyDescent="0.3">
      <c r="A599" s="7" t="s">
        <v>677</v>
      </c>
      <c r="B599" s="8">
        <v>44467</v>
      </c>
      <c r="C599" s="15" t="s">
        <v>272</v>
      </c>
      <c r="D599" s="10" t="s">
        <v>222</v>
      </c>
      <c r="E599">
        <v>2</v>
      </c>
      <c r="F599">
        <v>65000</v>
      </c>
      <c r="G599">
        <v>69000</v>
      </c>
      <c r="H599">
        <v>5</v>
      </c>
      <c r="I599">
        <v>69000</v>
      </c>
      <c r="J599" s="10" t="s">
        <v>279</v>
      </c>
      <c r="K599" s="10">
        <v>69000</v>
      </c>
      <c r="L599" s="10">
        <v>138000</v>
      </c>
      <c r="M599" s="12" t="s">
        <v>19</v>
      </c>
    </row>
    <row r="600" spans="1:13" ht="16.8" x14ac:dyDescent="0.3">
      <c r="A600" s="7" t="s">
        <v>678</v>
      </c>
      <c r="B600" s="8">
        <v>44268</v>
      </c>
      <c r="C600" s="15" t="s">
        <v>3</v>
      </c>
      <c r="D600" s="10" t="s">
        <v>224</v>
      </c>
      <c r="E600">
        <v>1</v>
      </c>
      <c r="F600">
        <v>69000</v>
      </c>
      <c r="G600">
        <v>59000</v>
      </c>
      <c r="H600">
        <v>5</v>
      </c>
      <c r="I600">
        <v>65550</v>
      </c>
      <c r="J600" s="10" t="s">
        <v>278</v>
      </c>
      <c r="K600" s="10">
        <v>65550</v>
      </c>
      <c r="L600" s="10">
        <v>65550</v>
      </c>
      <c r="M600" s="12" t="s">
        <v>262</v>
      </c>
    </row>
    <row r="601" spans="1:13" ht="16.8" x14ac:dyDescent="0.3">
      <c r="A601" s="7" t="s">
        <v>679</v>
      </c>
      <c r="B601" s="8">
        <v>44882</v>
      </c>
      <c r="C601" s="15" t="s">
        <v>273</v>
      </c>
      <c r="D601" s="10" t="s">
        <v>222</v>
      </c>
      <c r="E601">
        <v>2</v>
      </c>
      <c r="F601">
        <v>59000</v>
      </c>
      <c r="G601">
        <v>49000</v>
      </c>
      <c r="H601">
        <v>13</v>
      </c>
      <c r="I601">
        <v>49000</v>
      </c>
      <c r="J601" s="10" t="s">
        <v>279</v>
      </c>
      <c r="K601" s="10">
        <v>49000</v>
      </c>
      <c r="L601" s="10">
        <v>98000</v>
      </c>
      <c r="M601" s="12" t="s">
        <v>242</v>
      </c>
    </row>
    <row r="602" spans="1:13" ht="16.8" x14ac:dyDescent="0.3">
      <c r="A602" s="7" t="s">
        <v>680</v>
      </c>
      <c r="B602" s="8">
        <v>44441</v>
      </c>
      <c r="C602" s="15" t="s">
        <v>275</v>
      </c>
      <c r="D602" s="10" t="s">
        <v>222</v>
      </c>
      <c r="E602">
        <v>2</v>
      </c>
      <c r="F602">
        <v>65000</v>
      </c>
      <c r="G602">
        <v>59000</v>
      </c>
      <c r="H602">
        <v>15</v>
      </c>
      <c r="I602">
        <v>59000</v>
      </c>
      <c r="J602" s="10" t="s">
        <v>279</v>
      </c>
      <c r="K602" s="10">
        <v>59000</v>
      </c>
      <c r="L602" s="10">
        <v>118000</v>
      </c>
      <c r="M602" s="12" t="s">
        <v>261</v>
      </c>
    </row>
    <row r="603" spans="1:13" ht="16.8" x14ac:dyDescent="0.3">
      <c r="A603" s="7" t="s">
        <v>681</v>
      </c>
      <c r="B603" s="8">
        <v>45261</v>
      </c>
      <c r="C603" s="15" t="s">
        <v>273</v>
      </c>
      <c r="D603" s="10" t="s">
        <v>223</v>
      </c>
      <c r="E603">
        <v>2</v>
      </c>
      <c r="F603">
        <v>65000</v>
      </c>
      <c r="G603">
        <v>65000</v>
      </c>
      <c r="H603">
        <v>9</v>
      </c>
      <c r="I603">
        <v>65000</v>
      </c>
      <c r="J603" s="10" t="s">
        <v>279</v>
      </c>
      <c r="K603" s="10">
        <v>65000</v>
      </c>
      <c r="L603" s="10">
        <v>130000</v>
      </c>
      <c r="M603" s="12" t="s">
        <v>242</v>
      </c>
    </row>
    <row r="604" spans="1:13" ht="16.8" x14ac:dyDescent="0.3">
      <c r="A604" s="7" t="s">
        <v>682</v>
      </c>
      <c r="B604" s="8">
        <v>44402</v>
      </c>
      <c r="C604" s="15" t="s">
        <v>271</v>
      </c>
      <c r="D604" s="10" t="s">
        <v>223</v>
      </c>
      <c r="E604">
        <v>3</v>
      </c>
      <c r="F604">
        <v>49000</v>
      </c>
      <c r="G604">
        <v>65000</v>
      </c>
      <c r="H604">
        <v>9</v>
      </c>
      <c r="I604">
        <v>44590</v>
      </c>
      <c r="J604" s="10" t="s">
        <v>278</v>
      </c>
      <c r="K604" s="10">
        <v>44590</v>
      </c>
      <c r="L604" s="10">
        <v>133770</v>
      </c>
      <c r="M604" s="12" t="s">
        <v>12</v>
      </c>
    </row>
    <row r="605" spans="1:13" ht="16.8" x14ac:dyDescent="0.3">
      <c r="A605" s="7" t="s">
        <v>683</v>
      </c>
      <c r="B605" s="8">
        <v>44336</v>
      </c>
      <c r="C605" s="15" t="s">
        <v>273</v>
      </c>
      <c r="D605" s="10" t="s">
        <v>224</v>
      </c>
      <c r="E605">
        <v>4</v>
      </c>
      <c r="F605">
        <v>35000</v>
      </c>
      <c r="G605">
        <v>59000</v>
      </c>
      <c r="H605">
        <v>9</v>
      </c>
      <c r="I605">
        <v>31850</v>
      </c>
      <c r="J605" s="10" t="s">
        <v>278</v>
      </c>
      <c r="K605" s="10">
        <v>31850</v>
      </c>
      <c r="L605" s="10">
        <v>127400</v>
      </c>
      <c r="M605" s="12" t="s">
        <v>262</v>
      </c>
    </row>
    <row r="606" spans="1:13" ht="16.8" x14ac:dyDescent="0.3">
      <c r="A606" s="7" t="s">
        <v>684</v>
      </c>
      <c r="B606" s="8">
        <v>44974</v>
      </c>
      <c r="C606" s="15" t="s">
        <v>4</v>
      </c>
      <c r="D606" s="10" t="s">
        <v>223</v>
      </c>
      <c r="E606">
        <v>3</v>
      </c>
      <c r="F606">
        <v>65000</v>
      </c>
      <c r="G606">
        <v>59000</v>
      </c>
      <c r="H606">
        <v>12</v>
      </c>
      <c r="I606">
        <v>59000</v>
      </c>
      <c r="J606" s="10" t="s">
        <v>279</v>
      </c>
      <c r="K606" s="10">
        <v>59000</v>
      </c>
      <c r="L606" s="10">
        <v>177000</v>
      </c>
      <c r="M606" s="12" t="s">
        <v>225</v>
      </c>
    </row>
    <row r="607" spans="1:13" ht="16.8" x14ac:dyDescent="0.3">
      <c r="A607" s="7" t="s">
        <v>685</v>
      </c>
      <c r="B607" s="8">
        <v>45173</v>
      </c>
      <c r="C607" s="15" t="s">
        <v>4</v>
      </c>
      <c r="D607" s="10" t="s">
        <v>224</v>
      </c>
      <c r="E607">
        <v>4</v>
      </c>
      <c r="F607">
        <v>55000</v>
      </c>
      <c r="G607">
        <v>75000</v>
      </c>
      <c r="H607">
        <v>7</v>
      </c>
      <c r="I607">
        <v>51150</v>
      </c>
      <c r="J607" s="10" t="s">
        <v>278</v>
      </c>
      <c r="K607" s="10">
        <v>51150</v>
      </c>
      <c r="L607" s="10">
        <v>204600</v>
      </c>
      <c r="M607" s="12" t="s">
        <v>14</v>
      </c>
    </row>
    <row r="608" spans="1:13" ht="16.8" x14ac:dyDescent="0.3">
      <c r="A608" s="7" t="s">
        <v>686</v>
      </c>
      <c r="B608" s="8">
        <v>44429</v>
      </c>
      <c r="C608" s="15" t="s">
        <v>270</v>
      </c>
      <c r="D608" s="10" t="s">
        <v>224</v>
      </c>
      <c r="E608">
        <v>1</v>
      </c>
      <c r="F608">
        <v>49000</v>
      </c>
      <c r="G608">
        <v>49000</v>
      </c>
      <c r="H608">
        <v>11</v>
      </c>
      <c r="I608">
        <v>43610</v>
      </c>
      <c r="J608" s="10" t="s">
        <v>278</v>
      </c>
      <c r="K608" s="10">
        <v>43610</v>
      </c>
      <c r="L608" s="10">
        <v>43610</v>
      </c>
      <c r="M608" s="12" t="s">
        <v>10</v>
      </c>
    </row>
    <row r="609" spans="1:13" ht="16.8" x14ac:dyDescent="0.3">
      <c r="A609" s="7" t="s">
        <v>687</v>
      </c>
      <c r="B609" s="8">
        <v>44779</v>
      </c>
      <c r="C609" s="15" t="s">
        <v>275</v>
      </c>
      <c r="D609" s="10" t="s">
        <v>224</v>
      </c>
      <c r="E609">
        <v>2</v>
      </c>
      <c r="F609">
        <v>49000</v>
      </c>
      <c r="G609">
        <v>59000</v>
      </c>
      <c r="H609">
        <v>6</v>
      </c>
      <c r="I609">
        <v>59000</v>
      </c>
      <c r="J609" s="10" t="s">
        <v>279</v>
      </c>
      <c r="K609" s="10">
        <v>59000</v>
      </c>
      <c r="L609" s="10">
        <v>118000</v>
      </c>
      <c r="M609" s="12" t="s">
        <v>259</v>
      </c>
    </row>
    <row r="610" spans="1:13" ht="16.8" x14ac:dyDescent="0.3">
      <c r="A610" s="7" t="s">
        <v>688</v>
      </c>
      <c r="B610" s="8">
        <v>44434</v>
      </c>
      <c r="C610" s="15" t="s">
        <v>4</v>
      </c>
      <c r="D610" s="10" t="s">
        <v>224</v>
      </c>
      <c r="E610">
        <v>2</v>
      </c>
      <c r="F610">
        <v>49000</v>
      </c>
      <c r="G610">
        <v>35000</v>
      </c>
      <c r="H610">
        <v>14</v>
      </c>
      <c r="I610">
        <v>35000</v>
      </c>
      <c r="J610" s="10" t="s">
        <v>279</v>
      </c>
      <c r="K610" s="10">
        <v>35000</v>
      </c>
      <c r="L610" s="10">
        <v>70000</v>
      </c>
      <c r="M610" s="12" t="s">
        <v>232</v>
      </c>
    </row>
    <row r="611" spans="1:13" ht="16.8" x14ac:dyDescent="0.3">
      <c r="A611" s="7" t="s">
        <v>689</v>
      </c>
      <c r="B611" s="8">
        <v>45121</v>
      </c>
      <c r="C611" s="15" t="s">
        <v>274</v>
      </c>
      <c r="D611" s="10" t="s">
        <v>223</v>
      </c>
      <c r="E611">
        <v>3</v>
      </c>
      <c r="F611">
        <v>65000</v>
      </c>
      <c r="G611">
        <v>55000</v>
      </c>
      <c r="H611">
        <v>11</v>
      </c>
      <c r="I611">
        <v>55000</v>
      </c>
      <c r="J611" s="10" t="s">
        <v>279</v>
      </c>
      <c r="K611" s="10">
        <v>55000</v>
      </c>
      <c r="L611" s="10">
        <v>165000</v>
      </c>
      <c r="M611" s="12" t="s">
        <v>10</v>
      </c>
    </row>
    <row r="612" spans="1:13" ht="16.8" x14ac:dyDescent="0.3">
      <c r="A612" s="7" t="s">
        <v>690</v>
      </c>
      <c r="B612" s="8">
        <v>44986</v>
      </c>
      <c r="C612" s="15" t="s">
        <v>274</v>
      </c>
      <c r="D612" s="10" t="s">
        <v>223</v>
      </c>
      <c r="E612">
        <v>2</v>
      </c>
      <c r="F612">
        <v>45000</v>
      </c>
      <c r="G612">
        <v>49000</v>
      </c>
      <c r="H612">
        <v>10</v>
      </c>
      <c r="I612">
        <v>40500</v>
      </c>
      <c r="J612" s="10" t="s">
        <v>278</v>
      </c>
      <c r="K612" s="10">
        <v>40500</v>
      </c>
      <c r="L612" s="10">
        <v>81000</v>
      </c>
      <c r="M612" s="12" t="s">
        <v>262</v>
      </c>
    </row>
    <row r="613" spans="1:13" ht="16.8" x14ac:dyDescent="0.3">
      <c r="A613" s="7" t="s">
        <v>691</v>
      </c>
      <c r="B613" s="8">
        <v>44430</v>
      </c>
      <c r="C613" s="15" t="s">
        <v>275</v>
      </c>
      <c r="D613" s="10" t="s">
        <v>223</v>
      </c>
      <c r="E613">
        <v>3</v>
      </c>
      <c r="F613">
        <v>29000</v>
      </c>
      <c r="G613">
        <v>59000</v>
      </c>
      <c r="H613">
        <v>6</v>
      </c>
      <c r="I613">
        <v>27260</v>
      </c>
      <c r="J613" s="10" t="s">
        <v>278</v>
      </c>
      <c r="K613" s="10">
        <v>27260</v>
      </c>
      <c r="L613" s="10">
        <v>81780</v>
      </c>
      <c r="M613" s="12" t="s">
        <v>258</v>
      </c>
    </row>
    <row r="614" spans="1:13" ht="16.8" x14ac:dyDescent="0.3">
      <c r="A614" s="7" t="s">
        <v>692</v>
      </c>
      <c r="B614" s="8">
        <v>44849</v>
      </c>
      <c r="C614" s="15" t="s">
        <v>5</v>
      </c>
      <c r="D614" s="10" t="s">
        <v>223</v>
      </c>
      <c r="E614">
        <v>1</v>
      </c>
      <c r="F614">
        <v>59000</v>
      </c>
      <c r="G614">
        <v>35000</v>
      </c>
      <c r="H614">
        <v>13</v>
      </c>
      <c r="I614">
        <v>35000</v>
      </c>
      <c r="J614" s="10" t="s">
        <v>279</v>
      </c>
      <c r="K614" s="10">
        <v>35000</v>
      </c>
      <c r="L614" s="10">
        <v>35000</v>
      </c>
      <c r="M614" s="12" t="s">
        <v>240</v>
      </c>
    </row>
    <row r="615" spans="1:13" ht="16.8" x14ac:dyDescent="0.3">
      <c r="A615" s="7" t="s">
        <v>693</v>
      </c>
      <c r="B615" s="8">
        <v>44393</v>
      </c>
      <c r="C615" s="15" t="s">
        <v>3</v>
      </c>
      <c r="D615" s="10" t="s">
        <v>223</v>
      </c>
      <c r="E615">
        <v>1</v>
      </c>
      <c r="F615">
        <v>29000</v>
      </c>
      <c r="G615">
        <v>69000</v>
      </c>
      <c r="H615">
        <v>11</v>
      </c>
      <c r="I615">
        <v>69000</v>
      </c>
      <c r="J615" s="10" t="s">
        <v>279</v>
      </c>
      <c r="K615" s="10">
        <v>69000</v>
      </c>
      <c r="L615" s="10">
        <v>69000</v>
      </c>
      <c r="M615" s="12" t="s">
        <v>13</v>
      </c>
    </row>
    <row r="616" spans="1:13" ht="16.8" x14ac:dyDescent="0.3">
      <c r="A616" s="7" t="s">
        <v>694</v>
      </c>
      <c r="B616" s="8">
        <v>44716</v>
      </c>
      <c r="C616" s="15" t="s">
        <v>272</v>
      </c>
      <c r="D616" s="10" t="s">
        <v>223</v>
      </c>
      <c r="E616">
        <v>4</v>
      </c>
      <c r="F616">
        <v>49000</v>
      </c>
      <c r="G616">
        <v>65000</v>
      </c>
      <c r="H616">
        <v>8</v>
      </c>
      <c r="I616">
        <v>45080</v>
      </c>
      <c r="J616" s="10" t="s">
        <v>278</v>
      </c>
      <c r="K616" s="10">
        <v>45080</v>
      </c>
      <c r="L616" s="10">
        <v>180320</v>
      </c>
      <c r="M616" s="12" t="s">
        <v>234</v>
      </c>
    </row>
    <row r="617" spans="1:13" ht="16.8" x14ac:dyDescent="0.3">
      <c r="A617" s="7" t="s">
        <v>695</v>
      </c>
      <c r="B617" s="8">
        <v>44472</v>
      </c>
      <c r="C617" s="15" t="s">
        <v>272</v>
      </c>
      <c r="D617" s="10" t="s">
        <v>223</v>
      </c>
      <c r="E617">
        <v>1</v>
      </c>
      <c r="F617">
        <v>65000</v>
      </c>
      <c r="G617">
        <v>69000</v>
      </c>
      <c r="H617">
        <v>12</v>
      </c>
      <c r="I617">
        <v>57200</v>
      </c>
      <c r="J617" s="10" t="s">
        <v>278</v>
      </c>
      <c r="K617" s="10">
        <v>57200</v>
      </c>
      <c r="L617" s="10">
        <v>57200</v>
      </c>
      <c r="M617" s="12" t="s">
        <v>257</v>
      </c>
    </row>
    <row r="618" spans="1:13" ht="16.8" x14ac:dyDescent="0.3">
      <c r="A618" s="7" t="s">
        <v>696</v>
      </c>
      <c r="B618" s="8">
        <v>44919</v>
      </c>
      <c r="C618" s="15" t="s">
        <v>3</v>
      </c>
      <c r="D618" s="10" t="s">
        <v>222</v>
      </c>
      <c r="E618">
        <v>2</v>
      </c>
      <c r="F618">
        <v>29000</v>
      </c>
      <c r="G618">
        <v>59000</v>
      </c>
      <c r="H618">
        <v>8</v>
      </c>
      <c r="I618">
        <v>26680</v>
      </c>
      <c r="J618" s="10" t="s">
        <v>278</v>
      </c>
      <c r="K618" s="10">
        <v>26680</v>
      </c>
      <c r="L618" s="10">
        <v>53360</v>
      </c>
      <c r="M618" s="12" t="s">
        <v>262</v>
      </c>
    </row>
    <row r="619" spans="1:13" ht="16.8" x14ac:dyDescent="0.3">
      <c r="A619" s="7" t="s">
        <v>697</v>
      </c>
      <c r="B619" s="8">
        <v>44611</v>
      </c>
      <c r="C619" s="15" t="s">
        <v>272</v>
      </c>
      <c r="D619" s="10" t="s">
        <v>222</v>
      </c>
      <c r="E619">
        <v>1</v>
      </c>
      <c r="F619">
        <v>59000</v>
      </c>
      <c r="G619">
        <v>59000</v>
      </c>
      <c r="H619">
        <v>12</v>
      </c>
      <c r="I619">
        <v>51920</v>
      </c>
      <c r="J619" s="10" t="s">
        <v>278</v>
      </c>
      <c r="K619" s="10">
        <v>51920</v>
      </c>
      <c r="L619" s="10">
        <v>51920</v>
      </c>
      <c r="M619" s="12" t="s">
        <v>225</v>
      </c>
    </row>
    <row r="620" spans="1:13" ht="16.8" x14ac:dyDescent="0.3">
      <c r="A620" s="7" t="s">
        <v>698</v>
      </c>
      <c r="B620" s="8">
        <v>45024</v>
      </c>
      <c r="C620" s="15" t="s">
        <v>273</v>
      </c>
      <c r="D620" s="10" t="s">
        <v>223</v>
      </c>
      <c r="E620">
        <v>1</v>
      </c>
      <c r="F620">
        <v>55000</v>
      </c>
      <c r="G620">
        <v>49000</v>
      </c>
      <c r="H620">
        <v>13</v>
      </c>
      <c r="I620">
        <v>47850</v>
      </c>
      <c r="J620" s="10" t="s">
        <v>278</v>
      </c>
      <c r="K620" s="10">
        <v>47850</v>
      </c>
      <c r="L620" s="10">
        <v>47850</v>
      </c>
      <c r="M620" s="12" t="s">
        <v>239</v>
      </c>
    </row>
    <row r="621" spans="1:13" ht="16.8" x14ac:dyDescent="0.3">
      <c r="A621" s="7" t="s">
        <v>699</v>
      </c>
      <c r="B621" s="8">
        <v>44357</v>
      </c>
      <c r="C621" s="15" t="s">
        <v>275</v>
      </c>
      <c r="D621" s="10" t="s">
        <v>223</v>
      </c>
      <c r="E621">
        <v>5</v>
      </c>
      <c r="F621">
        <v>49000</v>
      </c>
      <c r="G621">
        <v>59000</v>
      </c>
      <c r="H621">
        <v>9</v>
      </c>
      <c r="I621">
        <v>44590</v>
      </c>
      <c r="J621" s="10" t="s">
        <v>278</v>
      </c>
      <c r="K621" s="10">
        <v>44590</v>
      </c>
      <c r="L621" s="10">
        <v>222950</v>
      </c>
      <c r="M621" s="12" t="s">
        <v>21</v>
      </c>
    </row>
    <row r="622" spans="1:13" ht="16.8" x14ac:dyDescent="0.3">
      <c r="A622" s="7" t="s">
        <v>700</v>
      </c>
      <c r="B622" s="8">
        <v>44721</v>
      </c>
      <c r="C622" s="15" t="s">
        <v>272</v>
      </c>
      <c r="D622" s="10" t="s">
        <v>224</v>
      </c>
      <c r="E622">
        <v>1</v>
      </c>
      <c r="F622">
        <v>55000</v>
      </c>
      <c r="G622">
        <v>69000</v>
      </c>
      <c r="H622">
        <v>14</v>
      </c>
      <c r="I622">
        <v>47300</v>
      </c>
      <c r="J622" s="10" t="s">
        <v>278</v>
      </c>
      <c r="K622" s="10">
        <v>47300</v>
      </c>
      <c r="L622" s="10">
        <v>47300</v>
      </c>
      <c r="M622" s="12" t="s">
        <v>243</v>
      </c>
    </row>
    <row r="623" spans="1:13" ht="16.8" x14ac:dyDescent="0.3">
      <c r="A623" s="7" t="s">
        <v>701</v>
      </c>
      <c r="B623" s="8">
        <v>44885</v>
      </c>
      <c r="C623" s="15" t="s">
        <v>273</v>
      </c>
      <c r="D623" s="10" t="s">
        <v>224</v>
      </c>
      <c r="E623">
        <v>3</v>
      </c>
      <c r="F623">
        <v>55000</v>
      </c>
      <c r="G623">
        <v>59000</v>
      </c>
      <c r="H623">
        <v>6</v>
      </c>
      <c r="I623">
        <v>59000</v>
      </c>
      <c r="J623" s="10" t="s">
        <v>279</v>
      </c>
      <c r="K623" s="10">
        <v>59000</v>
      </c>
      <c r="L623" s="10">
        <v>177000</v>
      </c>
      <c r="M623" s="12" t="s">
        <v>228</v>
      </c>
    </row>
    <row r="624" spans="1:13" ht="16.8" x14ac:dyDescent="0.3">
      <c r="A624" s="7" t="s">
        <v>702</v>
      </c>
      <c r="B624" s="8">
        <v>45035</v>
      </c>
      <c r="C624" s="15" t="s">
        <v>5</v>
      </c>
      <c r="D624" s="10" t="s">
        <v>224</v>
      </c>
      <c r="E624">
        <v>4</v>
      </c>
      <c r="F624">
        <v>49000</v>
      </c>
      <c r="G624">
        <v>39000</v>
      </c>
      <c r="H624">
        <v>14</v>
      </c>
      <c r="I624">
        <v>42140</v>
      </c>
      <c r="J624" s="10" t="s">
        <v>278</v>
      </c>
      <c r="K624" s="10">
        <v>42140</v>
      </c>
      <c r="L624" s="10">
        <v>168560</v>
      </c>
      <c r="M624" s="12" t="s">
        <v>237</v>
      </c>
    </row>
    <row r="625" spans="1:13" ht="16.8" x14ac:dyDescent="0.3">
      <c r="A625" s="7" t="s">
        <v>703</v>
      </c>
      <c r="B625" s="8">
        <v>44561</v>
      </c>
      <c r="C625" s="15" t="s">
        <v>274</v>
      </c>
      <c r="D625" s="10" t="s">
        <v>224</v>
      </c>
      <c r="E625">
        <v>3</v>
      </c>
      <c r="F625">
        <v>65000</v>
      </c>
      <c r="G625">
        <v>59000</v>
      </c>
      <c r="H625">
        <v>6</v>
      </c>
      <c r="I625">
        <v>61100</v>
      </c>
      <c r="J625" s="10" t="s">
        <v>278</v>
      </c>
      <c r="K625" s="10">
        <v>61100</v>
      </c>
      <c r="L625" s="10">
        <v>183300</v>
      </c>
      <c r="M625" s="12" t="s">
        <v>21</v>
      </c>
    </row>
    <row r="626" spans="1:13" ht="16.8" x14ac:dyDescent="0.3">
      <c r="A626" s="7" t="s">
        <v>704</v>
      </c>
      <c r="B626" s="8">
        <v>44321</v>
      </c>
      <c r="C626" s="15" t="s">
        <v>4</v>
      </c>
      <c r="D626" s="10" t="s">
        <v>224</v>
      </c>
      <c r="E626">
        <v>4</v>
      </c>
      <c r="F626">
        <v>65000</v>
      </c>
      <c r="G626">
        <v>39000</v>
      </c>
      <c r="H626">
        <v>15</v>
      </c>
      <c r="I626">
        <v>55250</v>
      </c>
      <c r="J626" s="10" t="s">
        <v>278</v>
      </c>
      <c r="K626" s="10">
        <v>55250</v>
      </c>
      <c r="L626" s="10">
        <v>221000</v>
      </c>
      <c r="M626" s="12" t="s">
        <v>259</v>
      </c>
    </row>
    <row r="627" spans="1:13" ht="16.8" x14ac:dyDescent="0.3">
      <c r="A627" s="7" t="s">
        <v>705</v>
      </c>
      <c r="B627" s="8">
        <v>44673</v>
      </c>
      <c r="C627" s="15" t="s">
        <v>4</v>
      </c>
      <c r="D627" s="10" t="s">
        <v>222</v>
      </c>
      <c r="E627">
        <v>2</v>
      </c>
      <c r="F627">
        <v>39000</v>
      </c>
      <c r="G627">
        <v>45000</v>
      </c>
      <c r="H627">
        <v>15</v>
      </c>
      <c r="I627">
        <v>45000</v>
      </c>
      <c r="J627" s="10" t="s">
        <v>279</v>
      </c>
      <c r="K627" s="10">
        <v>45000</v>
      </c>
      <c r="L627" s="10">
        <v>90000</v>
      </c>
      <c r="M627" s="12" t="s">
        <v>16</v>
      </c>
    </row>
    <row r="628" spans="1:13" ht="16.8" x14ac:dyDescent="0.3">
      <c r="A628" s="7" t="s">
        <v>706</v>
      </c>
      <c r="B628" s="8">
        <v>44488</v>
      </c>
      <c r="C628" s="15" t="s">
        <v>5</v>
      </c>
      <c r="D628" s="10" t="s">
        <v>222</v>
      </c>
      <c r="E628">
        <v>5</v>
      </c>
      <c r="F628">
        <v>65000</v>
      </c>
      <c r="G628">
        <v>35000</v>
      </c>
      <c r="H628">
        <v>11</v>
      </c>
      <c r="I628">
        <v>35000</v>
      </c>
      <c r="J628" s="10" t="s">
        <v>279</v>
      </c>
      <c r="K628" s="10">
        <v>35000</v>
      </c>
      <c r="L628" s="10">
        <v>175000</v>
      </c>
      <c r="M628" s="12" t="s">
        <v>243</v>
      </c>
    </row>
    <row r="629" spans="1:13" ht="16.8" x14ac:dyDescent="0.3">
      <c r="A629" s="7" t="s">
        <v>707</v>
      </c>
      <c r="B629" s="8">
        <v>45254</v>
      </c>
      <c r="C629" s="15" t="s">
        <v>275</v>
      </c>
      <c r="D629" s="10" t="s">
        <v>222</v>
      </c>
      <c r="E629">
        <v>2</v>
      </c>
      <c r="F629">
        <v>69000</v>
      </c>
      <c r="G629">
        <v>59000</v>
      </c>
      <c r="H629">
        <v>9</v>
      </c>
      <c r="I629">
        <v>59000</v>
      </c>
      <c r="J629" s="10" t="s">
        <v>279</v>
      </c>
      <c r="K629" s="10">
        <v>59000</v>
      </c>
      <c r="L629" s="10">
        <v>118000</v>
      </c>
      <c r="M629" s="12" t="s">
        <v>236</v>
      </c>
    </row>
    <row r="630" spans="1:13" ht="16.8" x14ac:dyDescent="0.3">
      <c r="A630" s="7" t="s">
        <v>708</v>
      </c>
      <c r="B630" s="8">
        <v>44994</v>
      </c>
      <c r="C630" s="15" t="s">
        <v>5</v>
      </c>
      <c r="D630" s="10" t="s">
        <v>222</v>
      </c>
      <c r="E630">
        <v>2</v>
      </c>
      <c r="F630">
        <v>49000</v>
      </c>
      <c r="G630">
        <v>39000</v>
      </c>
      <c r="H630">
        <v>9</v>
      </c>
      <c r="I630">
        <v>39000</v>
      </c>
      <c r="J630" s="10" t="s">
        <v>279</v>
      </c>
      <c r="K630" s="10">
        <v>39000</v>
      </c>
      <c r="L630" s="10">
        <v>78000</v>
      </c>
      <c r="M630" s="12" t="s">
        <v>228</v>
      </c>
    </row>
    <row r="631" spans="1:13" ht="16.8" x14ac:dyDescent="0.3">
      <c r="A631" s="7" t="s">
        <v>709</v>
      </c>
      <c r="B631" s="8">
        <v>45075</v>
      </c>
      <c r="C631" s="15" t="s">
        <v>6</v>
      </c>
      <c r="D631" s="10" t="s">
        <v>223</v>
      </c>
      <c r="E631">
        <v>4</v>
      </c>
      <c r="F631">
        <v>29000</v>
      </c>
      <c r="G631">
        <v>49000</v>
      </c>
      <c r="H631">
        <v>9</v>
      </c>
      <c r="I631">
        <v>49000</v>
      </c>
      <c r="J631" s="10" t="s">
        <v>279</v>
      </c>
      <c r="K631" s="10">
        <v>49000</v>
      </c>
      <c r="L631" s="10">
        <v>196000</v>
      </c>
      <c r="M631" s="12" t="s">
        <v>246</v>
      </c>
    </row>
    <row r="632" spans="1:13" ht="16.8" x14ac:dyDescent="0.3">
      <c r="A632" s="7" t="s">
        <v>710</v>
      </c>
      <c r="B632" s="8">
        <v>44926</v>
      </c>
      <c r="C632" s="15" t="s">
        <v>275</v>
      </c>
      <c r="D632" s="10" t="s">
        <v>224</v>
      </c>
      <c r="E632">
        <v>3</v>
      </c>
      <c r="F632">
        <v>65000</v>
      </c>
      <c r="G632">
        <v>45000</v>
      </c>
      <c r="H632">
        <v>6</v>
      </c>
      <c r="I632">
        <v>45000</v>
      </c>
      <c r="J632" s="10" t="s">
        <v>279</v>
      </c>
      <c r="K632" s="10">
        <v>45000</v>
      </c>
      <c r="L632" s="10">
        <v>135000</v>
      </c>
      <c r="M632" s="12" t="s">
        <v>11</v>
      </c>
    </row>
    <row r="633" spans="1:13" ht="16.8" x14ac:dyDescent="0.3">
      <c r="A633" s="7" t="s">
        <v>711</v>
      </c>
      <c r="B633" s="8">
        <v>44829</v>
      </c>
      <c r="C633" s="15" t="s">
        <v>275</v>
      </c>
      <c r="D633" s="10" t="s">
        <v>224</v>
      </c>
      <c r="E633">
        <v>2</v>
      </c>
      <c r="F633">
        <v>59000</v>
      </c>
      <c r="G633">
        <v>65000</v>
      </c>
      <c r="H633">
        <v>5</v>
      </c>
      <c r="I633">
        <v>65000</v>
      </c>
      <c r="J633" s="10" t="s">
        <v>279</v>
      </c>
      <c r="K633" s="10">
        <v>65000</v>
      </c>
      <c r="L633" s="10">
        <v>130000</v>
      </c>
      <c r="M633" s="12" t="s">
        <v>254</v>
      </c>
    </row>
    <row r="634" spans="1:13" ht="16.8" x14ac:dyDescent="0.3">
      <c r="A634" s="7" t="s">
        <v>712</v>
      </c>
      <c r="B634" s="8">
        <v>44219</v>
      </c>
      <c r="C634" s="15" t="s">
        <v>273</v>
      </c>
      <c r="D634" s="10" t="s">
        <v>223</v>
      </c>
      <c r="E634">
        <v>1</v>
      </c>
      <c r="F634">
        <v>65000</v>
      </c>
      <c r="G634">
        <v>59000</v>
      </c>
      <c r="H634">
        <v>10</v>
      </c>
      <c r="I634">
        <v>59000</v>
      </c>
      <c r="J634" s="10" t="s">
        <v>279</v>
      </c>
      <c r="K634" s="10">
        <v>59000</v>
      </c>
      <c r="L634" s="10">
        <v>59000</v>
      </c>
      <c r="M634" s="12" t="s">
        <v>235</v>
      </c>
    </row>
    <row r="635" spans="1:13" ht="16.8" x14ac:dyDescent="0.3">
      <c r="A635" s="7" t="s">
        <v>713</v>
      </c>
      <c r="B635" s="8">
        <v>45087</v>
      </c>
      <c r="C635" s="15" t="s">
        <v>272</v>
      </c>
      <c r="D635" s="10" t="s">
        <v>222</v>
      </c>
      <c r="E635">
        <v>2</v>
      </c>
      <c r="F635">
        <v>49000</v>
      </c>
      <c r="G635">
        <v>69000</v>
      </c>
      <c r="H635">
        <v>15</v>
      </c>
      <c r="I635">
        <v>69000</v>
      </c>
      <c r="J635" s="10" t="s">
        <v>279</v>
      </c>
      <c r="K635" s="10">
        <v>69000</v>
      </c>
      <c r="L635" s="10">
        <v>138000</v>
      </c>
      <c r="M635" s="12" t="s">
        <v>230</v>
      </c>
    </row>
    <row r="636" spans="1:13" ht="16.8" x14ac:dyDescent="0.3">
      <c r="A636" s="7" t="s">
        <v>714</v>
      </c>
      <c r="B636" s="8">
        <v>45270</v>
      </c>
      <c r="C636" s="15" t="s">
        <v>6</v>
      </c>
      <c r="D636" s="10" t="s">
        <v>223</v>
      </c>
      <c r="E636">
        <v>1</v>
      </c>
      <c r="F636">
        <v>59000</v>
      </c>
      <c r="G636">
        <v>65000</v>
      </c>
      <c r="H636">
        <v>11</v>
      </c>
      <c r="I636">
        <v>65000</v>
      </c>
      <c r="J636" s="10" t="s">
        <v>279</v>
      </c>
      <c r="K636" s="10">
        <v>65000</v>
      </c>
      <c r="L636" s="10">
        <v>65000</v>
      </c>
      <c r="M636" s="12" t="s">
        <v>15</v>
      </c>
    </row>
    <row r="637" spans="1:13" ht="16.8" x14ac:dyDescent="0.3">
      <c r="A637" s="7" t="s">
        <v>715</v>
      </c>
      <c r="B637" s="8">
        <v>44716</v>
      </c>
      <c r="C637" s="15" t="s">
        <v>271</v>
      </c>
      <c r="D637" s="10" t="s">
        <v>222</v>
      </c>
      <c r="E637">
        <v>4</v>
      </c>
      <c r="F637">
        <v>49000</v>
      </c>
      <c r="G637">
        <v>39000</v>
      </c>
      <c r="H637">
        <v>7</v>
      </c>
      <c r="I637">
        <v>45570</v>
      </c>
      <c r="J637" s="10" t="s">
        <v>278</v>
      </c>
      <c r="K637" s="10">
        <v>45570</v>
      </c>
      <c r="L637" s="10">
        <v>182280</v>
      </c>
      <c r="M637" s="12" t="s">
        <v>257</v>
      </c>
    </row>
    <row r="638" spans="1:13" ht="16.8" x14ac:dyDescent="0.3">
      <c r="A638" s="7" t="s">
        <v>716</v>
      </c>
      <c r="B638" s="8">
        <v>44540</v>
      </c>
      <c r="C638" s="15" t="s">
        <v>273</v>
      </c>
      <c r="D638" s="10" t="s">
        <v>222</v>
      </c>
      <c r="E638">
        <v>5</v>
      </c>
      <c r="F638">
        <v>65000</v>
      </c>
      <c r="G638">
        <v>29000</v>
      </c>
      <c r="H638">
        <v>10</v>
      </c>
      <c r="I638">
        <v>58500</v>
      </c>
      <c r="J638" s="10" t="s">
        <v>278</v>
      </c>
      <c r="K638" s="10">
        <v>58500</v>
      </c>
      <c r="L638" s="10">
        <v>292500</v>
      </c>
      <c r="M638" s="12" t="s">
        <v>242</v>
      </c>
    </row>
    <row r="639" spans="1:13" ht="16.8" x14ac:dyDescent="0.3">
      <c r="A639" s="7" t="s">
        <v>717</v>
      </c>
      <c r="B639" s="8">
        <v>44710</v>
      </c>
      <c r="C639" s="15" t="s">
        <v>5</v>
      </c>
      <c r="D639" s="10" t="s">
        <v>224</v>
      </c>
      <c r="E639">
        <v>5</v>
      </c>
      <c r="F639">
        <v>75000</v>
      </c>
      <c r="G639">
        <v>65000</v>
      </c>
      <c r="H639">
        <v>6</v>
      </c>
      <c r="I639">
        <v>65000</v>
      </c>
      <c r="J639" s="10" t="s">
        <v>279</v>
      </c>
      <c r="K639" s="10">
        <v>65000</v>
      </c>
      <c r="L639" s="10">
        <v>325000</v>
      </c>
      <c r="M639" s="12" t="s">
        <v>225</v>
      </c>
    </row>
    <row r="640" spans="1:13" ht="16.8" x14ac:dyDescent="0.3">
      <c r="A640" s="7" t="s">
        <v>718</v>
      </c>
      <c r="B640" s="8">
        <v>44763</v>
      </c>
      <c r="C640" s="15" t="s">
        <v>274</v>
      </c>
      <c r="D640" s="10" t="s">
        <v>224</v>
      </c>
      <c r="E640">
        <v>4</v>
      </c>
      <c r="F640">
        <v>59000</v>
      </c>
      <c r="G640">
        <v>49000</v>
      </c>
      <c r="H640">
        <v>11</v>
      </c>
      <c r="I640">
        <v>49000</v>
      </c>
      <c r="J640" s="10" t="s">
        <v>279</v>
      </c>
      <c r="K640" s="10">
        <v>49000</v>
      </c>
      <c r="L640" s="10">
        <v>196000</v>
      </c>
      <c r="M640" s="12" t="s">
        <v>262</v>
      </c>
    </row>
    <row r="641" spans="1:13" ht="16.8" x14ac:dyDescent="0.3">
      <c r="A641" s="7" t="s">
        <v>719</v>
      </c>
      <c r="B641" s="8">
        <v>44825</v>
      </c>
      <c r="C641" s="15" t="s">
        <v>273</v>
      </c>
      <c r="D641" s="10" t="s">
        <v>222</v>
      </c>
      <c r="E641">
        <v>3</v>
      </c>
      <c r="F641">
        <v>75000</v>
      </c>
      <c r="G641">
        <v>65000</v>
      </c>
      <c r="H641">
        <v>9</v>
      </c>
      <c r="I641">
        <v>68250</v>
      </c>
      <c r="J641" s="10" t="s">
        <v>278</v>
      </c>
      <c r="K641" s="10">
        <v>68250</v>
      </c>
      <c r="L641" s="10">
        <v>204750</v>
      </c>
      <c r="M641" s="12" t="s">
        <v>256</v>
      </c>
    </row>
    <row r="642" spans="1:13" ht="16.8" x14ac:dyDescent="0.3">
      <c r="A642" s="7" t="s">
        <v>720</v>
      </c>
      <c r="B642" s="8">
        <v>44239</v>
      </c>
      <c r="C642" s="15" t="s">
        <v>6</v>
      </c>
      <c r="D642" s="10" t="s">
        <v>223</v>
      </c>
      <c r="E642">
        <v>1</v>
      </c>
      <c r="F642">
        <v>29000</v>
      </c>
      <c r="G642">
        <v>49000</v>
      </c>
      <c r="H642">
        <v>8</v>
      </c>
      <c r="I642">
        <v>49000</v>
      </c>
      <c r="J642" s="10" t="s">
        <v>279</v>
      </c>
      <c r="K642" s="10">
        <v>49000</v>
      </c>
      <c r="L642" s="10">
        <v>49000</v>
      </c>
      <c r="M642" s="12" t="s">
        <v>21</v>
      </c>
    </row>
    <row r="643" spans="1:13" ht="16.8" x14ac:dyDescent="0.3">
      <c r="A643" s="7" t="s">
        <v>721</v>
      </c>
      <c r="B643" s="8">
        <v>44397</v>
      </c>
      <c r="C643" s="15" t="s">
        <v>274</v>
      </c>
      <c r="D643" s="10" t="s">
        <v>222</v>
      </c>
      <c r="E643">
        <v>1</v>
      </c>
      <c r="F643">
        <v>55000</v>
      </c>
      <c r="G643">
        <v>49000</v>
      </c>
      <c r="H643">
        <v>14</v>
      </c>
      <c r="I643">
        <v>47300</v>
      </c>
      <c r="J643" s="10" t="s">
        <v>278</v>
      </c>
      <c r="K643" s="10">
        <v>47300</v>
      </c>
      <c r="L643" s="10">
        <v>47300</v>
      </c>
      <c r="M643" s="12" t="s">
        <v>12</v>
      </c>
    </row>
    <row r="644" spans="1:13" ht="16.8" x14ac:dyDescent="0.3">
      <c r="A644" s="7" t="s">
        <v>722</v>
      </c>
      <c r="B644" s="8">
        <v>44428</v>
      </c>
      <c r="C644" s="15" t="s">
        <v>6</v>
      </c>
      <c r="D644" s="10" t="s">
        <v>223</v>
      </c>
      <c r="E644">
        <v>3</v>
      </c>
      <c r="F644">
        <v>35000</v>
      </c>
      <c r="G644">
        <v>49000</v>
      </c>
      <c r="H644">
        <v>13</v>
      </c>
      <c r="I644">
        <v>30450</v>
      </c>
      <c r="J644" s="10" t="s">
        <v>278</v>
      </c>
      <c r="K644" s="10">
        <v>30450</v>
      </c>
      <c r="L644" s="10">
        <v>91350</v>
      </c>
      <c r="M644" s="12" t="s">
        <v>254</v>
      </c>
    </row>
    <row r="645" spans="1:13" ht="16.8" x14ac:dyDescent="0.3">
      <c r="A645" s="7" t="s">
        <v>723</v>
      </c>
      <c r="B645" s="8">
        <v>44293</v>
      </c>
      <c r="C645" s="15" t="s">
        <v>4</v>
      </c>
      <c r="D645" s="10" t="s">
        <v>223</v>
      </c>
      <c r="E645">
        <v>2</v>
      </c>
      <c r="F645">
        <v>55000</v>
      </c>
      <c r="G645">
        <v>39000</v>
      </c>
      <c r="H645">
        <v>5</v>
      </c>
      <c r="I645">
        <v>39000</v>
      </c>
      <c r="J645" s="10" t="s">
        <v>279</v>
      </c>
      <c r="K645" s="10">
        <v>39000</v>
      </c>
      <c r="L645" s="10">
        <v>78000</v>
      </c>
      <c r="M645" s="12" t="s">
        <v>244</v>
      </c>
    </row>
    <row r="646" spans="1:13" ht="16.8" x14ac:dyDescent="0.3">
      <c r="A646" s="7" t="s">
        <v>724</v>
      </c>
      <c r="B646" s="8">
        <v>45074</v>
      </c>
      <c r="C646" s="15" t="s">
        <v>271</v>
      </c>
      <c r="D646" s="10" t="s">
        <v>224</v>
      </c>
      <c r="E646">
        <v>3</v>
      </c>
      <c r="F646">
        <v>65000</v>
      </c>
      <c r="G646">
        <v>35000</v>
      </c>
      <c r="H646">
        <v>7</v>
      </c>
      <c r="I646">
        <v>35000</v>
      </c>
      <c r="J646" s="10" t="s">
        <v>279</v>
      </c>
      <c r="K646" s="10">
        <v>35000</v>
      </c>
      <c r="L646" s="10">
        <v>105000</v>
      </c>
      <c r="M646" s="12" t="s">
        <v>251</v>
      </c>
    </row>
    <row r="647" spans="1:13" ht="16.8" x14ac:dyDescent="0.3">
      <c r="A647" s="7" t="s">
        <v>725</v>
      </c>
      <c r="B647" s="8">
        <v>44604</v>
      </c>
      <c r="C647" s="15" t="s">
        <v>272</v>
      </c>
      <c r="D647" s="10" t="s">
        <v>222</v>
      </c>
      <c r="E647">
        <v>3</v>
      </c>
      <c r="F647">
        <v>49000</v>
      </c>
      <c r="G647">
        <v>59000</v>
      </c>
      <c r="H647">
        <v>12</v>
      </c>
      <c r="I647">
        <v>59000</v>
      </c>
      <c r="J647" s="10" t="s">
        <v>279</v>
      </c>
      <c r="K647" s="10">
        <v>59000</v>
      </c>
      <c r="L647" s="10">
        <v>177000</v>
      </c>
      <c r="M647" s="12" t="s">
        <v>238</v>
      </c>
    </row>
    <row r="648" spans="1:13" ht="16.8" x14ac:dyDescent="0.3">
      <c r="A648" s="7" t="s">
        <v>726</v>
      </c>
      <c r="B648" s="8">
        <v>44957</v>
      </c>
      <c r="C648" s="15" t="s">
        <v>271</v>
      </c>
      <c r="D648" s="10" t="s">
        <v>222</v>
      </c>
      <c r="E648">
        <v>2</v>
      </c>
      <c r="F648">
        <v>49000</v>
      </c>
      <c r="G648">
        <v>59000</v>
      </c>
      <c r="H648">
        <v>15</v>
      </c>
      <c r="I648">
        <v>59000</v>
      </c>
      <c r="J648" s="10" t="s">
        <v>279</v>
      </c>
      <c r="K648" s="10">
        <v>59000</v>
      </c>
      <c r="L648" s="10">
        <v>118000</v>
      </c>
      <c r="M648" s="12" t="s">
        <v>254</v>
      </c>
    </row>
    <row r="649" spans="1:13" ht="16.8" x14ac:dyDescent="0.3">
      <c r="A649" s="7" t="s">
        <v>727</v>
      </c>
      <c r="B649" s="8">
        <v>44821</v>
      </c>
      <c r="C649" s="15" t="s">
        <v>273</v>
      </c>
      <c r="D649" s="10" t="s">
        <v>223</v>
      </c>
      <c r="E649">
        <v>3</v>
      </c>
      <c r="F649">
        <v>59000</v>
      </c>
      <c r="G649">
        <v>55000</v>
      </c>
      <c r="H649">
        <v>8</v>
      </c>
      <c r="I649">
        <v>55000</v>
      </c>
      <c r="J649" s="10" t="s">
        <v>279</v>
      </c>
      <c r="K649" s="10">
        <v>55000</v>
      </c>
      <c r="L649" s="10">
        <v>165000</v>
      </c>
      <c r="M649" s="12" t="s">
        <v>14</v>
      </c>
    </row>
    <row r="650" spans="1:13" ht="16.8" x14ac:dyDescent="0.3">
      <c r="A650" s="7" t="s">
        <v>728</v>
      </c>
      <c r="B650" s="8">
        <v>44689</v>
      </c>
      <c r="C650" s="15" t="s">
        <v>270</v>
      </c>
      <c r="D650" s="10" t="s">
        <v>222</v>
      </c>
      <c r="E650">
        <v>4</v>
      </c>
      <c r="F650">
        <v>59000</v>
      </c>
      <c r="G650">
        <v>49000</v>
      </c>
      <c r="H650">
        <v>11</v>
      </c>
      <c r="I650">
        <v>49000</v>
      </c>
      <c r="J650" s="10" t="s">
        <v>279</v>
      </c>
      <c r="K650" s="10">
        <v>49000</v>
      </c>
      <c r="L650" s="10">
        <v>196000</v>
      </c>
      <c r="M650" s="12" t="s">
        <v>242</v>
      </c>
    </row>
    <row r="651" spans="1:13" ht="16.8" x14ac:dyDescent="0.3">
      <c r="A651" s="7" t="s">
        <v>729</v>
      </c>
      <c r="B651" s="8">
        <v>44929</v>
      </c>
      <c r="C651" s="15" t="s">
        <v>4</v>
      </c>
      <c r="D651" s="10" t="s">
        <v>224</v>
      </c>
      <c r="E651">
        <v>4</v>
      </c>
      <c r="F651">
        <v>49000</v>
      </c>
      <c r="G651">
        <v>55000</v>
      </c>
      <c r="H651">
        <v>9</v>
      </c>
      <c r="I651">
        <v>44590</v>
      </c>
      <c r="J651" s="10" t="s">
        <v>278</v>
      </c>
      <c r="K651" s="10">
        <v>44590</v>
      </c>
      <c r="L651" s="10">
        <v>178360</v>
      </c>
      <c r="M651" s="12" t="s">
        <v>246</v>
      </c>
    </row>
    <row r="652" spans="1:13" ht="16.8" x14ac:dyDescent="0.3">
      <c r="A652" s="7" t="s">
        <v>730</v>
      </c>
      <c r="B652" s="8">
        <v>44273</v>
      </c>
      <c r="C652" s="15" t="s">
        <v>4</v>
      </c>
      <c r="D652" s="10" t="s">
        <v>222</v>
      </c>
      <c r="E652">
        <v>4</v>
      </c>
      <c r="F652">
        <v>45000</v>
      </c>
      <c r="G652">
        <v>39000</v>
      </c>
      <c r="H652">
        <v>13</v>
      </c>
      <c r="I652">
        <v>39000</v>
      </c>
      <c r="J652" s="10" t="s">
        <v>279</v>
      </c>
      <c r="K652" s="10">
        <v>39000</v>
      </c>
      <c r="L652" s="10">
        <v>156000</v>
      </c>
      <c r="M652" s="12" t="s">
        <v>14</v>
      </c>
    </row>
    <row r="653" spans="1:13" ht="16.8" x14ac:dyDescent="0.3">
      <c r="A653" s="7" t="s">
        <v>731</v>
      </c>
      <c r="B653" s="8">
        <v>44317</v>
      </c>
      <c r="C653" s="15" t="s">
        <v>271</v>
      </c>
      <c r="D653" s="10" t="s">
        <v>223</v>
      </c>
      <c r="E653">
        <v>5</v>
      </c>
      <c r="F653">
        <v>59000</v>
      </c>
      <c r="G653">
        <v>29000</v>
      </c>
      <c r="H653">
        <v>5</v>
      </c>
      <c r="I653">
        <v>56050</v>
      </c>
      <c r="J653" s="10" t="s">
        <v>278</v>
      </c>
      <c r="K653" s="10">
        <v>56050</v>
      </c>
      <c r="L653" s="10">
        <v>280250</v>
      </c>
      <c r="M653" s="12" t="s">
        <v>252</v>
      </c>
    </row>
    <row r="654" spans="1:13" ht="16.8" x14ac:dyDescent="0.3">
      <c r="A654" s="7" t="s">
        <v>732</v>
      </c>
      <c r="B654" s="8">
        <v>44600</v>
      </c>
      <c r="C654" s="15" t="s">
        <v>6</v>
      </c>
      <c r="D654" s="10" t="s">
        <v>224</v>
      </c>
      <c r="E654">
        <v>4</v>
      </c>
      <c r="F654">
        <v>65000</v>
      </c>
      <c r="G654">
        <v>65000</v>
      </c>
      <c r="H654">
        <v>12</v>
      </c>
      <c r="I654">
        <v>65000</v>
      </c>
      <c r="J654" s="10" t="s">
        <v>279</v>
      </c>
      <c r="K654" s="10">
        <v>65000</v>
      </c>
      <c r="L654" s="10">
        <v>260000</v>
      </c>
      <c r="M654" s="12" t="s">
        <v>18</v>
      </c>
    </row>
    <row r="655" spans="1:13" ht="16.8" x14ac:dyDescent="0.3">
      <c r="A655" s="7" t="s">
        <v>733</v>
      </c>
      <c r="B655" s="8">
        <v>44219</v>
      </c>
      <c r="C655" s="15" t="s">
        <v>274</v>
      </c>
      <c r="D655" s="10" t="s">
        <v>223</v>
      </c>
      <c r="E655">
        <v>2</v>
      </c>
      <c r="F655">
        <v>39000</v>
      </c>
      <c r="G655">
        <v>59000</v>
      </c>
      <c r="H655">
        <v>6</v>
      </c>
      <c r="I655">
        <v>36660</v>
      </c>
      <c r="J655" s="10" t="s">
        <v>278</v>
      </c>
      <c r="K655" s="10">
        <v>36660</v>
      </c>
      <c r="L655" s="10">
        <v>73320</v>
      </c>
      <c r="M655" s="12" t="s">
        <v>250</v>
      </c>
    </row>
    <row r="656" spans="1:13" ht="16.8" x14ac:dyDescent="0.3">
      <c r="A656" s="7" t="s">
        <v>734</v>
      </c>
      <c r="B656" s="8">
        <v>44529</v>
      </c>
      <c r="C656" s="15" t="s">
        <v>272</v>
      </c>
      <c r="D656" s="10" t="s">
        <v>223</v>
      </c>
      <c r="E656">
        <v>5</v>
      </c>
      <c r="F656">
        <v>65000</v>
      </c>
      <c r="G656">
        <v>49000</v>
      </c>
      <c r="H656">
        <v>11</v>
      </c>
      <c r="I656">
        <v>57850</v>
      </c>
      <c r="J656" s="10" t="s">
        <v>278</v>
      </c>
      <c r="K656" s="10">
        <v>57850</v>
      </c>
      <c r="L656" s="10">
        <v>289250</v>
      </c>
      <c r="M656" s="12" t="s">
        <v>231</v>
      </c>
    </row>
    <row r="657" spans="1:13" ht="16.8" x14ac:dyDescent="0.3">
      <c r="A657" s="7" t="s">
        <v>735</v>
      </c>
      <c r="B657" s="8">
        <v>44551</v>
      </c>
      <c r="C657" s="15" t="s">
        <v>274</v>
      </c>
      <c r="D657" s="10" t="s">
        <v>223</v>
      </c>
      <c r="E657">
        <v>2</v>
      </c>
      <c r="F657">
        <v>29000</v>
      </c>
      <c r="G657">
        <v>59000</v>
      </c>
      <c r="H657">
        <v>9</v>
      </c>
      <c r="I657">
        <v>59000</v>
      </c>
      <c r="J657" s="10" t="s">
        <v>279</v>
      </c>
      <c r="K657" s="10">
        <v>59000</v>
      </c>
      <c r="L657" s="10">
        <v>118000</v>
      </c>
      <c r="M657" s="12" t="s">
        <v>248</v>
      </c>
    </row>
    <row r="658" spans="1:13" ht="16.8" x14ac:dyDescent="0.3">
      <c r="A658" s="7" t="s">
        <v>736</v>
      </c>
      <c r="B658" s="8">
        <v>44709</v>
      </c>
      <c r="C658" s="15" t="s">
        <v>274</v>
      </c>
      <c r="D658" s="10" t="s">
        <v>224</v>
      </c>
      <c r="E658">
        <v>4</v>
      </c>
      <c r="F658">
        <v>49000</v>
      </c>
      <c r="G658">
        <v>55000</v>
      </c>
      <c r="H658">
        <v>12</v>
      </c>
      <c r="I658">
        <v>55000</v>
      </c>
      <c r="J658" s="10" t="s">
        <v>279</v>
      </c>
      <c r="K658" s="10">
        <v>55000</v>
      </c>
      <c r="L658" s="10">
        <v>220000</v>
      </c>
      <c r="M658" s="12" t="s">
        <v>244</v>
      </c>
    </row>
    <row r="659" spans="1:13" ht="16.8" x14ac:dyDescent="0.3">
      <c r="A659" s="7" t="s">
        <v>737</v>
      </c>
      <c r="B659" s="8">
        <v>45118</v>
      </c>
      <c r="C659" s="15" t="s">
        <v>6</v>
      </c>
      <c r="D659" s="10" t="s">
        <v>222</v>
      </c>
      <c r="E659">
        <v>2</v>
      </c>
      <c r="F659">
        <v>29000</v>
      </c>
      <c r="G659">
        <v>65000</v>
      </c>
      <c r="H659">
        <v>6</v>
      </c>
      <c r="I659">
        <v>27260</v>
      </c>
      <c r="J659" s="10" t="s">
        <v>278</v>
      </c>
      <c r="K659" s="10">
        <v>27260</v>
      </c>
      <c r="L659" s="10">
        <v>54520</v>
      </c>
      <c r="M659" s="12" t="s">
        <v>237</v>
      </c>
    </row>
    <row r="660" spans="1:13" ht="16.8" x14ac:dyDescent="0.3">
      <c r="A660" s="7" t="s">
        <v>738</v>
      </c>
      <c r="B660" s="8">
        <v>44522</v>
      </c>
      <c r="C660" s="15" t="s">
        <v>3</v>
      </c>
      <c r="D660" s="10" t="s">
        <v>222</v>
      </c>
      <c r="E660">
        <v>5</v>
      </c>
      <c r="F660">
        <v>65000</v>
      </c>
      <c r="G660">
        <v>65000</v>
      </c>
      <c r="H660">
        <v>13</v>
      </c>
      <c r="I660">
        <v>56550</v>
      </c>
      <c r="J660" s="10" t="s">
        <v>278</v>
      </c>
      <c r="K660" s="10">
        <v>56550</v>
      </c>
      <c r="L660" s="10">
        <v>282750</v>
      </c>
      <c r="M660" s="12" t="s">
        <v>18</v>
      </c>
    </row>
    <row r="661" spans="1:13" ht="16.8" x14ac:dyDescent="0.3">
      <c r="A661" s="7" t="s">
        <v>739</v>
      </c>
      <c r="B661" s="8">
        <v>44750</v>
      </c>
      <c r="C661" s="15" t="s">
        <v>275</v>
      </c>
      <c r="D661" s="10" t="s">
        <v>224</v>
      </c>
      <c r="E661">
        <v>4</v>
      </c>
      <c r="F661">
        <v>35000</v>
      </c>
      <c r="G661">
        <v>59000</v>
      </c>
      <c r="H661">
        <v>11</v>
      </c>
      <c r="I661">
        <v>59000</v>
      </c>
      <c r="J661" s="10" t="s">
        <v>279</v>
      </c>
      <c r="K661" s="10">
        <v>59000</v>
      </c>
      <c r="L661" s="10">
        <v>236000</v>
      </c>
      <c r="M661" s="12" t="s">
        <v>258</v>
      </c>
    </row>
    <row r="662" spans="1:13" ht="16.8" x14ac:dyDescent="0.3">
      <c r="A662" s="7" t="s">
        <v>740</v>
      </c>
      <c r="B662" s="8">
        <v>45047</v>
      </c>
      <c r="C662" s="15" t="s">
        <v>274</v>
      </c>
      <c r="D662" s="10" t="s">
        <v>223</v>
      </c>
      <c r="E662">
        <v>1</v>
      </c>
      <c r="F662">
        <v>35000</v>
      </c>
      <c r="G662">
        <v>49000</v>
      </c>
      <c r="H662">
        <v>6</v>
      </c>
      <c r="I662">
        <v>49000</v>
      </c>
      <c r="J662" s="10" t="s">
        <v>279</v>
      </c>
      <c r="K662" s="10">
        <v>49000</v>
      </c>
      <c r="L662" s="10">
        <v>49000</v>
      </c>
      <c r="M662" s="12" t="s">
        <v>247</v>
      </c>
    </row>
    <row r="663" spans="1:13" ht="16.8" x14ac:dyDescent="0.3">
      <c r="A663" s="7" t="s">
        <v>741</v>
      </c>
      <c r="B663" s="8">
        <v>44859</v>
      </c>
      <c r="C663" s="15" t="s">
        <v>271</v>
      </c>
      <c r="D663" s="10" t="s">
        <v>223</v>
      </c>
      <c r="E663">
        <v>1</v>
      </c>
      <c r="F663">
        <v>75000</v>
      </c>
      <c r="G663">
        <v>49000</v>
      </c>
      <c r="H663">
        <v>11</v>
      </c>
      <c r="I663">
        <v>66750</v>
      </c>
      <c r="J663" s="10" t="s">
        <v>278</v>
      </c>
      <c r="K663" s="10">
        <v>66750</v>
      </c>
      <c r="L663" s="10">
        <v>66750</v>
      </c>
      <c r="M663" s="12" t="s">
        <v>254</v>
      </c>
    </row>
    <row r="664" spans="1:13" ht="16.8" x14ac:dyDescent="0.3">
      <c r="A664" s="7" t="s">
        <v>742</v>
      </c>
      <c r="B664" s="8">
        <v>44210</v>
      </c>
      <c r="C664" s="15" t="s">
        <v>3</v>
      </c>
      <c r="D664" s="10" t="s">
        <v>224</v>
      </c>
      <c r="E664">
        <v>3</v>
      </c>
      <c r="F664">
        <v>35000</v>
      </c>
      <c r="G664">
        <v>65000</v>
      </c>
      <c r="H664">
        <v>11</v>
      </c>
      <c r="I664">
        <v>65000</v>
      </c>
      <c r="J664" s="10" t="s">
        <v>279</v>
      </c>
      <c r="K664" s="10">
        <v>65000</v>
      </c>
      <c r="L664" s="10">
        <v>195000</v>
      </c>
      <c r="M664" s="12" t="s">
        <v>236</v>
      </c>
    </row>
    <row r="665" spans="1:13" ht="16.8" x14ac:dyDescent="0.3">
      <c r="A665" s="7" t="s">
        <v>743</v>
      </c>
      <c r="B665" s="8">
        <v>45173</v>
      </c>
      <c r="C665" s="15" t="s">
        <v>270</v>
      </c>
      <c r="D665" s="10" t="s">
        <v>224</v>
      </c>
      <c r="E665">
        <v>2</v>
      </c>
      <c r="F665">
        <v>55000</v>
      </c>
      <c r="G665">
        <v>59000</v>
      </c>
      <c r="H665">
        <v>10</v>
      </c>
      <c r="I665">
        <v>59000</v>
      </c>
      <c r="J665" s="10" t="s">
        <v>279</v>
      </c>
      <c r="K665" s="10">
        <v>59000</v>
      </c>
      <c r="L665" s="10">
        <v>118000</v>
      </c>
      <c r="M665" s="12" t="s">
        <v>251</v>
      </c>
    </row>
    <row r="666" spans="1:13" ht="16.8" x14ac:dyDescent="0.3">
      <c r="A666" s="7" t="s">
        <v>744</v>
      </c>
      <c r="B666" s="8">
        <v>45096</v>
      </c>
      <c r="C666" s="15" t="s">
        <v>272</v>
      </c>
      <c r="D666" s="10" t="s">
        <v>224</v>
      </c>
      <c r="E666">
        <v>3</v>
      </c>
      <c r="F666">
        <v>49000</v>
      </c>
      <c r="G666">
        <v>65000</v>
      </c>
      <c r="H666">
        <v>6</v>
      </c>
      <c r="I666">
        <v>65000</v>
      </c>
      <c r="J666" s="10" t="s">
        <v>279</v>
      </c>
      <c r="K666" s="10">
        <v>65000</v>
      </c>
      <c r="L666" s="10">
        <v>195000</v>
      </c>
      <c r="M666" s="12" t="s">
        <v>256</v>
      </c>
    </row>
    <row r="667" spans="1:13" ht="16.8" x14ac:dyDescent="0.3">
      <c r="A667" s="7" t="s">
        <v>745</v>
      </c>
      <c r="B667" s="8">
        <v>44228</v>
      </c>
      <c r="C667" s="15" t="s">
        <v>274</v>
      </c>
      <c r="D667" s="10" t="s">
        <v>223</v>
      </c>
      <c r="E667">
        <v>3</v>
      </c>
      <c r="F667">
        <v>55000</v>
      </c>
      <c r="G667">
        <v>39000</v>
      </c>
      <c r="H667">
        <v>15</v>
      </c>
      <c r="I667">
        <v>39000</v>
      </c>
      <c r="J667" s="10" t="s">
        <v>279</v>
      </c>
      <c r="K667" s="10">
        <v>39000</v>
      </c>
      <c r="L667" s="10">
        <v>117000</v>
      </c>
      <c r="M667" s="12" t="s">
        <v>21</v>
      </c>
    </row>
    <row r="668" spans="1:13" ht="16.8" x14ac:dyDescent="0.3">
      <c r="A668" s="7" t="s">
        <v>746</v>
      </c>
      <c r="B668" s="8">
        <v>44639</v>
      </c>
      <c r="C668" s="15" t="s">
        <v>6</v>
      </c>
      <c r="D668" s="10" t="s">
        <v>222</v>
      </c>
      <c r="E668">
        <v>5</v>
      </c>
      <c r="F668">
        <v>35000</v>
      </c>
      <c r="G668">
        <v>35000</v>
      </c>
      <c r="H668">
        <v>7</v>
      </c>
      <c r="I668">
        <v>35000</v>
      </c>
      <c r="J668" s="10" t="s">
        <v>279</v>
      </c>
      <c r="K668" s="10">
        <v>35000</v>
      </c>
      <c r="L668" s="10">
        <v>175000</v>
      </c>
      <c r="M668" s="12" t="s">
        <v>230</v>
      </c>
    </row>
    <row r="669" spans="1:13" ht="16.8" x14ac:dyDescent="0.3">
      <c r="A669" s="7" t="s">
        <v>747</v>
      </c>
      <c r="B669" s="8">
        <v>44971</v>
      </c>
      <c r="C669" s="15" t="s">
        <v>3</v>
      </c>
      <c r="D669" s="10" t="s">
        <v>224</v>
      </c>
      <c r="E669">
        <v>5</v>
      </c>
      <c r="F669">
        <v>59000</v>
      </c>
      <c r="G669">
        <v>59000</v>
      </c>
      <c r="H669">
        <v>5</v>
      </c>
      <c r="I669">
        <v>56050</v>
      </c>
      <c r="J669" s="10" t="s">
        <v>278</v>
      </c>
      <c r="K669" s="10">
        <v>56050</v>
      </c>
      <c r="L669" s="10">
        <v>280250</v>
      </c>
      <c r="M669" s="12" t="s">
        <v>11</v>
      </c>
    </row>
    <row r="670" spans="1:13" ht="16.8" x14ac:dyDescent="0.3">
      <c r="A670" s="7" t="s">
        <v>748</v>
      </c>
      <c r="B670" s="8">
        <v>44814</v>
      </c>
      <c r="C670" s="15" t="s">
        <v>274</v>
      </c>
      <c r="D670" s="10" t="s">
        <v>223</v>
      </c>
      <c r="E670">
        <v>2</v>
      </c>
      <c r="F670">
        <v>35000</v>
      </c>
      <c r="G670">
        <v>35000</v>
      </c>
      <c r="H670">
        <v>10</v>
      </c>
      <c r="I670">
        <v>35000</v>
      </c>
      <c r="J670" s="10" t="s">
        <v>279</v>
      </c>
      <c r="K670" s="10">
        <v>35000</v>
      </c>
      <c r="L670" s="10">
        <v>70000</v>
      </c>
      <c r="M670" s="12" t="s">
        <v>11</v>
      </c>
    </row>
    <row r="671" spans="1:13" ht="16.8" x14ac:dyDescent="0.3">
      <c r="A671" s="7" t="s">
        <v>749</v>
      </c>
      <c r="B671" s="8">
        <v>44796</v>
      </c>
      <c r="C671" s="15" t="s">
        <v>271</v>
      </c>
      <c r="D671" s="10" t="s">
        <v>222</v>
      </c>
      <c r="E671">
        <v>4</v>
      </c>
      <c r="F671">
        <v>49000</v>
      </c>
      <c r="G671">
        <v>29000</v>
      </c>
      <c r="H671">
        <v>8</v>
      </c>
      <c r="I671">
        <v>29000</v>
      </c>
      <c r="J671" s="10" t="s">
        <v>279</v>
      </c>
      <c r="K671" s="10">
        <v>29000</v>
      </c>
      <c r="L671" s="10">
        <v>116000</v>
      </c>
      <c r="M671" s="12" t="s">
        <v>246</v>
      </c>
    </row>
    <row r="672" spans="1:13" ht="16.8" x14ac:dyDescent="0.3">
      <c r="A672" s="7" t="s">
        <v>750</v>
      </c>
      <c r="B672" s="8">
        <v>44693</v>
      </c>
      <c r="C672" s="15" t="s">
        <v>4</v>
      </c>
      <c r="D672" s="10" t="s">
        <v>224</v>
      </c>
      <c r="E672">
        <v>5</v>
      </c>
      <c r="F672">
        <v>49000</v>
      </c>
      <c r="G672">
        <v>49000</v>
      </c>
      <c r="H672">
        <v>14</v>
      </c>
      <c r="I672">
        <v>42140</v>
      </c>
      <c r="J672" s="10" t="s">
        <v>278</v>
      </c>
      <c r="K672" s="10">
        <v>42140</v>
      </c>
      <c r="L672" s="10">
        <v>210700</v>
      </c>
      <c r="M672" s="12" t="s">
        <v>248</v>
      </c>
    </row>
    <row r="673" spans="1:13" ht="16.8" x14ac:dyDescent="0.3">
      <c r="A673" s="7" t="s">
        <v>751</v>
      </c>
      <c r="B673" s="8">
        <v>44234</v>
      </c>
      <c r="C673" s="15" t="s">
        <v>272</v>
      </c>
      <c r="D673" s="10" t="s">
        <v>224</v>
      </c>
      <c r="E673">
        <v>4</v>
      </c>
      <c r="F673">
        <v>55000</v>
      </c>
      <c r="G673">
        <v>69000</v>
      </c>
      <c r="H673">
        <v>14</v>
      </c>
      <c r="I673">
        <v>47300</v>
      </c>
      <c r="J673" s="10" t="s">
        <v>278</v>
      </c>
      <c r="K673" s="10">
        <v>47300</v>
      </c>
      <c r="L673" s="10">
        <v>189200</v>
      </c>
      <c r="M673" s="12" t="s">
        <v>245</v>
      </c>
    </row>
    <row r="674" spans="1:13" ht="16.8" x14ac:dyDescent="0.3">
      <c r="A674" s="7" t="s">
        <v>752</v>
      </c>
      <c r="B674" s="8">
        <v>44367</v>
      </c>
      <c r="C674" s="15" t="s">
        <v>272</v>
      </c>
      <c r="D674" s="10" t="s">
        <v>222</v>
      </c>
      <c r="E674">
        <v>3</v>
      </c>
      <c r="F674">
        <v>55000</v>
      </c>
      <c r="G674">
        <v>39000</v>
      </c>
      <c r="H674">
        <v>12</v>
      </c>
      <c r="I674">
        <v>39000</v>
      </c>
      <c r="J674" s="10" t="s">
        <v>279</v>
      </c>
      <c r="K674" s="10">
        <v>39000</v>
      </c>
      <c r="L674" s="10">
        <v>117000</v>
      </c>
      <c r="M674" s="12" t="s">
        <v>246</v>
      </c>
    </row>
    <row r="675" spans="1:13" ht="16.8" x14ac:dyDescent="0.3">
      <c r="A675" s="7" t="s">
        <v>753</v>
      </c>
      <c r="B675" s="8">
        <v>44631</v>
      </c>
      <c r="C675" s="15" t="s">
        <v>271</v>
      </c>
      <c r="D675" s="10" t="s">
        <v>222</v>
      </c>
      <c r="E675">
        <v>2</v>
      </c>
      <c r="F675">
        <v>49000</v>
      </c>
      <c r="G675">
        <v>45000</v>
      </c>
      <c r="H675">
        <v>5</v>
      </c>
      <c r="I675">
        <v>45000</v>
      </c>
      <c r="J675" s="10" t="s">
        <v>279</v>
      </c>
      <c r="K675" s="10">
        <v>45000</v>
      </c>
      <c r="L675" s="10">
        <v>90000</v>
      </c>
      <c r="M675" s="12" t="s">
        <v>248</v>
      </c>
    </row>
    <row r="676" spans="1:13" ht="16.8" x14ac:dyDescent="0.3">
      <c r="A676" s="7" t="s">
        <v>754</v>
      </c>
      <c r="B676" s="8">
        <v>44347</v>
      </c>
      <c r="C676" s="15" t="s">
        <v>270</v>
      </c>
      <c r="D676" s="10" t="s">
        <v>222</v>
      </c>
      <c r="E676">
        <v>4</v>
      </c>
      <c r="F676">
        <v>65000</v>
      </c>
      <c r="G676">
        <v>69000</v>
      </c>
      <c r="H676">
        <v>15</v>
      </c>
      <c r="I676">
        <v>69000</v>
      </c>
      <c r="J676" s="10" t="s">
        <v>279</v>
      </c>
      <c r="K676" s="10">
        <v>69000</v>
      </c>
      <c r="L676" s="10">
        <v>276000</v>
      </c>
      <c r="M676" s="12" t="s">
        <v>20</v>
      </c>
    </row>
    <row r="677" spans="1:13" ht="16.8" x14ac:dyDescent="0.3">
      <c r="A677" s="7" t="s">
        <v>755</v>
      </c>
      <c r="B677" s="8">
        <v>44290</v>
      </c>
      <c r="C677" s="15" t="s">
        <v>6</v>
      </c>
      <c r="D677" s="10" t="s">
        <v>222</v>
      </c>
      <c r="E677">
        <v>1</v>
      </c>
      <c r="F677">
        <v>65000</v>
      </c>
      <c r="G677">
        <v>29000</v>
      </c>
      <c r="H677">
        <v>15</v>
      </c>
      <c r="I677">
        <v>55250</v>
      </c>
      <c r="J677" s="10" t="s">
        <v>278</v>
      </c>
      <c r="K677" s="10">
        <v>55250</v>
      </c>
      <c r="L677" s="10">
        <v>55250</v>
      </c>
      <c r="M677" s="12" t="s">
        <v>262</v>
      </c>
    </row>
    <row r="678" spans="1:13" ht="16.8" x14ac:dyDescent="0.3">
      <c r="A678" s="7" t="s">
        <v>756</v>
      </c>
      <c r="B678" s="8">
        <v>44567</v>
      </c>
      <c r="C678" s="15" t="s">
        <v>272</v>
      </c>
      <c r="D678" s="10" t="s">
        <v>223</v>
      </c>
      <c r="E678">
        <v>5</v>
      </c>
      <c r="F678">
        <v>29000</v>
      </c>
      <c r="G678">
        <v>69000</v>
      </c>
      <c r="H678">
        <v>5</v>
      </c>
      <c r="I678">
        <v>27550</v>
      </c>
      <c r="J678" s="10" t="s">
        <v>278</v>
      </c>
      <c r="K678" s="10">
        <v>27550</v>
      </c>
      <c r="L678" s="10">
        <v>137750</v>
      </c>
      <c r="M678" s="12" t="s">
        <v>13</v>
      </c>
    </row>
    <row r="679" spans="1:13" ht="16.8" x14ac:dyDescent="0.3">
      <c r="A679" s="7" t="s">
        <v>757</v>
      </c>
      <c r="B679" s="8">
        <v>44910</v>
      </c>
      <c r="C679" s="15" t="s">
        <v>274</v>
      </c>
      <c r="D679" s="10" t="s">
        <v>222</v>
      </c>
      <c r="E679">
        <v>2</v>
      </c>
      <c r="F679">
        <v>29000</v>
      </c>
      <c r="G679">
        <v>65000</v>
      </c>
      <c r="H679">
        <v>15</v>
      </c>
      <c r="I679">
        <v>65000</v>
      </c>
      <c r="J679" s="10" t="s">
        <v>279</v>
      </c>
      <c r="K679" s="10">
        <v>65000</v>
      </c>
      <c r="L679" s="10">
        <v>130000</v>
      </c>
      <c r="M679" s="12" t="s">
        <v>228</v>
      </c>
    </row>
    <row r="680" spans="1:13" ht="16.8" x14ac:dyDescent="0.3">
      <c r="A680" s="7" t="s">
        <v>758</v>
      </c>
      <c r="B680" s="8">
        <v>44967</v>
      </c>
      <c r="C680" s="15" t="s">
        <v>275</v>
      </c>
      <c r="D680" s="10" t="s">
        <v>222</v>
      </c>
      <c r="E680">
        <v>3</v>
      </c>
      <c r="F680">
        <v>65000</v>
      </c>
      <c r="G680">
        <v>59000</v>
      </c>
      <c r="H680">
        <v>15</v>
      </c>
      <c r="I680">
        <v>59000</v>
      </c>
      <c r="J680" s="10" t="s">
        <v>279</v>
      </c>
      <c r="K680" s="10">
        <v>59000</v>
      </c>
      <c r="L680" s="10">
        <v>177000</v>
      </c>
      <c r="M680" s="12" t="s">
        <v>236</v>
      </c>
    </row>
    <row r="681" spans="1:13" ht="16.8" x14ac:dyDescent="0.3">
      <c r="A681" s="7" t="s">
        <v>759</v>
      </c>
      <c r="B681" s="8">
        <v>44222</v>
      </c>
      <c r="C681" s="15" t="s">
        <v>275</v>
      </c>
      <c r="D681" s="10" t="s">
        <v>222</v>
      </c>
      <c r="E681">
        <v>2</v>
      </c>
      <c r="F681">
        <v>55000</v>
      </c>
      <c r="G681">
        <v>49000</v>
      </c>
      <c r="H681">
        <v>7</v>
      </c>
      <c r="I681">
        <v>51150</v>
      </c>
      <c r="J681" s="10" t="s">
        <v>278</v>
      </c>
      <c r="K681" s="10">
        <v>51150</v>
      </c>
      <c r="L681" s="10">
        <v>102300</v>
      </c>
      <c r="M681" s="12" t="s">
        <v>247</v>
      </c>
    </row>
    <row r="682" spans="1:13" ht="16.8" x14ac:dyDescent="0.3">
      <c r="A682" s="7" t="s">
        <v>760</v>
      </c>
      <c r="B682" s="8">
        <v>44858</v>
      </c>
      <c r="C682" s="15" t="s">
        <v>3</v>
      </c>
      <c r="D682" s="10" t="s">
        <v>222</v>
      </c>
      <c r="E682">
        <v>5</v>
      </c>
      <c r="F682">
        <v>59000</v>
      </c>
      <c r="G682">
        <v>55000</v>
      </c>
      <c r="H682">
        <v>9</v>
      </c>
      <c r="I682">
        <v>53690</v>
      </c>
      <c r="J682" s="10" t="s">
        <v>278</v>
      </c>
      <c r="K682" s="10">
        <v>53690</v>
      </c>
      <c r="L682" s="10">
        <v>268450</v>
      </c>
      <c r="M682" s="12" t="s">
        <v>249</v>
      </c>
    </row>
    <row r="683" spans="1:13" ht="16.8" x14ac:dyDescent="0.3">
      <c r="A683" s="7" t="s">
        <v>761</v>
      </c>
      <c r="B683" s="8">
        <v>44710</v>
      </c>
      <c r="C683" s="15" t="s">
        <v>5</v>
      </c>
      <c r="D683" s="10" t="s">
        <v>224</v>
      </c>
      <c r="E683">
        <v>2</v>
      </c>
      <c r="F683">
        <v>65000</v>
      </c>
      <c r="G683">
        <v>49000</v>
      </c>
      <c r="H683">
        <v>12</v>
      </c>
      <c r="I683">
        <v>49000</v>
      </c>
      <c r="J683" s="10" t="s">
        <v>279</v>
      </c>
      <c r="K683" s="10">
        <v>49000</v>
      </c>
      <c r="L683" s="10">
        <v>98000</v>
      </c>
      <c r="M683" s="12" t="s">
        <v>250</v>
      </c>
    </row>
    <row r="684" spans="1:13" ht="16.8" x14ac:dyDescent="0.3">
      <c r="A684" s="7" t="s">
        <v>762</v>
      </c>
      <c r="B684" s="8">
        <v>44327</v>
      </c>
      <c r="C684" s="15" t="s">
        <v>270</v>
      </c>
      <c r="D684" s="10" t="s">
        <v>224</v>
      </c>
      <c r="E684">
        <v>3</v>
      </c>
      <c r="F684">
        <v>69000</v>
      </c>
      <c r="G684">
        <v>59000</v>
      </c>
      <c r="H684">
        <v>13</v>
      </c>
      <c r="I684">
        <v>59000</v>
      </c>
      <c r="J684" s="10" t="s">
        <v>279</v>
      </c>
      <c r="K684" s="10">
        <v>59000</v>
      </c>
      <c r="L684" s="10">
        <v>177000</v>
      </c>
      <c r="M684" s="12" t="s">
        <v>248</v>
      </c>
    </row>
    <row r="685" spans="1:13" ht="16.8" x14ac:dyDescent="0.3">
      <c r="A685" s="7" t="s">
        <v>763</v>
      </c>
      <c r="B685" s="8">
        <v>44250</v>
      </c>
      <c r="C685" s="15" t="s">
        <v>5</v>
      </c>
      <c r="D685" s="10" t="s">
        <v>222</v>
      </c>
      <c r="E685">
        <v>4</v>
      </c>
      <c r="F685">
        <v>65000</v>
      </c>
      <c r="G685">
        <v>59000</v>
      </c>
      <c r="H685">
        <v>14</v>
      </c>
      <c r="I685">
        <v>55900</v>
      </c>
      <c r="J685" s="10" t="s">
        <v>278</v>
      </c>
      <c r="K685" s="10">
        <v>55900</v>
      </c>
      <c r="L685" s="10">
        <v>223600</v>
      </c>
      <c r="M685" s="12" t="s">
        <v>231</v>
      </c>
    </row>
    <row r="686" spans="1:13" ht="16.8" x14ac:dyDescent="0.3">
      <c r="A686" s="7" t="s">
        <v>764</v>
      </c>
      <c r="B686" s="8">
        <v>45060</v>
      </c>
      <c r="C686" s="15" t="s">
        <v>271</v>
      </c>
      <c r="D686" s="10" t="s">
        <v>223</v>
      </c>
      <c r="E686">
        <v>2</v>
      </c>
      <c r="F686">
        <v>65000</v>
      </c>
      <c r="G686">
        <v>49000</v>
      </c>
      <c r="H686">
        <v>7</v>
      </c>
      <c r="I686">
        <v>49000</v>
      </c>
      <c r="J686" s="10" t="s">
        <v>279</v>
      </c>
      <c r="K686" s="10">
        <v>49000</v>
      </c>
      <c r="L686" s="10">
        <v>98000</v>
      </c>
      <c r="M686" s="12" t="s">
        <v>229</v>
      </c>
    </row>
    <row r="687" spans="1:13" ht="16.8" x14ac:dyDescent="0.3">
      <c r="A687" s="7" t="s">
        <v>765</v>
      </c>
      <c r="B687" s="8">
        <v>44363</v>
      </c>
      <c r="C687" s="15" t="s">
        <v>6</v>
      </c>
      <c r="D687" s="10" t="s">
        <v>222</v>
      </c>
      <c r="E687">
        <v>4</v>
      </c>
      <c r="F687">
        <v>69000</v>
      </c>
      <c r="G687">
        <v>59000</v>
      </c>
      <c r="H687">
        <v>11</v>
      </c>
      <c r="I687">
        <v>61410</v>
      </c>
      <c r="J687" s="10" t="s">
        <v>278</v>
      </c>
      <c r="K687" s="10">
        <v>61410</v>
      </c>
      <c r="L687" s="10">
        <v>245640</v>
      </c>
      <c r="M687" s="12" t="s">
        <v>261</v>
      </c>
    </row>
    <row r="688" spans="1:13" ht="16.8" x14ac:dyDescent="0.3">
      <c r="A688" s="7" t="s">
        <v>766</v>
      </c>
      <c r="B688" s="8">
        <v>44770</v>
      </c>
      <c r="C688" s="15" t="s">
        <v>275</v>
      </c>
      <c r="D688" s="10" t="s">
        <v>224</v>
      </c>
      <c r="E688">
        <v>1</v>
      </c>
      <c r="F688">
        <v>65000</v>
      </c>
      <c r="G688">
        <v>65000</v>
      </c>
      <c r="H688">
        <v>13</v>
      </c>
      <c r="I688">
        <v>65000</v>
      </c>
      <c r="J688" s="10" t="s">
        <v>279</v>
      </c>
      <c r="K688" s="10">
        <v>65000</v>
      </c>
      <c r="L688" s="10">
        <v>65000</v>
      </c>
      <c r="M688" s="12" t="s">
        <v>254</v>
      </c>
    </row>
    <row r="689" spans="1:13" ht="16.8" x14ac:dyDescent="0.3">
      <c r="A689" s="7" t="s">
        <v>767</v>
      </c>
      <c r="B689" s="8">
        <v>45104</v>
      </c>
      <c r="C689" s="15" t="s">
        <v>5</v>
      </c>
      <c r="D689" s="10" t="s">
        <v>224</v>
      </c>
      <c r="E689">
        <v>5</v>
      </c>
      <c r="F689">
        <v>59000</v>
      </c>
      <c r="G689">
        <v>59000</v>
      </c>
      <c r="H689">
        <v>12</v>
      </c>
      <c r="I689">
        <v>51920</v>
      </c>
      <c r="J689" s="10" t="s">
        <v>278</v>
      </c>
      <c r="K689" s="10">
        <v>51920</v>
      </c>
      <c r="L689" s="10">
        <v>259600</v>
      </c>
      <c r="M689" s="12" t="s">
        <v>240</v>
      </c>
    </row>
    <row r="690" spans="1:13" ht="16.8" x14ac:dyDescent="0.3">
      <c r="A690" s="7" t="s">
        <v>768</v>
      </c>
      <c r="B690" s="8">
        <v>44842</v>
      </c>
      <c r="C690" s="15" t="s">
        <v>275</v>
      </c>
      <c r="D690" s="10" t="s">
        <v>224</v>
      </c>
      <c r="E690">
        <v>2</v>
      </c>
      <c r="F690">
        <v>59000</v>
      </c>
      <c r="G690">
        <v>69000</v>
      </c>
      <c r="H690">
        <v>8</v>
      </c>
      <c r="I690">
        <v>69000</v>
      </c>
      <c r="J690" s="10" t="s">
        <v>279</v>
      </c>
      <c r="K690" s="10">
        <v>69000</v>
      </c>
      <c r="L690" s="10">
        <v>138000</v>
      </c>
      <c r="M690" s="12" t="s">
        <v>10</v>
      </c>
    </row>
    <row r="691" spans="1:13" ht="16.8" x14ac:dyDescent="0.3">
      <c r="A691" s="7" t="s">
        <v>769</v>
      </c>
      <c r="B691" s="8">
        <v>44649</v>
      </c>
      <c r="C691" s="15" t="s">
        <v>274</v>
      </c>
      <c r="D691" s="10" t="s">
        <v>224</v>
      </c>
      <c r="E691">
        <v>3</v>
      </c>
      <c r="F691">
        <v>59000</v>
      </c>
      <c r="G691">
        <v>65000</v>
      </c>
      <c r="H691">
        <v>11</v>
      </c>
      <c r="I691">
        <v>52510</v>
      </c>
      <c r="J691" s="10" t="s">
        <v>278</v>
      </c>
      <c r="K691" s="10">
        <v>52510</v>
      </c>
      <c r="L691" s="10">
        <v>157530</v>
      </c>
      <c r="M691" s="12" t="s">
        <v>252</v>
      </c>
    </row>
    <row r="692" spans="1:13" ht="16.8" x14ac:dyDescent="0.3">
      <c r="A692" s="7" t="s">
        <v>770</v>
      </c>
      <c r="B692" s="8">
        <v>44368</v>
      </c>
      <c r="C692" s="15" t="s">
        <v>5</v>
      </c>
      <c r="D692" s="10" t="s">
        <v>224</v>
      </c>
      <c r="E692">
        <v>2</v>
      </c>
      <c r="F692">
        <v>45000</v>
      </c>
      <c r="G692">
        <v>39000</v>
      </c>
      <c r="H692">
        <v>13</v>
      </c>
      <c r="I692">
        <v>39150</v>
      </c>
      <c r="J692" s="10" t="s">
        <v>278</v>
      </c>
      <c r="K692" s="10">
        <v>39150</v>
      </c>
      <c r="L692" s="10">
        <v>78300</v>
      </c>
      <c r="M692" s="12" t="s">
        <v>257</v>
      </c>
    </row>
    <row r="693" spans="1:13" ht="16.8" x14ac:dyDescent="0.3">
      <c r="A693" s="7" t="s">
        <v>771</v>
      </c>
      <c r="B693" s="8">
        <v>44304</v>
      </c>
      <c r="C693" s="15" t="s">
        <v>271</v>
      </c>
      <c r="D693" s="10" t="s">
        <v>223</v>
      </c>
      <c r="E693">
        <v>3</v>
      </c>
      <c r="F693">
        <v>65000</v>
      </c>
      <c r="G693">
        <v>59000</v>
      </c>
      <c r="H693">
        <v>6</v>
      </c>
      <c r="I693">
        <v>61100</v>
      </c>
      <c r="J693" s="10" t="s">
        <v>278</v>
      </c>
      <c r="K693" s="10">
        <v>61100</v>
      </c>
      <c r="L693" s="10">
        <v>183300</v>
      </c>
      <c r="M693" s="12" t="s">
        <v>234</v>
      </c>
    </row>
    <row r="694" spans="1:13" ht="16.8" x14ac:dyDescent="0.3">
      <c r="A694" s="7" t="s">
        <v>772</v>
      </c>
      <c r="B694" s="8">
        <v>45192</v>
      </c>
      <c r="C694" s="15" t="s">
        <v>3</v>
      </c>
      <c r="D694" s="10" t="s">
        <v>224</v>
      </c>
      <c r="E694">
        <v>5</v>
      </c>
      <c r="F694">
        <v>69000</v>
      </c>
      <c r="G694">
        <v>49000</v>
      </c>
      <c r="H694">
        <v>10</v>
      </c>
      <c r="I694">
        <v>62100</v>
      </c>
      <c r="J694" s="10" t="s">
        <v>278</v>
      </c>
      <c r="K694" s="10">
        <v>62100</v>
      </c>
      <c r="L694" s="10">
        <v>310500</v>
      </c>
      <c r="M694" s="12" t="s">
        <v>19</v>
      </c>
    </row>
    <row r="695" spans="1:13" ht="16.8" x14ac:dyDescent="0.3">
      <c r="A695" s="7" t="s">
        <v>773</v>
      </c>
      <c r="B695" s="8">
        <v>45171</v>
      </c>
      <c r="C695" s="15" t="s">
        <v>274</v>
      </c>
      <c r="D695" s="10" t="s">
        <v>224</v>
      </c>
      <c r="E695">
        <v>1</v>
      </c>
      <c r="F695">
        <v>35000</v>
      </c>
      <c r="G695">
        <v>65000</v>
      </c>
      <c r="H695">
        <v>12</v>
      </c>
      <c r="I695">
        <v>65000</v>
      </c>
      <c r="J695" s="10" t="s">
        <v>279</v>
      </c>
      <c r="K695" s="10">
        <v>65000</v>
      </c>
      <c r="L695" s="10">
        <v>65000</v>
      </c>
      <c r="M695" s="12" t="s">
        <v>252</v>
      </c>
    </row>
    <row r="696" spans="1:13" ht="16.8" x14ac:dyDescent="0.3">
      <c r="A696" s="7" t="s">
        <v>774</v>
      </c>
      <c r="B696" s="8">
        <v>44649</v>
      </c>
      <c r="C696" s="15" t="s">
        <v>273</v>
      </c>
      <c r="D696" s="10" t="s">
        <v>224</v>
      </c>
      <c r="E696">
        <v>3</v>
      </c>
      <c r="F696">
        <v>65000</v>
      </c>
      <c r="G696">
        <v>65000</v>
      </c>
      <c r="H696">
        <v>7</v>
      </c>
      <c r="I696">
        <v>60449.999999999993</v>
      </c>
      <c r="J696" s="10" t="s">
        <v>278</v>
      </c>
      <c r="K696" s="10">
        <v>60449.999999999993</v>
      </c>
      <c r="L696" s="10">
        <v>181349.99999999997</v>
      </c>
      <c r="M696" s="12" t="s">
        <v>13</v>
      </c>
    </row>
    <row r="697" spans="1:13" ht="16.8" x14ac:dyDescent="0.3">
      <c r="A697" s="7" t="s">
        <v>775</v>
      </c>
      <c r="B697" s="8">
        <v>45218</v>
      </c>
      <c r="C697" s="15" t="s">
        <v>274</v>
      </c>
      <c r="D697" s="10" t="s">
        <v>223</v>
      </c>
      <c r="E697">
        <v>4</v>
      </c>
      <c r="F697">
        <v>49000</v>
      </c>
      <c r="G697">
        <v>49000</v>
      </c>
      <c r="H697">
        <v>7</v>
      </c>
      <c r="I697">
        <v>45570</v>
      </c>
      <c r="J697" s="10" t="s">
        <v>278</v>
      </c>
      <c r="K697" s="10">
        <v>45570</v>
      </c>
      <c r="L697" s="10">
        <v>182280</v>
      </c>
      <c r="M697" s="12" t="s">
        <v>234</v>
      </c>
    </row>
    <row r="698" spans="1:13" ht="16.8" x14ac:dyDescent="0.3">
      <c r="A698" s="7" t="s">
        <v>776</v>
      </c>
      <c r="B698" s="8">
        <v>44614</v>
      </c>
      <c r="C698" s="15" t="s">
        <v>270</v>
      </c>
      <c r="D698" s="10" t="s">
        <v>223</v>
      </c>
      <c r="E698">
        <v>5</v>
      </c>
      <c r="F698">
        <v>49000</v>
      </c>
      <c r="G698">
        <v>35000</v>
      </c>
      <c r="H698">
        <v>9</v>
      </c>
      <c r="I698">
        <v>44590</v>
      </c>
      <c r="J698" s="10" t="s">
        <v>278</v>
      </c>
      <c r="K698" s="10">
        <v>44590</v>
      </c>
      <c r="L698" s="10">
        <v>222950</v>
      </c>
      <c r="M698" s="12" t="s">
        <v>17</v>
      </c>
    </row>
    <row r="699" spans="1:13" ht="16.8" x14ac:dyDescent="0.3">
      <c r="A699" s="7" t="s">
        <v>777</v>
      </c>
      <c r="B699" s="8">
        <v>44640</v>
      </c>
      <c r="C699" s="15" t="s">
        <v>3</v>
      </c>
      <c r="D699" s="10" t="s">
        <v>222</v>
      </c>
      <c r="E699">
        <v>1</v>
      </c>
      <c r="F699">
        <v>35000</v>
      </c>
      <c r="G699">
        <v>69000</v>
      </c>
      <c r="H699">
        <v>8</v>
      </c>
      <c r="I699">
        <v>32200</v>
      </c>
      <c r="J699" s="10" t="s">
        <v>278</v>
      </c>
      <c r="K699" s="10">
        <v>32200</v>
      </c>
      <c r="L699" s="10">
        <v>32200</v>
      </c>
      <c r="M699" s="12" t="s">
        <v>227</v>
      </c>
    </row>
    <row r="700" spans="1:13" ht="16.8" x14ac:dyDescent="0.3">
      <c r="A700" s="7" t="s">
        <v>778</v>
      </c>
      <c r="B700" s="8">
        <v>44446</v>
      </c>
      <c r="C700" s="15" t="s">
        <v>270</v>
      </c>
      <c r="D700" s="10" t="s">
        <v>224</v>
      </c>
      <c r="E700">
        <v>4</v>
      </c>
      <c r="F700">
        <v>35000</v>
      </c>
      <c r="G700">
        <v>49000</v>
      </c>
      <c r="H700">
        <v>6</v>
      </c>
      <c r="I700">
        <v>49000</v>
      </c>
      <c r="J700" s="10" t="s">
        <v>279</v>
      </c>
      <c r="K700" s="10">
        <v>49000</v>
      </c>
      <c r="L700" s="10">
        <v>196000</v>
      </c>
      <c r="M700" s="12" t="s">
        <v>261</v>
      </c>
    </row>
    <row r="701" spans="1:13" ht="16.8" x14ac:dyDescent="0.3">
      <c r="A701" s="7" t="s">
        <v>779</v>
      </c>
      <c r="B701" s="8">
        <v>44632</v>
      </c>
      <c r="C701" s="15" t="s">
        <v>6</v>
      </c>
      <c r="D701" s="10" t="s">
        <v>223</v>
      </c>
      <c r="E701">
        <v>4</v>
      </c>
      <c r="F701">
        <v>59000</v>
      </c>
      <c r="G701">
        <v>59000</v>
      </c>
      <c r="H701">
        <v>15</v>
      </c>
      <c r="I701">
        <v>59000</v>
      </c>
      <c r="J701" s="10" t="s">
        <v>279</v>
      </c>
      <c r="K701" s="10">
        <v>59000</v>
      </c>
      <c r="L701" s="10">
        <v>236000</v>
      </c>
      <c r="M701" s="12" t="s">
        <v>10</v>
      </c>
    </row>
    <row r="702" spans="1:13" ht="16.8" x14ac:dyDescent="0.3">
      <c r="A702" s="7" t="s">
        <v>780</v>
      </c>
      <c r="B702" s="8">
        <v>44198</v>
      </c>
      <c r="C702" s="15" t="s">
        <v>272</v>
      </c>
      <c r="D702" s="10" t="s">
        <v>222</v>
      </c>
      <c r="E702">
        <v>2</v>
      </c>
      <c r="F702">
        <v>65000</v>
      </c>
      <c r="G702">
        <v>49000</v>
      </c>
      <c r="H702">
        <v>6</v>
      </c>
      <c r="I702">
        <v>61100</v>
      </c>
      <c r="J702" s="10" t="s">
        <v>278</v>
      </c>
      <c r="K702" s="10">
        <v>61100</v>
      </c>
      <c r="L702" s="10">
        <v>122200</v>
      </c>
      <c r="M702" s="12" t="s">
        <v>254</v>
      </c>
    </row>
    <row r="703" spans="1:13" ht="16.8" x14ac:dyDescent="0.3">
      <c r="A703" s="7" t="s">
        <v>781</v>
      </c>
      <c r="B703" s="8">
        <v>45101</v>
      </c>
      <c r="C703" s="15" t="s">
        <v>275</v>
      </c>
      <c r="D703" s="10" t="s">
        <v>223</v>
      </c>
      <c r="E703">
        <v>4</v>
      </c>
      <c r="F703">
        <v>69000</v>
      </c>
      <c r="G703">
        <v>49000</v>
      </c>
      <c r="H703">
        <v>10</v>
      </c>
      <c r="I703">
        <v>62100</v>
      </c>
      <c r="J703" s="10" t="s">
        <v>278</v>
      </c>
      <c r="K703" s="10">
        <v>62100</v>
      </c>
      <c r="L703" s="10">
        <v>248400</v>
      </c>
      <c r="M703" s="12" t="s">
        <v>249</v>
      </c>
    </row>
    <row r="704" spans="1:13" ht="16.8" x14ac:dyDescent="0.3">
      <c r="A704" s="7" t="s">
        <v>782</v>
      </c>
      <c r="B704" s="8">
        <v>44906</v>
      </c>
      <c r="C704" s="15" t="s">
        <v>272</v>
      </c>
      <c r="D704" s="10" t="s">
        <v>222</v>
      </c>
      <c r="E704">
        <v>4</v>
      </c>
      <c r="F704">
        <v>49000</v>
      </c>
      <c r="G704">
        <v>59000</v>
      </c>
      <c r="H704">
        <v>6</v>
      </c>
      <c r="I704">
        <v>59000</v>
      </c>
      <c r="J704" s="10" t="s">
        <v>279</v>
      </c>
      <c r="K704" s="10">
        <v>59000</v>
      </c>
      <c r="L704" s="10">
        <v>236000</v>
      </c>
      <c r="M704" s="12" t="s">
        <v>18</v>
      </c>
    </row>
    <row r="705" spans="1:13" ht="16.8" x14ac:dyDescent="0.3">
      <c r="A705" s="7" t="s">
        <v>783</v>
      </c>
      <c r="B705" s="8">
        <v>44674</v>
      </c>
      <c r="C705" s="15" t="s">
        <v>6</v>
      </c>
      <c r="D705" s="10" t="s">
        <v>222</v>
      </c>
      <c r="E705">
        <v>4</v>
      </c>
      <c r="F705">
        <v>45000</v>
      </c>
      <c r="G705">
        <v>59000</v>
      </c>
      <c r="H705">
        <v>12</v>
      </c>
      <c r="I705">
        <v>39600</v>
      </c>
      <c r="J705" s="10" t="s">
        <v>278</v>
      </c>
      <c r="K705" s="10">
        <v>39600</v>
      </c>
      <c r="L705" s="10">
        <v>158400</v>
      </c>
      <c r="M705" s="12" t="s">
        <v>236</v>
      </c>
    </row>
    <row r="706" spans="1:13" ht="16.8" x14ac:dyDescent="0.3">
      <c r="A706" s="7" t="s">
        <v>784</v>
      </c>
      <c r="B706" s="8">
        <v>44556</v>
      </c>
      <c r="C706" s="15" t="s">
        <v>6</v>
      </c>
      <c r="D706" s="10" t="s">
        <v>224</v>
      </c>
      <c r="E706">
        <v>3</v>
      </c>
      <c r="F706">
        <v>59000</v>
      </c>
      <c r="G706">
        <v>49000</v>
      </c>
      <c r="H706">
        <v>6</v>
      </c>
      <c r="I706">
        <v>49000</v>
      </c>
      <c r="J706" s="10" t="s">
        <v>279</v>
      </c>
      <c r="K706" s="10">
        <v>49000</v>
      </c>
      <c r="L706" s="10">
        <v>147000</v>
      </c>
      <c r="M706" s="12" t="s">
        <v>18</v>
      </c>
    </row>
    <row r="707" spans="1:13" ht="16.8" x14ac:dyDescent="0.3">
      <c r="A707" s="7" t="s">
        <v>785</v>
      </c>
      <c r="B707" s="8">
        <v>44789</v>
      </c>
      <c r="C707" s="15" t="s">
        <v>3</v>
      </c>
      <c r="D707" s="10" t="s">
        <v>223</v>
      </c>
      <c r="E707">
        <v>2</v>
      </c>
      <c r="F707">
        <v>59000</v>
      </c>
      <c r="G707">
        <v>65000</v>
      </c>
      <c r="H707">
        <v>13</v>
      </c>
      <c r="I707">
        <v>65000</v>
      </c>
      <c r="J707" s="10" t="s">
        <v>279</v>
      </c>
      <c r="K707" s="10">
        <v>65000</v>
      </c>
      <c r="L707" s="10">
        <v>130000</v>
      </c>
      <c r="M707" s="12" t="s">
        <v>260</v>
      </c>
    </row>
    <row r="708" spans="1:13" ht="16.8" x14ac:dyDescent="0.3">
      <c r="A708" s="7" t="s">
        <v>786</v>
      </c>
      <c r="B708" s="8">
        <v>45181</v>
      </c>
      <c r="C708" s="15" t="s">
        <v>271</v>
      </c>
      <c r="D708" s="10" t="s">
        <v>222</v>
      </c>
      <c r="E708">
        <v>4</v>
      </c>
      <c r="F708">
        <v>65000</v>
      </c>
      <c r="G708">
        <v>59000</v>
      </c>
      <c r="H708">
        <v>7</v>
      </c>
      <c r="I708">
        <v>60449.999999999993</v>
      </c>
      <c r="J708" s="10" t="s">
        <v>278</v>
      </c>
      <c r="K708" s="10">
        <v>60449.999999999993</v>
      </c>
      <c r="L708" s="10">
        <v>241799.99999999997</v>
      </c>
      <c r="M708" s="12" t="s">
        <v>258</v>
      </c>
    </row>
    <row r="709" spans="1:13" ht="16.8" x14ac:dyDescent="0.3">
      <c r="A709" s="7" t="s">
        <v>787</v>
      </c>
      <c r="B709" s="8">
        <v>44505</v>
      </c>
      <c r="C709" s="15" t="s">
        <v>5</v>
      </c>
      <c r="D709" s="10" t="s">
        <v>223</v>
      </c>
      <c r="E709">
        <v>1</v>
      </c>
      <c r="F709">
        <v>65000</v>
      </c>
      <c r="G709">
        <v>75000</v>
      </c>
      <c r="H709">
        <v>15</v>
      </c>
      <c r="I709">
        <v>75000</v>
      </c>
      <c r="J709" s="10" t="s">
        <v>279</v>
      </c>
      <c r="K709" s="10">
        <v>75000</v>
      </c>
      <c r="L709" s="10">
        <v>75000</v>
      </c>
      <c r="M709" s="12" t="s">
        <v>246</v>
      </c>
    </row>
    <row r="710" spans="1:13" ht="16.8" x14ac:dyDescent="0.3">
      <c r="A710" s="7" t="s">
        <v>788</v>
      </c>
      <c r="B710" s="8">
        <v>44370</v>
      </c>
      <c r="C710" s="15" t="s">
        <v>4</v>
      </c>
      <c r="D710" s="10" t="s">
        <v>224</v>
      </c>
      <c r="E710">
        <v>1</v>
      </c>
      <c r="F710">
        <v>65000</v>
      </c>
      <c r="G710">
        <v>69000</v>
      </c>
      <c r="H710">
        <v>8</v>
      </c>
      <c r="I710">
        <v>69000</v>
      </c>
      <c r="J710" s="10" t="s">
        <v>279</v>
      </c>
      <c r="K710" s="10">
        <v>69000</v>
      </c>
      <c r="L710" s="10">
        <v>69000</v>
      </c>
      <c r="M710" s="12" t="s">
        <v>231</v>
      </c>
    </row>
    <row r="711" spans="1:13" ht="16.8" x14ac:dyDescent="0.3">
      <c r="A711" s="7" t="s">
        <v>789</v>
      </c>
      <c r="B711" s="8">
        <v>44420</v>
      </c>
      <c r="C711" s="15" t="s">
        <v>5</v>
      </c>
      <c r="D711" s="10" t="s">
        <v>222</v>
      </c>
      <c r="E711">
        <v>5</v>
      </c>
      <c r="F711">
        <v>35000</v>
      </c>
      <c r="G711">
        <v>39000</v>
      </c>
      <c r="H711">
        <v>6</v>
      </c>
      <c r="I711">
        <v>32900</v>
      </c>
      <c r="J711" s="10" t="s">
        <v>278</v>
      </c>
      <c r="K711" s="10">
        <v>32900</v>
      </c>
      <c r="L711" s="10">
        <v>164500</v>
      </c>
      <c r="M711" s="12" t="s">
        <v>259</v>
      </c>
    </row>
    <row r="712" spans="1:13" ht="16.8" x14ac:dyDescent="0.3">
      <c r="A712" s="7" t="s">
        <v>790</v>
      </c>
      <c r="B712" s="8">
        <v>45198</v>
      </c>
      <c r="C712" s="15" t="s">
        <v>271</v>
      </c>
      <c r="D712" s="10" t="s">
        <v>223</v>
      </c>
      <c r="E712">
        <v>5</v>
      </c>
      <c r="F712">
        <v>65000</v>
      </c>
      <c r="G712">
        <v>65000</v>
      </c>
      <c r="H712">
        <v>10</v>
      </c>
      <c r="I712">
        <v>58500</v>
      </c>
      <c r="J712" s="10" t="s">
        <v>278</v>
      </c>
      <c r="K712" s="10">
        <v>58500</v>
      </c>
      <c r="L712" s="10">
        <v>292500</v>
      </c>
      <c r="M712" s="12" t="s">
        <v>241</v>
      </c>
    </row>
    <row r="713" spans="1:13" ht="16.8" x14ac:dyDescent="0.3">
      <c r="A713" s="7" t="s">
        <v>791</v>
      </c>
      <c r="B713" s="8">
        <v>45095</v>
      </c>
      <c r="C713" s="15" t="s">
        <v>3</v>
      </c>
      <c r="D713" s="10" t="s">
        <v>224</v>
      </c>
      <c r="E713">
        <v>3</v>
      </c>
      <c r="F713">
        <v>65000</v>
      </c>
      <c r="G713">
        <v>69000</v>
      </c>
      <c r="H713">
        <v>8</v>
      </c>
      <c r="I713">
        <v>59800</v>
      </c>
      <c r="J713" s="10" t="s">
        <v>278</v>
      </c>
      <c r="K713" s="10">
        <v>59800</v>
      </c>
      <c r="L713" s="10">
        <v>179400</v>
      </c>
      <c r="M713" s="12" t="s">
        <v>256</v>
      </c>
    </row>
    <row r="714" spans="1:13" ht="16.8" x14ac:dyDescent="0.3">
      <c r="A714" s="7" t="s">
        <v>792</v>
      </c>
      <c r="B714" s="8">
        <v>44994</v>
      </c>
      <c r="C714" s="15" t="s">
        <v>5</v>
      </c>
      <c r="D714" s="10" t="s">
        <v>224</v>
      </c>
      <c r="E714">
        <v>5</v>
      </c>
      <c r="F714">
        <v>59000</v>
      </c>
      <c r="G714">
        <v>39000</v>
      </c>
      <c r="H714">
        <v>14</v>
      </c>
      <c r="I714">
        <v>39000</v>
      </c>
      <c r="J714" s="10" t="s">
        <v>279</v>
      </c>
      <c r="K714" s="10">
        <v>39000</v>
      </c>
      <c r="L714" s="10">
        <v>195000</v>
      </c>
      <c r="M714" s="12" t="s">
        <v>250</v>
      </c>
    </row>
    <row r="715" spans="1:13" ht="16.8" x14ac:dyDescent="0.3">
      <c r="A715" s="7" t="s">
        <v>793</v>
      </c>
      <c r="B715" s="8">
        <v>44460</v>
      </c>
      <c r="C715" s="15" t="s">
        <v>273</v>
      </c>
      <c r="D715" s="10" t="s">
        <v>224</v>
      </c>
      <c r="E715">
        <v>3</v>
      </c>
      <c r="F715">
        <v>49000</v>
      </c>
      <c r="G715">
        <v>59000</v>
      </c>
      <c r="H715">
        <v>7</v>
      </c>
      <c r="I715">
        <v>45570</v>
      </c>
      <c r="J715" s="10" t="s">
        <v>278</v>
      </c>
      <c r="K715" s="10">
        <v>45570</v>
      </c>
      <c r="L715" s="10">
        <v>136710</v>
      </c>
      <c r="M715" s="12" t="s">
        <v>243</v>
      </c>
    </row>
    <row r="716" spans="1:13" ht="16.8" x14ac:dyDescent="0.3">
      <c r="A716" s="7" t="s">
        <v>794</v>
      </c>
      <c r="B716" s="8">
        <v>44708</v>
      </c>
      <c r="C716" s="15" t="s">
        <v>273</v>
      </c>
      <c r="D716" s="10" t="s">
        <v>224</v>
      </c>
      <c r="E716">
        <v>1</v>
      </c>
      <c r="F716">
        <v>35000</v>
      </c>
      <c r="G716">
        <v>65000</v>
      </c>
      <c r="H716">
        <v>10</v>
      </c>
      <c r="I716">
        <v>65000</v>
      </c>
      <c r="J716" s="10" t="s">
        <v>279</v>
      </c>
      <c r="K716" s="10">
        <v>65000</v>
      </c>
      <c r="L716" s="10">
        <v>65000</v>
      </c>
      <c r="M716" s="12" t="s">
        <v>14</v>
      </c>
    </row>
    <row r="717" spans="1:13" ht="16.8" x14ac:dyDescent="0.3">
      <c r="A717" s="7" t="s">
        <v>795</v>
      </c>
      <c r="B717" s="8">
        <v>44272</v>
      </c>
      <c r="C717" s="15" t="s">
        <v>3</v>
      </c>
      <c r="D717" s="10" t="s">
        <v>224</v>
      </c>
      <c r="E717">
        <v>2</v>
      </c>
      <c r="F717">
        <v>39000</v>
      </c>
      <c r="G717">
        <v>49000</v>
      </c>
      <c r="H717">
        <v>5</v>
      </c>
      <c r="I717">
        <v>49000</v>
      </c>
      <c r="J717" s="10" t="s">
        <v>279</v>
      </c>
      <c r="K717" s="10">
        <v>49000</v>
      </c>
      <c r="L717" s="10">
        <v>98000</v>
      </c>
      <c r="M717" s="12" t="s">
        <v>17</v>
      </c>
    </row>
    <row r="718" spans="1:13" ht="16.8" x14ac:dyDescent="0.3">
      <c r="A718" s="7" t="s">
        <v>796</v>
      </c>
      <c r="B718" s="8">
        <v>44910</v>
      </c>
      <c r="C718" s="15" t="s">
        <v>273</v>
      </c>
      <c r="D718" s="10" t="s">
        <v>222</v>
      </c>
      <c r="E718">
        <v>1</v>
      </c>
      <c r="F718">
        <v>65000</v>
      </c>
      <c r="G718">
        <v>49000</v>
      </c>
      <c r="H718">
        <v>6</v>
      </c>
      <c r="I718">
        <v>61100</v>
      </c>
      <c r="J718" s="10" t="s">
        <v>278</v>
      </c>
      <c r="K718" s="10">
        <v>61100</v>
      </c>
      <c r="L718" s="10">
        <v>61100</v>
      </c>
      <c r="M718" s="12" t="s">
        <v>243</v>
      </c>
    </row>
    <row r="719" spans="1:13" ht="16.8" x14ac:dyDescent="0.3">
      <c r="A719" s="7" t="s">
        <v>797</v>
      </c>
      <c r="B719" s="8">
        <v>44962</v>
      </c>
      <c r="C719" s="15" t="s">
        <v>6</v>
      </c>
      <c r="D719" s="10" t="s">
        <v>223</v>
      </c>
      <c r="E719">
        <v>4</v>
      </c>
      <c r="F719">
        <v>55000</v>
      </c>
      <c r="G719">
        <v>49000</v>
      </c>
      <c r="H719">
        <v>11</v>
      </c>
      <c r="I719">
        <v>49000</v>
      </c>
      <c r="J719" s="10" t="s">
        <v>279</v>
      </c>
      <c r="K719" s="10">
        <v>49000</v>
      </c>
      <c r="L719" s="10">
        <v>196000</v>
      </c>
      <c r="M719" s="12" t="s">
        <v>11</v>
      </c>
    </row>
    <row r="720" spans="1:13" ht="16.8" x14ac:dyDescent="0.3">
      <c r="A720" s="7" t="s">
        <v>798</v>
      </c>
      <c r="B720" s="8">
        <v>44643</v>
      </c>
      <c r="C720" s="15" t="s">
        <v>4</v>
      </c>
      <c r="D720" s="10" t="s">
        <v>223</v>
      </c>
      <c r="E720">
        <v>4</v>
      </c>
      <c r="F720">
        <v>55000</v>
      </c>
      <c r="G720">
        <v>65000</v>
      </c>
      <c r="H720">
        <v>5</v>
      </c>
      <c r="I720">
        <v>65000</v>
      </c>
      <c r="J720" s="10" t="s">
        <v>279</v>
      </c>
      <c r="K720" s="10">
        <v>65000</v>
      </c>
      <c r="L720" s="10">
        <v>260000</v>
      </c>
      <c r="M720" s="12" t="s">
        <v>260</v>
      </c>
    </row>
    <row r="721" spans="1:13" ht="16.8" x14ac:dyDescent="0.3">
      <c r="A721" s="7" t="s">
        <v>799</v>
      </c>
      <c r="B721" s="8">
        <v>44810</v>
      </c>
      <c r="C721" s="15" t="s">
        <v>273</v>
      </c>
      <c r="D721" s="10" t="s">
        <v>223</v>
      </c>
      <c r="E721">
        <v>4</v>
      </c>
      <c r="F721">
        <v>55000</v>
      </c>
      <c r="G721">
        <v>65000</v>
      </c>
      <c r="H721">
        <v>15</v>
      </c>
      <c r="I721">
        <v>46750</v>
      </c>
      <c r="J721" s="10" t="s">
        <v>278</v>
      </c>
      <c r="K721" s="10">
        <v>46750</v>
      </c>
      <c r="L721" s="10">
        <v>187000</v>
      </c>
      <c r="M721" s="12" t="s">
        <v>228</v>
      </c>
    </row>
    <row r="722" spans="1:13" ht="16.8" x14ac:dyDescent="0.3">
      <c r="A722" s="7" t="s">
        <v>800</v>
      </c>
      <c r="B722" s="8">
        <v>44490</v>
      </c>
      <c r="C722" s="15" t="s">
        <v>270</v>
      </c>
      <c r="D722" s="10" t="s">
        <v>223</v>
      </c>
      <c r="E722">
        <v>5</v>
      </c>
      <c r="F722">
        <v>65000</v>
      </c>
      <c r="G722">
        <v>69000</v>
      </c>
      <c r="H722">
        <v>8</v>
      </c>
      <c r="I722">
        <v>69000</v>
      </c>
      <c r="J722" s="10" t="s">
        <v>279</v>
      </c>
      <c r="K722" s="10">
        <v>69000</v>
      </c>
      <c r="L722" s="10">
        <v>345000</v>
      </c>
      <c r="M722" s="12" t="s">
        <v>253</v>
      </c>
    </row>
    <row r="723" spans="1:13" ht="16.8" x14ac:dyDescent="0.3">
      <c r="A723" s="7" t="s">
        <v>801</v>
      </c>
      <c r="B723" s="8">
        <v>44210</v>
      </c>
      <c r="C723" s="15" t="s">
        <v>271</v>
      </c>
      <c r="D723" s="10" t="s">
        <v>223</v>
      </c>
      <c r="E723">
        <v>4</v>
      </c>
      <c r="F723">
        <v>49000</v>
      </c>
      <c r="G723">
        <v>49000</v>
      </c>
      <c r="H723">
        <v>12</v>
      </c>
      <c r="I723">
        <v>43120</v>
      </c>
      <c r="J723" s="10" t="s">
        <v>278</v>
      </c>
      <c r="K723" s="10">
        <v>43120</v>
      </c>
      <c r="L723" s="10">
        <v>172480</v>
      </c>
      <c r="M723" s="12" t="s">
        <v>20</v>
      </c>
    </row>
    <row r="724" spans="1:13" ht="16.8" x14ac:dyDescent="0.3">
      <c r="A724" s="7" t="s">
        <v>802</v>
      </c>
      <c r="B724" s="8">
        <v>45241</v>
      </c>
      <c r="C724" s="15" t="s">
        <v>5</v>
      </c>
      <c r="D724" s="10" t="s">
        <v>223</v>
      </c>
      <c r="E724">
        <v>5</v>
      </c>
      <c r="F724">
        <v>35000</v>
      </c>
      <c r="G724">
        <v>35000</v>
      </c>
      <c r="H724">
        <v>11</v>
      </c>
      <c r="I724">
        <v>35000</v>
      </c>
      <c r="J724" s="10" t="s">
        <v>279</v>
      </c>
      <c r="K724" s="10">
        <v>35000</v>
      </c>
      <c r="L724" s="10">
        <v>175000</v>
      </c>
      <c r="M724" s="12" t="s">
        <v>241</v>
      </c>
    </row>
    <row r="725" spans="1:13" ht="16.8" x14ac:dyDescent="0.3">
      <c r="A725" s="7" t="s">
        <v>803</v>
      </c>
      <c r="B725" s="8">
        <v>44449</v>
      </c>
      <c r="C725" s="15" t="s">
        <v>4</v>
      </c>
      <c r="D725" s="10" t="s">
        <v>224</v>
      </c>
      <c r="E725">
        <v>1</v>
      </c>
      <c r="F725">
        <v>39000</v>
      </c>
      <c r="G725">
        <v>65000</v>
      </c>
      <c r="H725">
        <v>12</v>
      </c>
      <c r="I725">
        <v>34320</v>
      </c>
      <c r="J725" s="10" t="s">
        <v>278</v>
      </c>
      <c r="K725" s="10">
        <v>34320</v>
      </c>
      <c r="L725" s="10">
        <v>34320</v>
      </c>
      <c r="M725" s="12" t="s">
        <v>250</v>
      </c>
    </row>
    <row r="726" spans="1:13" ht="16.8" x14ac:dyDescent="0.3">
      <c r="A726" s="7" t="s">
        <v>804</v>
      </c>
      <c r="B726" s="8">
        <v>44365</v>
      </c>
      <c r="C726" s="15" t="s">
        <v>4</v>
      </c>
      <c r="D726" s="10" t="s">
        <v>224</v>
      </c>
      <c r="E726">
        <v>5</v>
      </c>
      <c r="F726">
        <v>65000</v>
      </c>
      <c r="G726">
        <v>65000</v>
      </c>
      <c r="H726">
        <v>15</v>
      </c>
      <c r="I726">
        <v>65000</v>
      </c>
      <c r="J726" s="10" t="s">
        <v>279</v>
      </c>
      <c r="K726" s="10">
        <v>65000</v>
      </c>
      <c r="L726" s="10">
        <v>325000</v>
      </c>
      <c r="M726" s="12" t="s">
        <v>246</v>
      </c>
    </row>
    <row r="727" spans="1:13" ht="16.8" x14ac:dyDescent="0.3">
      <c r="A727" s="7" t="s">
        <v>805</v>
      </c>
      <c r="B727" s="8">
        <v>44204</v>
      </c>
      <c r="C727" s="15" t="s">
        <v>3</v>
      </c>
      <c r="D727" s="10" t="s">
        <v>224</v>
      </c>
      <c r="E727">
        <v>3</v>
      </c>
      <c r="F727">
        <v>49000</v>
      </c>
      <c r="G727">
        <v>65000</v>
      </c>
      <c r="H727">
        <v>14</v>
      </c>
      <c r="I727">
        <v>42140</v>
      </c>
      <c r="J727" s="10" t="s">
        <v>278</v>
      </c>
      <c r="K727" s="10">
        <v>42140</v>
      </c>
      <c r="L727" s="10">
        <v>126420</v>
      </c>
      <c r="M727" s="12" t="s">
        <v>21</v>
      </c>
    </row>
    <row r="728" spans="1:13" ht="16.8" x14ac:dyDescent="0.3">
      <c r="A728" s="7" t="s">
        <v>806</v>
      </c>
      <c r="B728" s="8">
        <v>45283</v>
      </c>
      <c r="C728" s="15" t="s">
        <v>5</v>
      </c>
      <c r="D728" s="10" t="s">
        <v>222</v>
      </c>
      <c r="E728">
        <v>3</v>
      </c>
      <c r="F728">
        <v>55000</v>
      </c>
      <c r="G728">
        <v>65000</v>
      </c>
      <c r="H728">
        <v>7</v>
      </c>
      <c r="I728">
        <v>65000</v>
      </c>
      <c r="J728" s="10" t="s">
        <v>279</v>
      </c>
      <c r="K728" s="10">
        <v>65000</v>
      </c>
      <c r="L728" s="10">
        <v>195000</v>
      </c>
      <c r="M728" s="12" t="s">
        <v>248</v>
      </c>
    </row>
    <row r="729" spans="1:13" ht="16.8" x14ac:dyDescent="0.3">
      <c r="A729" s="7" t="s">
        <v>807</v>
      </c>
      <c r="B729" s="8">
        <v>44842</v>
      </c>
      <c r="C729" s="15" t="s">
        <v>272</v>
      </c>
      <c r="D729" s="10" t="s">
        <v>224</v>
      </c>
      <c r="E729">
        <v>2</v>
      </c>
      <c r="F729">
        <v>69000</v>
      </c>
      <c r="G729">
        <v>29000</v>
      </c>
      <c r="H729">
        <v>10</v>
      </c>
      <c r="I729">
        <v>62100</v>
      </c>
      <c r="J729" s="10" t="s">
        <v>278</v>
      </c>
      <c r="K729" s="10">
        <v>62100</v>
      </c>
      <c r="L729" s="10">
        <v>124200</v>
      </c>
      <c r="M729" s="12" t="s">
        <v>225</v>
      </c>
    </row>
    <row r="730" spans="1:13" ht="16.8" x14ac:dyDescent="0.3">
      <c r="A730" s="7" t="s">
        <v>808</v>
      </c>
      <c r="B730" s="8">
        <v>44774</v>
      </c>
      <c r="C730" s="15" t="s">
        <v>6</v>
      </c>
      <c r="D730" s="10" t="s">
        <v>222</v>
      </c>
      <c r="E730">
        <v>4</v>
      </c>
      <c r="F730">
        <v>65000</v>
      </c>
      <c r="G730">
        <v>59000</v>
      </c>
      <c r="H730">
        <v>15</v>
      </c>
      <c r="I730">
        <v>55250</v>
      </c>
      <c r="J730" s="10" t="s">
        <v>278</v>
      </c>
      <c r="K730" s="10">
        <v>55250</v>
      </c>
      <c r="L730" s="10">
        <v>221000</v>
      </c>
      <c r="M730" s="12" t="s">
        <v>261</v>
      </c>
    </row>
    <row r="731" spans="1:13" ht="16.8" x14ac:dyDescent="0.3">
      <c r="A731" s="7" t="s">
        <v>809</v>
      </c>
      <c r="B731" s="8">
        <v>44984</v>
      </c>
      <c r="C731" s="15" t="s">
        <v>271</v>
      </c>
      <c r="D731" s="10" t="s">
        <v>224</v>
      </c>
      <c r="E731">
        <v>5</v>
      </c>
      <c r="F731">
        <v>45000</v>
      </c>
      <c r="G731">
        <v>45000</v>
      </c>
      <c r="H731">
        <v>6</v>
      </c>
      <c r="I731">
        <v>42300</v>
      </c>
      <c r="J731" s="10" t="s">
        <v>278</v>
      </c>
      <c r="K731" s="10">
        <v>42300</v>
      </c>
      <c r="L731" s="10">
        <v>211500</v>
      </c>
      <c r="M731" s="12" t="s">
        <v>16</v>
      </c>
    </row>
    <row r="732" spans="1:13" ht="16.8" x14ac:dyDescent="0.3">
      <c r="A732" s="7" t="s">
        <v>810</v>
      </c>
      <c r="B732" s="8">
        <v>44301</v>
      </c>
      <c r="C732" s="15" t="s">
        <v>273</v>
      </c>
      <c r="D732" s="10" t="s">
        <v>223</v>
      </c>
      <c r="E732">
        <v>5</v>
      </c>
      <c r="F732">
        <v>49000</v>
      </c>
      <c r="G732">
        <v>59000</v>
      </c>
      <c r="H732">
        <v>6</v>
      </c>
      <c r="I732">
        <v>59000</v>
      </c>
      <c r="J732" s="10" t="s">
        <v>279</v>
      </c>
      <c r="K732" s="10">
        <v>59000</v>
      </c>
      <c r="L732" s="10">
        <v>295000</v>
      </c>
      <c r="M732" s="12" t="s">
        <v>13</v>
      </c>
    </row>
    <row r="733" spans="1:13" ht="16.8" x14ac:dyDescent="0.3">
      <c r="A733" s="7" t="s">
        <v>811</v>
      </c>
      <c r="B733" s="8">
        <v>45016</v>
      </c>
      <c r="C733" s="15" t="s">
        <v>274</v>
      </c>
      <c r="D733" s="10" t="s">
        <v>223</v>
      </c>
      <c r="E733">
        <v>5</v>
      </c>
      <c r="F733">
        <v>75000</v>
      </c>
      <c r="G733">
        <v>59000</v>
      </c>
      <c r="H733">
        <v>13</v>
      </c>
      <c r="I733">
        <v>65250</v>
      </c>
      <c r="J733" s="10" t="s">
        <v>278</v>
      </c>
      <c r="K733" s="10">
        <v>65250</v>
      </c>
      <c r="L733" s="10">
        <v>326250</v>
      </c>
      <c r="M733" s="12" t="s">
        <v>10</v>
      </c>
    </row>
    <row r="734" spans="1:13" ht="16.8" x14ac:dyDescent="0.3">
      <c r="A734" s="7" t="s">
        <v>812</v>
      </c>
      <c r="B734" s="8">
        <v>44740</v>
      </c>
      <c r="C734" s="15" t="s">
        <v>271</v>
      </c>
      <c r="D734" s="10" t="s">
        <v>222</v>
      </c>
      <c r="E734">
        <v>1</v>
      </c>
      <c r="F734">
        <v>65000</v>
      </c>
      <c r="G734">
        <v>69000</v>
      </c>
      <c r="H734">
        <v>13</v>
      </c>
      <c r="I734">
        <v>56550</v>
      </c>
      <c r="J734" s="10" t="s">
        <v>278</v>
      </c>
      <c r="K734" s="10">
        <v>56550</v>
      </c>
      <c r="L734" s="10">
        <v>56550</v>
      </c>
      <c r="M734" s="12" t="s">
        <v>18</v>
      </c>
    </row>
    <row r="735" spans="1:13" ht="16.8" x14ac:dyDescent="0.3">
      <c r="A735" s="7" t="s">
        <v>813</v>
      </c>
      <c r="B735" s="8">
        <v>44530</v>
      </c>
      <c r="C735" s="15" t="s">
        <v>274</v>
      </c>
      <c r="D735" s="10" t="s">
        <v>222</v>
      </c>
      <c r="E735">
        <v>4</v>
      </c>
      <c r="F735">
        <v>59000</v>
      </c>
      <c r="G735">
        <v>55000</v>
      </c>
      <c r="H735">
        <v>12</v>
      </c>
      <c r="I735">
        <v>51920</v>
      </c>
      <c r="J735" s="10" t="s">
        <v>278</v>
      </c>
      <c r="K735" s="10">
        <v>51920</v>
      </c>
      <c r="L735" s="10">
        <v>207680</v>
      </c>
      <c r="M735" s="12" t="s">
        <v>230</v>
      </c>
    </row>
    <row r="736" spans="1:13" ht="16.8" x14ac:dyDescent="0.3">
      <c r="A736" s="7" t="s">
        <v>814</v>
      </c>
      <c r="B736" s="8">
        <v>45074</v>
      </c>
      <c r="C736" s="15" t="s">
        <v>272</v>
      </c>
      <c r="D736" s="10" t="s">
        <v>223</v>
      </c>
      <c r="E736">
        <v>1</v>
      </c>
      <c r="F736">
        <v>39000</v>
      </c>
      <c r="G736">
        <v>35000</v>
      </c>
      <c r="H736">
        <v>8</v>
      </c>
      <c r="I736">
        <v>35000</v>
      </c>
      <c r="J736" s="10" t="s">
        <v>279</v>
      </c>
      <c r="K736" s="10">
        <v>35000</v>
      </c>
      <c r="L736" s="10">
        <v>35000</v>
      </c>
      <c r="M736" s="12" t="s">
        <v>13</v>
      </c>
    </row>
    <row r="737" spans="1:13" ht="16.8" x14ac:dyDescent="0.3">
      <c r="A737" s="7" t="s">
        <v>815</v>
      </c>
      <c r="B737" s="8">
        <v>45239</v>
      </c>
      <c r="C737" s="15" t="s">
        <v>6</v>
      </c>
      <c r="D737" s="10" t="s">
        <v>224</v>
      </c>
      <c r="E737">
        <v>2</v>
      </c>
      <c r="F737">
        <v>35000</v>
      </c>
      <c r="G737">
        <v>49000</v>
      </c>
      <c r="H737">
        <v>13</v>
      </c>
      <c r="I737">
        <v>30450</v>
      </c>
      <c r="J737" s="10" t="s">
        <v>278</v>
      </c>
      <c r="K737" s="10">
        <v>30450</v>
      </c>
      <c r="L737" s="10">
        <v>60900</v>
      </c>
      <c r="M737" s="12" t="s">
        <v>12</v>
      </c>
    </row>
    <row r="738" spans="1:13" ht="16.8" x14ac:dyDescent="0.3">
      <c r="A738" s="7" t="s">
        <v>816</v>
      </c>
      <c r="B738" s="8">
        <v>44745</v>
      </c>
      <c r="C738" s="15" t="s">
        <v>273</v>
      </c>
      <c r="D738" s="10" t="s">
        <v>224</v>
      </c>
      <c r="E738">
        <v>4</v>
      </c>
      <c r="F738">
        <v>65000</v>
      </c>
      <c r="G738">
        <v>65000</v>
      </c>
      <c r="H738">
        <v>12</v>
      </c>
      <c r="I738">
        <v>57200</v>
      </c>
      <c r="J738" s="10" t="s">
        <v>278</v>
      </c>
      <c r="K738" s="10">
        <v>57200</v>
      </c>
      <c r="L738" s="10">
        <v>228800</v>
      </c>
      <c r="M738" s="12" t="s">
        <v>254</v>
      </c>
    </row>
    <row r="739" spans="1:13" ht="16.8" x14ac:dyDescent="0.3">
      <c r="A739" s="7" t="s">
        <v>817</v>
      </c>
      <c r="B739" s="8">
        <v>45111</v>
      </c>
      <c r="C739" s="15" t="s">
        <v>5</v>
      </c>
      <c r="D739" s="10" t="s">
        <v>222</v>
      </c>
      <c r="E739">
        <v>5</v>
      </c>
      <c r="F739">
        <v>59000</v>
      </c>
      <c r="G739">
        <v>59000</v>
      </c>
      <c r="H739">
        <v>7</v>
      </c>
      <c r="I739">
        <v>54869.999999999993</v>
      </c>
      <c r="J739" s="10" t="s">
        <v>278</v>
      </c>
      <c r="K739" s="10">
        <v>54869.999999999993</v>
      </c>
      <c r="L739" s="10">
        <v>274349.99999999994</v>
      </c>
      <c r="M739" s="12" t="s">
        <v>250</v>
      </c>
    </row>
    <row r="740" spans="1:13" ht="16.8" x14ac:dyDescent="0.3">
      <c r="A740" s="7" t="s">
        <v>818</v>
      </c>
      <c r="B740" s="8">
        <v>45107</v>
      </c>
      <c r="C740" s="15" t="s">
        <v>272</v>
      </c>
      <c r="D740" s="10" t="s">
        <v>222</v>
      </c>
      <c r="E740">
        <v>5</v>
      </c>
      <c r="F740">
        <v>35000</v>
      </c>
      <c r="G740">
        <v>29000</v>
      </c>
      <c r="H740">
        <v>7</v>
      </c>
      <c r="I740">
        <v>29000</v>
      </c>
      <c r="J740" s="10" t="s">
        <v>279</v>
      </c>
      <c r="K740" s="10">
        <v>29000</v>
      </c>
      <c r="L740" s="10">
        <v>145000</v>
      </c>
      <c r="M740" s="12" t="s">
        <v>12</v>
      </c>
    </row>
    <row r="741" spans="1:13" ht="16.8" x14ac:dyDescent="0.3">
      <c r="A741" s="7" t="s">
        <v>819</v>
      </c>
      <c r="B741" s="8">
        <v>44423</v>
      </c>
      <c r="C741" s="15" t="s">
        <v>275</v>
      </c>
      <c r="D741" s="10" t="s">
        <v>223</v>
      </c>
      <c r="E741">
        <v>4</v>
      </c>
      <c r="F741">
        <v>59000</v>
      </c>
      <c r="G741">
        <v>65000</v>
      </c>
      <c r="H741">
        <v>12</v>
      </c>
      <c r="I741">
        <v>65000</v>
      </c>
      <c r="J741" s="10" t="s">
        <v>279</v>
      </c>
      <c r="K741" s="10">
        <v>65000</v>
      </c>
      <c r="L741" s="10">
        <v>260000</v>
      </c>
      <c r="M741" s="12" t="s">
        <v>11</v>
      </c>
    </row>
    <row r="742" spans="1:13" ht="16.8" x14ac:dyDescent="0.3">
      <c r="A742" s="7" t="s">
        <v>820</v>
      </c>
      <c r="B742" s="8">
        <v>44728</v>
      </c>
      <c r="C742" s="15" t="s">
        <v>5</v>
      </c>
      <c r="D742" s="10" t="s">
        <v>222</v>
      </c>
      <c r="E742">
        <v>5</v>
      </c>
      <c r="F742">
        <v>49000</v>
      </c>
      <c r="G742">
        <v>69000</v>
      </c>
      <c r="H742">
        <v>5</v>
      </c>
      <c r="I742">
        <v>46550</v>
      </c>
      <c r="J742" s="10" t="s">
        <v>278</v>
      </c>
      <c r="K742" s="10">
        <v>46550</v>
      </c>
      <c r="L742" s="10">
        <v>232750</v>
      </c>
      <c r="M742" s="12" t="s">
        <v>250</v>
      </c>
    </row>
    <row r="743" spans="1:13" ht="16.8" x14ac:dyDescent="0.3">
      <c r="A743" s="7" t="s">
        <v>821</v>
      </c>
      <c r="B743" s="8">
        <v>44827</v>
      </c>
      <c r="C743" s="15" t="s">
        <v>272</v>
      </c>
      <c r="D743" s="10" t="s">
        <v>223</v>
      </c>
      <c r="E743">
        <v>2</v>
      </c>
      <c r="F743">
        <v>59000</v>
      </c>
      <c r="G743">
        <v>75000</v>
      </c>
      <c r="H743">
        <v>5</v>
      </c>
      <c r="I743">
        <v>56050</v>
      </c>
      <c r="J743" s="10" t="s">
        <v>278</v>
      </c>
      <c r="K743" s="10">
        <v>56050</v>
      </c>
      <c r="L743" s="10">
        <v>112100</v>
      </c>
      <c r="M743" s="12" t="s">
        <v>227</v>
      </c>
    </row>
    <row r="744" spans="1:13" ht="16.8" x14ac:dyDescent="0.3">
      <c r="A744" s="7" t="s">
        <v>822</v>
      </c>
      <c r="B744" s="8">
        <v>44961</v>
      </c>
      <c r="C744" s="15" t="s">
        <v>3</v>
      </c>
      <c r="D744" s="10" t="s">
        <v>223</v>
      </c>
      <c r="E744">
        <v>2</v>
      </c>
      <c r="F744">
        <v>59000</v>
      </c>
      <c r="G744">
        <v>29000</v>
      </c>
      <c r="H744">
        <v>5</v>
      </c>
      <c r="I744">
        <v>29000</v>
      </c>
      <c r="J744" s="10" t="s">
        <v>279</v>
      </c>
      <c r="K744" s="10">
        <v>29000</v>
      </c>
      <c r="L744" s="10">
        <v>58000</v>
      </c>
      <c r="M744" s="12" t="s">
        <v>226</v>
      </c>
    </row>
    <row r="745" spans="1:13" ht="16.8" x14ac:dyDescent="0.3">
      <c r="A745" s="7" t="s">
        <v>823</v>
      </c>
      <c r="B745" s="8">
        <v>44233</v>
      </c>
      <c r="C745" s="15" t="s">
        <v>6</v>
      </c>
      <c r="D745" s="10" t="s">
        <v>224</v>
      </c>
      <c r="E745">
        <v>1</v>
      </c>
      <c r="F745">
        <v>69000</v>
      </c>
      <c r="G745">
        <v>59000</v>
      </c>
      <c r="H745">
        <v>11</v>
      </c>
      <c r="I745">
        <v>59000</v>
      </c>
      <c r="J745" s="10" t="s">
        <v>279</v>
      </c>
      <c r="K745" s="10">
        <v>59000</v>
      </c>
      <c r="L745" s="10">
        <v>59000</v>
      </c>
      <c r="M745" s="12" t="s">
        <v>238</v>
      </c>
    </row>
    <row r="746" spans="1:13" ht="16.8" x14ac:dyDescent="0.3">
      <c r="A746" s="7" t="s">
        <v>824</v>
      </c>
      <c r="B746" s="8">
        <v>44350</v>
      </c>
      <c r="C746" s="15" t="s">
        <v>6</v>
      </c>
      <c r="D746" s="10" t="s">
        <v>223</v>
      </c>
      <c r="E746">
        <v>4</v>
      </c>
      <c r="F746">
        <v>59000</v>
      </c>
      <c r="G746">
        <v>65000</v>
      </c>
      <c r="H746">
        <v>10</v>
      </c>
      <c r="I746">
        <v>53100</v>
      </c>
      <c r="J746" s="10" t="s">
        <v>278</v>
      </c>
      <c r="K746" s="10">
        <v>53100</v>
      </c>
      <c r="L746" s="10">
        <v>212400</v>
      </c>
      <c r="M746" s="12" t="s">
        <v>227</v>
      </c>
    </row>
    <row r="747" spans="1:13" ht="16.8" x14ac:dyDescent="0.3">
      <c r="A747" s="7" t="s">
        <v>825</v>
      </c>
      <c r="B747" s="8">
        <v>45033</v>
      </c>
      <c r="C747" s="15" t="s">
        <v>3</v>
      </c>
      <c r="D747" s="10" t="s">
        <v>223</v>
      </c>
      <c r="E747">
        <v>3</v>
      </c>
      <c r="F747">
        <v>39000</v>
      </c>
      <c r="G747">
        <v>49000</v>
      </c>
      <c r="H747">
        <v>11</v>
      </c>
      <c r="I747">
        <v>49000</v>
      </c>
      <c r="J747" s="10" t="s">
        <v>279</v>
      </c>
      <c r="K747" s="10">
        <v>49000</v>
      </c>
      <c r="L747" s="10">
        <v>147000</v>
      </c>
      <c r="M747" s="12" t="s">
        <v>231</v>
      </c>
    </row>
    <row r="748" spans="1:13" ht="16.8" x14ac:dyDescent="0.3">
      <c r="A748" s="7" t="s">
        <v>826</v>
      </c>
      <c r="B748" s="8">
        <v>44831</v>
      </c>
      <c r="C748" s="15" t="s">
        <v>6</v>
      </c>
      <c r="D748" s="10" t="s">
        <v>222</v>
      </c>
      <c r="E748">
        <v>1</v>
      </c>
      <c r="F748">
        <v>49000</v>
      </c>
      <c r="G748">
        <v>59000</v>
      </c>
      <c r="H748">
        <v>11</v>
      </c>
      <c r="I748">
        <v>43610</v>
      </c>
      <c r="J748" s="10" t="s">
        <v>278</v>
      </c>
      <c r="K748" s="10">
        <v>43610</v>
      </c>
      <c r="L748" s="10">
        <v>43610</v>
      </c>
      <c r="M748" s="12" t="s">
        <v>239</v>
      </c>
    </row>
    <row r="749" spans="1:13" ht="16.8" x14ac:dyDescent="0.3">
      <c r="A749" s="7" t="s">
        <v>827</v>
      </c>
      <c r="B749" s="8">
        <v>44372</v>
      </c>
      <c r="C749" s="15" t="s">
        <v>272</v>
      </c>
      <c r="D749" s="10" t="s">
        <v>223</v>
      </c>
      <c r="E749">
        <v>2</v>
      </c>
      <c r="F749">
        <v>65000</v>
      </c>
      <c r="G749">
        <v>65000</v>
      </c>
      <c r="H749">
        <v>5</v>
      </c>
      <c r="I749">
        <v>65000</v>
      </c>
      <c r="J749" s="10" t="s">
        <v>279</v>
      </c>
      <c r="K749" s="10">
        <v>65000</v>
      </c>
      <c r="L749" s="10">
        <v>130000</v>
      </c>
      <c r="M749" s="12" t="s">
        <v>243</v>
      </c>
    </row>
    <row r="750" spans="1:13" ht="16.8" x14ac:dyDescent="0.3">
      <c r="A750" s="7" t="s">
        <v>828</v>
      </c>
      <c r="B750" s="8">
        <v>45119</v>
      </c>
      <c r="C750" s="15" t="s">
        <v>5</v>
      </c>
      <c r="D750" s="10" t="s">
        <v>222</v>
      </c>
      <c r="E750">
        <v>1</v>
      </c>
      <c r="F750">
        <v>69000</v>
      </c>
      <c r="G750">
        <v>49000</v>
      </c>
      <c r="H750">
        <v>15</v>
      </c>
      <c r="I750">
        <v>58650</v>
      </c>
      <c r="J750" s="10" t="s">
        <v>278</v>
      </c>
      <c r="K750" s="10">
        <v>58650</v>
      </c>
      <c r="L750" s="10">
        <v>58650</v>
      </c>
      <c r="M750" s="12" t="s">
        <v>231</v>
      </c>
    </row>
    <row r="751" spans="1:13" ht="16.8" x14ac:dyDescent="0.3">
      <c r="A751" s="7" t="s">
        <v>829</v>
      </c>
      <c r="B751" s="8">
        <v>44695</v>
      </c>
      <c r="C751" s="15" t="s">
        <v>5</v>
      </c>
      <c r="D751" s="10" t="s">
        <v>222</v>
      </c>
      <c r="E751">
        <v>3</v>
      </c>
      <c r="F751">
        <v>39000</v>
      </c>
      <c r="G751">
        <v>65000</v>
      </c>
      <c r="H751">
        <v>13</v>
      </c>
      <c r="I751">
        <v>65000</v>
      </c>
      <c r="J751" s="10" t="s">
        <v>279</v>
      </c>
      <c r="K751" s="10">
        <v>65000</v>
      </c>
      <c r="L751" s="10">
        <v>195000</v>
      </c>
      <c r="M751" s="12" t="s">
        <v>239</v>
      </c>
    </row>
    <row r="752" spans="1:13" ht="16.8" x14ac:dyDescent="0.3">
      <c r="A752" s="7" t="s">
        <v>830</v>
      </c>
      <c r="B752" s="8">
        <v>44644</v>
      </c>
      <c r="C752" s="15" t="s">
        <v>272</v>
      </c>
      <c r="D752" s="10" t="s">
        <v>223</v>
      </c>
      <c r="E752">
        <v>1</v>
      </c>
      <c r="F752">
        <v>49000</v>
      </c>
      <c r="G752">
        <v>55000</v>
      </c>
      <c r="H752">
        <v>10</v>
      </c>
      <c r="I752">
        <v>55000</v>
      </c>
      <c r="J752" s="10" t="s">
        <v>279</v>
      </c>
      <c r="K752" s="10">
        <v>55000</v>
      </c>
      <c r="L752" s="10">
        <v>55000</v>
      </c>
      <c r="M752" s="12" t="s">
        <v>228</v>
      </c>
    </row>
    <row r="753" spans="1:13" ht="16.8" x14ac:dyDescent="0.3">
      <c r="A753" s="7" t="s">
        <v>831</v>
      </c>
      <c r="B753" s="8">
        <v>45061</v>
      </c>
      <c r="C753" s="15" t="s">
        <v>274</v>
      </c>
      <c r="D753" s="10" t="s">
        <v>223</v>
      </c>
      <c r="E753">
        <v>4</v>
      </c>
      <c r="F753">
        <v>65000</v>
      </c>
      <c r="G753">
        <v>39000</v>
      </c>
      <c r="H753">
        <v>6</v>
      </c>
      <c r="I753">
        <v>61100</v>
      </c>
      <c r="J753" s="10" t="s">
        <v>278</v>
      </c>
      <c r="K753" s="10">
        <v>61100</v>
      </c>
      <c r="L753" s="10">
        <v>244400</v>
      </c>
      <c r="M753" s="12" t="s">
        <v>17</v>
      </c>
    </row>
    <row r="754" spans="1:13" ht="16.8" x14ac:dyDescent="0.3">
      <c r="A754" s="7" t="s">
        <v>832</v>
      </c>
      <c r="B754" s="8">
        <v>44249</v>
      </c>
      <c r="C754" s="15" t="s">
        <v>274</v>
      </c>
      <c r="D754" s="10" t="s">
        <v>224</v>
      </c>
      <c r="E754">
        <v>5</v>
      </c>
      <c r="F754">
        <v>65000</v>
      </c>
      <c r="G754">
        <v>49000</v>
      </c>
      <c r="H754">
        <v>10</v>
      </c>
      <c r="I754">
        <v>58500</v>
      </c>
      <c r="J754" s="10" t="s">
        <v>278</v>
      </c>
      <c r="K754" s="10">
        <v>58500</v>
      </c>
      <c r="L754" s="10">
        <v>292500</v>
      </c>
      <c r="M754" s="12" t="s">
        <v>243</v>
      </c>
    </row>
    <row r="755" spans="1:13" ht="16.8" x14ac:dyDescent="0.3">
      <c r="A755" s="7" t="s">
        <v>833</v>
      </c>
      <c r="B755" s="8">
        <v>44271</v>
      </c>
      <c r="C755" s="15" t="s">
        <v>273</v>
      </c>
      <c r="D755" s="10" t="s">
        <v>223</v>
      </c>
      <c r="E755">
        <v>1</v>
      </c>
      <c r="F755">
        <v>59000</v>
      </c>
      <c r="G755">
        <v>69000</v>
      </c>
      <c r="H755">
        <v>5</v>
      </c>
      <c r="I755">
        <v>69000</v>
      </c>
      <c r="J755" s="10" t="s">
        <v>279</v>
      </c>
      <c r="K755" s="10">
        <v>69000</v>
      </c>
      <c r="L755" s="10">
        <v>69000</v>
      </c>
      <c r="M755" s="12" t="s">
        <v>234</v>
      </c>
    </row>
    <row r="756" spans="1:13" ht="16.8" x14ac:dyDescent="0.3">
      <c r="A756" s="7" t="s">
        <v>834</v>
      </c>
      <c r="B756" s="8">
        <v>45149</v>
      </c>
      <c r="C756" s="15" t="s">
        <v>4</v>
      </c>
      <c r="D756" s="10" t="s">
        <v>224</v>
      </c>
      <c r="E756">
        <v>2</v>
      </c>
      <c r="F756">
        <v>69000</v>
      </c>
      <c r="G756">
        <v>69000</v>
      </c>
      <c r="H756">
        <v>10</v>
      </c>
      <c r="I756">
        <v>62100</v>
      </c>
      <c r="J756" s="10" t="s">
        <v>278</v>
      </c>
      <c r="K756" s="10">
        <v>62100</v>
      </c>
      <c r="L756" s="10">
        <v>124200</v>
      </c>
      <c r="M756" s="12" t="s">
        <v>12</v>
      </c>
    </row>
    <row r="757" spans="1:13" ht="16.8" x14ac:dyDescent="0.3">
      <c r="A757" s="7" t="s">
        <v>835</v>
      </c>
      <c r="B757" s="8">
        <v>44256</v>
      </c>
      <c r="C757" s="15" t="s">
        <v>6</v>
      </c>
      <c r="D757" s="10" t="s">
        <v>224</v>
      </c>
      <c r="E757">
        <v>4</v>
      </c>
      <c r="F757">
        <v>59000</v>
      </c>
      <c r="G757">
        <v>29000</v>
      </c>
      <c r="H757">
        <v>14</v>
      </c>
      <c r="I757">
        <v>50740</v>
      </c>
      <c r="J757" s="10" t="s">
        <v>278</v>
      </c>
      <c r="K757" s="10">
        <v>50740</v>
      </c>
      <c r="L757" s="10">
        <v>202960</v>
      </c>
      <c r="M757" s="12" t="s">
        <v>15</v>
      </c>
    </row>
    <row r="758" spans="1:13" ht="16.8" x14ac:dyDescent="0.3">
      <c r="A758" s="7" t="s">
        <v>836</v>
      </c>
      <c r="B758" s="8">
        <v>44536</v>
      </c>
      <c r="C758" s="15" t="s">
        <v>3</v>
      </c>
      <c r="D758" s="10" t="s">
        <v>224</v>
      </c>
      <c r="E758">
        <v>1</v>
      </c>
      <c r="F758">
        <v>49000</v>
      </c>
      <c r="G758">
        <v>39000</v>
      </c>
      <c r="H758">
        <v>10</v>
      </c>
      <c r="I758">
        <v>44100</v>
      </c>
      <c r="J758" s="10" t="s">
        <v>278</v>
      </c>
      <c r="K758" s="10">
        <v>44100</v>
      </c>
      <c r="L758" s="10">
        <v>44100</v>
      </c>
      <c r="M758" s="12" t="s">
        <v>18</v>
      </c>
    </row>
    <row r="759" spans="1:13" ht="16.8" x14ac:dyDescent="0.3">
      <c r="A759" s="7" t="s">
        <v>837</v>
      </c>
      <c r="B759" s="8">
        <v>44511</v>
      </c>
      <c r="C759" s="15" t="s">
        <v>4</v>
      </c>
      <c r="D759" s="10" t="s">
        <v>222</v>
      </c>
      <c r="E759">
        <v>3</v>
      </c>
      <c r="F759">
        <v>65000</v>
      </c>
      <c r="G759">
        <v>49000</v>
      </c>
      <c r="H759">
        <v>5</v>
      </c>
      <c r="I759">
        <v>61750</v>
      </c>
      <c r="J759" s="10" t="s">
        <v>278</v>
      </c>
      <c r="K759" s="10">
        <v>61750</v>
      </c>
      <c r="L759" s="10">
        <v>185250</v>
      </c>
      <c r="M759" s="12" t="s">
        <v>236</v>
      </c>
    </row>
    <row r="760" spans="1:13" ht="16.8" x14ac:dyDescent="0.3">
      <c r="A760" s="7" t="s">
        <v>838</v>
      </c>
      <c r="B760" s="8">
        <v>44820</v>
      </c>
      <c r="C760" s="15" t="s">
        <v>270</v>
      </c>
      <c r="D760" s="10" t="s">
        <v>222</v>
      </c>
      <c r="E760">
        <v>4</v>
      </c>
      <c r="F760">
        <v>49000</v>
      </c>
      <c r="G760">
        <v>49000</v>
      </c>
      <c r="H760">
        <v>9</v>
      </c>
      <c r="I760">
        <v>44590</v>
      </c>
      <c r="J760" s="10" t="s">
        <v>278</v>
      </c>
      <c r="K760" s="10">
        <v>44590</v>
      </c>
      <c r="L760" s="10">
        <v>178360</v>
      </c>
      <c r="M760" s="12" t="s">
        <v>225</v>
      </c>
    </row>
    <row r="761" spans="1:13" ht="16.8" x14ac:dyDescent="0.3">
      <c r="A761" s="7" t="s">
        <v>839</v>
      </c>
      <c r="B761" s="8">
        <v>44874</v>
      </c>
      <c r="C761" s="15" t="s">
        <v>271</v>
      </c>
      <c r="D761" s="10" t="s">
        <v>222</v>
      </c>
      <c r="E761">
        <v>1</v>
      </c>
      <c r="F761">
        <v>65000</v>
      </c>
      <c r="G761">
        <v>65000</v>
      </c>
      <c r="H761">
        <v>5</v>
      </c>
      <c r="I761">
        <v>65000</v>
      </c>
      <c r="J761" s="10" t="s">
        <v>279</v>
      </c>
      <c r="K761" s="10">
        <v>65000</v>
      </c>
      <c r="L761" s="10">
        <v>65000</v>
      </c>
      <c r="M761" s="12" t="s">
        <v>238</v>
      </c>
    </row>
    <row r="762" spans="1:13" ht="16.8" x14ac:dyDescent="0.3">
      <c r="A762" s="7" t="s">
        <v>840</v>
      </c>
      <c r="B762" s="8">
        <v>44871</v>
      </c>
      <c r="C762" s="15" t="s">
        <v>4</v>
      </c>
      <c r="D762" s="10" t="s">
        <v>223</v>
      </c>
      <c r="E762">
        <v>4</v>
      </c>
      <c r="F762">
        <v>49000</v>
      </c>
      <c r="G762">
        <v>69000</v>
      </c>
      <c r="H762">
        <v>13</v>
      </c>
      <c r="I762">
        <v>42630</v>
      </c>
      <c r="J762" s="10" t="s">
        <v>278</v>
      </c>
      <c r="K762" s="10">
        <v>42630</v>
      </c>
      <c r="L762" s="10">
        <v>170520</v>
      </c>
      <c r="M762" s="12" t="s">
        <v>21</v>
      </c>
    </row>
    <row r="763" spans="1:13" ht="16.8" x14ac:dyDescent="0.3">
      <c r="A763" s="7" t="s">
        <v>841</v>
      </c>
      <c r="B763" s="8">
        <v>44381</v>
      </c>
      <c r="C763" s="15" t="s">
        <v>4</v>
      </c>
      <c r="D763" s="10" t="s">
        <v>222</v>
      </c>
      <c r="E763">
        <v>5</v>
      </c>
      <c r="F763">
        <v>39000</v>
      </c>
      <c r="G763">
        <v>49000</v>
      </c>
      <c r="H763">
        <v>7</v>
      </c>
      <c r="I763">
        <v>49000</v>
      </c>
      <c r="J763" s="10" t="s">
        <v>279</v>
      </c>
      <c r="K763" s="10">
        <v>49000</v>
      </c>
      <c r="L763" s="10">
        <v>245000</v>
      </c>
      <c r="M763" s="12" t="s">
        <v>235</v>
      </c>
    </row>
    <row r="764" spans="1:13" ht="16.8" x14ac:dyDescent="0.3">
      <c r="A764" s="7" t="s">
        <v>842</v>
      </c>
      <c r="B764" s="8">
        <v>45290</v>
      </c>
      <c r="C764" s="15" t="s">
        <v>275</v>
      </c>
      <c r="D764" s="10" t="s">
        <v>222</v>
      </c>
      <c r="E764">
        <v>4</v>
      </c>
      <c r="F764">
        <v>49000</v>
      </c>
      <c r="G764">
        <v>49000</v>
      </c>
      <c r="H764">
        <v>14</v>
      </c>
      <c r="I764">
        <v>49000</v>
      </c>
      <c r="J764" s="10" t="s">
        <v>279</v>
      </c>
      <c r="K764" s="10">
        <v>49000</v>
      </c>
      <c r="L764" s="10">
        <v>196000</v>
      </c>
      <c r="M764" s="12" t="s">
        <v>227</v>
      </c>
    </row>
    <row r="765" spans="1:13" ht="16.8" x14ac:dyDescent="0.3">
      <c r="A765" s="7" t="s">
        <v>843</v>
      </c>
      <c r="B765" s="8">
        <v>44271</v>
      </c>
      <c r="C765" s="15" t="s">
        <v>272</v>
      </c>
      <c r="D765" s="10" t="s">
        <v>222</v>
      </c>
      <c r="E765">
        <v>2</v>
      </c>
      <c r="F765">
        <v>55000</v>
      </c>
      <c r="G765">
        <v>49000</v>
      </c>
      <c r="H765">
        <v>6</v>
      </c>
      <c r="I765">
        <v>51700</v>
      </c>
      <c r="J765" s="10" t="s">
        <v>278</v>
      </c>
      <c r="K765" s="10">
        <v>51700</v>
      </c>
      <c r="L765" s="10">
        <v>103400</v>
      </c>
      <c r="M765" s="12" t="s">
        <v>235</v>
      </c>
    </row>
    <row r="766" spans="1:13" ht="16.8" x14ac:dyDescent="0.3">
      <c r="A766" s="7" t="s">
        <v>844</v>
      </c>
      <c r="B766" s="8">
        <v>45021</v>
      </c>
      <c r="C766" s="15" t="s">
        <v>275</v>
      </c>
      <c r="D766" s="10" t="s">
        <v>223</v>
      </c>
      <c r="E766">
        <v>1</v>
      </c>
      <c r="F766">
        <v>69000</v>
      </c>
      <c r="G766">
        <v>65000</v>
      </c>
      <c r="H766">
        <v>8</v>
      </c>
      <c r="I766">
        <v>65000</v>
      </c>
      <c r="J766" s="10" t="s">
        <v>279</v>
      </c>
      <c r="K766" s="10">
        <v>65000</v>
      </c>
      <c r="L766" s="10">
        <v>65000</v>
      </c>
      <c r="M766" s="12" t="s">
        <v>19</v>
      </c>
    </row>
    <row r="767" spans="1:13" ht="16.8" x14ac:dyDescent="0.3">
      <c r="A767" s="7" t="s">
        <v>845</v>
      </c>
      <c r="B767" s="8">
        <v>44410</v>
      </c>
      <c r="C767" s="15" t="s">
        <v>270</v>
      </c>
      <c r="D767" s="10" t="s">
        <v>222</v>
      </c>
      <c r="E767">
        <v>2</v>
      </c>
      <c r="F767">
        <v>65000</v>
      </c>
      <c r="G767">
        <v>75000</v>
      </c>
      <c r="H767">
        <v>10</v>
      </c>
      <c r="I767">
        <v>58500</v>
      </c>
      <c r="J767" s="10" t="s">
        <v>278</v>
      </c>
      <c r="K767" s="10">
        <v>58500</v>
      </c>
      <c r="L767" s="10">
        <v>117000</v>
      </c>
      <c r="M767" s="12" t="s">
        <v>248</v>
      </c>
    </row>
    <row r="768" spans="1:13" ht="16.8" x14ac:dyDescent="0.3">
      <c r="A768" s="7" t="s">
        <v>846</v>
      </c>
      <c r="B768" s="8">
        <v>44856</v>
      </c>
      <c r="C768" s="15" t="s">
        <v>6</v>
      </c>
      <c r="D768" s="10" t="s">
        <v>223</v>
      </c>
      <c r="E768">
        <v>1</v>
      </c>
      <c r="F768">
        <v>55000</v>
      </c>
      <c r="G768">
        <v>59000</v>
      </c>
      <c r="H768">
        <v>5</v>
      </c>
      <c r="I768">
        <v>52250</v>
      </c>
      <c r="J768" s="10" t="s">
        <v>278</v>
      </c>
      <c r="K768" s="10">
        <v>52250</v>
      </c>
      <c r="L768" s="10">
        <v>52250</v>
      </c>
      <c r="M768" s="12" t="s">
        <v>15</v>
      </c>
    </row>
    <row r="769" spans="1:13" ht="16.8" x14ac:dyDescent="0.3">
      <c r="A769" s="7" t="s">
        <v>847</v>
      </c>
      <c r="B769" s="8">
        <v>44556</v>
      </c>
      <c r="C769" s="15" t="s">
        <v>5</v>
      </c>
      <c r="D769" s="10" t="s">
        <v>224</v>
      </c>
      <c r="E769">
        <v>4</v>
      </c>
      <c r="F769">
        <v>59000</v>
      </c>
      <c r="G769">
        <v>65000</v>
      </c>
      <c r="H769">
        <v>7</v>
      </c>
      <c r="I769">
        <v>65000</v>
      </c>
      <c r="J769" s="10" t="s">
        <v>279</v>
      </c>
      <c r="K769" s="10">
        <v>65000</v>
      </c>
      <c r="L769" s="10">
        <v>260000</v>
      </c>
      <c r="M769" s="12" t="s">
        <v>235</v>
      </c>
    </row>
    <row r="770" spans="1:13" ht="16.8" x14ac:dyDescent="0.3">
      <c r="A770" s="7" t="s">
        <v>848</v>
      </c>
      <c r="B770" s="8">
        <v>44324</v>
      </c>
      <c r="C770" s="15" t="s">
        <v>6</v>
      </c>
      <c r="D770" s="10" t="s">
        <v>224</v>
      </c>
      <c r="E770">
        <v>2</v>
      </c>
      <c r="F770">
        <v>35000</v>
      </c>
      <c r="G770">
        <v>59000</v>
      </c>
      <c r="H770">
        <v>9</v>
      </c>
      <c r="I770">
        <v>59000</v>
      </c>
      <c r="J770" s="10" t="s">
        <v>279</v>
      </c>
      <c r="K770" s="10">
        <v>59000</v>
      </c>
      <c r="L770" s="10">
        <v>118000</v>
      </c>
      <c r="M770" s="12" t="s">
        <v>231</v>
      </c>
    </row>
    <row r="771" spans="1:13" ht="16.8" x14ac:dyDescent="0.3">
      <c r="A771" s="7" t="s">
        <v>849</v>
      </c>
      <c r="B771" s="8">
        <v>44568</v>
      </c>
      <c r="C771" s="15" t="s">
        <v>273</v>
      </c>
      <c r="D771" s="10" t="s">
        <v>224</v>
      </c>
      <c r="E771">
        <v>2</v>
      </c>
      <c r="F771">
        <v>59000</v>
      </c>
      <c r="G771">
        <v>55000</v>
      </c>
      <c r="H771">
        <v>11</v>
      </c>
      <c r="I771">
        <v>52510</v>
      </c>
      <c r="J771" s="10" t="s">
        <v>278</v>
      </c>
      <c r="K771" s="10">
        <v>52510</v>
      </c>
      <c r="L771" s="10">
        <v>105020</v>
      </c>
      <c r="M771" s="12" t="s">
        <v>16</v>
      </c>
    </row>
    <row r="772" spans="1:13" ht="16.8" x14ac:dyDescent="0.3">
      <c r="A772" s="7" t="s">
        <v>850</v>
      </c>
      <c r="B772" s="8">
        <v>44882</v>
      </c>
      <c r="C772" s="15" t="s">
        <v>5</v>
      </c>
      <c r="D772" s="10" t="s">
        <v>224</v>
      </c>
      <c r="E772">
        <v>3</v>
      </c>
      <c r="F772">
        <v>65000</v>
      </c>
      <c r="G772">
        <v>59000</v>
      </c>
      <c r="H772">
        <v>15</v>
      </c>
      <c r="I772">
        <v>59000</v>
      </c>
      <c r="J772" s="10" t="s">
        <v>279</v>
      </c>
      <c r="K772" s="10">
        <v>59000</v>
      </c>
      <c r="L772" s="10">
        <v>177000</v>
      </c>
      <c r="M772" s="12" t="s">
        <v>258</v>
      </c>
    </row>
    <row r="773" spans="1:13" ht="16.8" x14ac:dyDescent="0.3">
      <c r="A773" s="7" t="s">
        <v>851</v>
      </c>
      <c r="B773" s="8">
        <v>44645</v>
      </c>
      <c r="C773" s="15" t="s">
        <v>270</v>
      </c>
      <c r="D773" s="10" t="s">
        <v>222</v>
      </c>
      <c r="E773">
        <v>5</v>
      </c>
      <c r="F773">
        <v>55000</v>
      </c>
      <c r="G773">
        <v>59000</v>
      </c>
      <c r="H773">
        <v>6</v>
      </c>
      <c r="I773">
        <v>51700</v>
      </c>
      <c r="J773" s="10" t="s">
        <v>278</v>
      </c>
      <c r="K773" s="10">
        <v>51700</v>
      </c>
      <c r="L773" s="10">
        <v>258500</v>
      </c>
      <c r="M773" s="12" t="s">
        <v>242</v>
      </c>
    </row>
    <row r="774" spans="1:13" ht="16.8" x14ac:dyDescent="0.3">
      <c r="A774" s="7" t="s">
        <v>852</v>
      </c>
      <c r="B774" s="8">
        <v>44697</v>
      </c>
      <c r="C774" s="15" t="s">
        <v>272</v>
      </c>
      <c r="D774" s="10" t="s">
        <v>223</v>
      </c>
      <c r="E774">
        <v>5</v>
      </c>
      <c r="F774">
        <v>49000</v>
      </c>
      <c r="G774">
        <v>65000</v>
      </c>
      <c r="H774">
        <v>13</v>
      </c>
      <c r="I774">
        <v>65000</v>
      </c>
      <c r="J774" s="10" t="s">
        <v>279</v>
      </c>
      <c r="K774" s="10">
        <v>65000</v>
      </c>
      <c r="L774" s="10">
        <v>325000</v>
      </c>
      <c r="M774" s="12" t="s">
        <v>13</v>
      </c>
    </row>
    <row r="775" spans="1:13" ht="16.8" x14ac:dyDescent="0.3">
      <c r="A775" s="7" t="s">
        <v>853</v>
      </c>
      <c r="B775" s="8">
        <v>44715</v>
      </c>
      <c r="C775" s="15" t="s">
        <v>273</v>
      </c>
      <c r="D775" s="10" t="s">
        <v>223</v>
      </c>
      <c r="E775">
        <v>4</v>
      </c>
      <c r="F775">
        <v>55000</v>
      </c>
      <c r="G775">
        <v>59000</v>
      </c>
      <c r="H775">
        <v>8</v>
      </c>
      <c r="I775">
        <v>50600</v>
      </c>
      <c r="J775" s="10" t="s">
        <v>278</v>
      </c>
      <c r="K775" s="10">
        <v>50600</v>
      </c>
      <c r="L775" s="10">
        <v>202400</v>
      </c>
      <c r="M775" s="12" t="s">
        <v>249</v>
      </c>
    </row>
    <row r="776" spans="1:13" ht="16.8" x14ac:dyDescent="0.3">
      <c r="A776" s="7" t="s">
        <v>854</v>
      </c>
      <c r="B776" s="8">
        <v>44659</v>
      </c>
      <c r="C776" s="15" t="s">
        <v>271</v>
      </c>
      <c r="D776" s="10" t="s">
        <v>223</v>
      </c>
      <c r="E776">
        <v>5</v>
      </c>
      <c r="F776">
        <v>65000</v>
      </c>
      <c r="G776">
        <v>35000</v>
      </c>
      <c r="H776">
        <v>9</v>
      </c>
      <c r="I776">
        <v>35000</v>
      </c>
      <c r="J776" s="10" t="s">
        <v>279</v>
      </c>
      <c r="K776" s="10">
        <v>35000</v>
      </c>
      <c r="L776" s="10">
        <v>175000</v>
      </c>
      <c r="M776" s="12" t="s">
        <v>239</v>
      </c>
    </row>
    <row r="777" spans="1:13" ht="16.8" x14ac:dyDescent="0.3">
      <c r="A777" s="7" t="s">
        <v>855</v>
      </c>
      <c r="B777" s="8">
        <v>44425</v>
      </c>
      <c r="C777" s="15" t="s">
        <v>272</v>
      </c>
      <c r="D777" s="10" t="s">
        <v>223</v>
      </c>
      <c r="E777">
        <v>2</v>
      </c>
      <c r="F777">
        <v>59000</v>
      </c>
      <c r="G777">
        <v>59000</v>
      </c>
      <c r="H777">
        <v>7</v>
      </c>
      <c r="I777">
        <v>54869.999999999993</v>
      </c>
      <c r="J777" s="10" t="s">
        <v>278</v>
      </c>
      <c r="K777" s="10">
        <v>54869.999999999993</v>
      </c>
      <c r="L777" s="10">
        <v>109739.99999999999</v>
      </c>
      <c r="M777" s="12" t="s">
        <v>226</v>
      </c>
    </row>
    <row r="778" spans="1:13" ht="16.8" x14ac:dyDescent="0.3">
      <c r="A778" s="7" t="s">
        <v>856</v>
      </c>
      <c r="B778" s="8">
        <v>44809</v>
      </c>
      <c r="C778" s="15" t="s">
        <v>6</v>
      </c>
      <c r="D778" s="10" t="s">
        <v>222</v>
      </c>
      <c r="E778">
        <v>3</v>
      </c>
      <c r="F778">
        <v>39000</v>
      </c>
      <c r="G778">
        <v>59000</v>
      </c>
      <c r="H778">
        <v>11</v>
      </c>
      <c r="I778">
        <v>59000</v>
      </c>
      <c r="J778" s="10" t="s">
        <v>279</v>
      </c>
      <c r="K778" s="10">
        <v>59000</v>
      </c>
      <c r="L778" s="10">
        <v>177000</v>
      </c>
      <c r="M778" s="12" t="s">
        <v>226</v>
      </c>
    </row>
    <row r="779" spans="1:13" ht="16.8" x14ac:dyDescent="0.3">
      <c r="A779" s="7" t="s">
        <v>857</v>
      </c>
      <c r="B779" s="8">
        <v>44855</v>
      </c>
      <c r="C779" s="15" t="s">
        <v>273</v>
      </c>
      <c r="D779" s="10" t="s">
        <v>224</v>
      </c>
      <c r="E779">
        <v>4</v>
      </c>
      <c r="F779">
        <v>49000</v>
      </c>
      <c r="G779">
        <v>59000</v>
      </c>
      <c r="H779">
        <v>12</v>
      </c>
      <c r="I779">
        <v>43120</v>
      </c>
      <c r="J779" s="10" t="s">
        <v>278</v>
      </c>
      <c r="K779" s="10">
        <v>43120</v>
      </c>
      <c r="L779" s="10">
        <v>172480</v>
      </c>
      <c r="M779" s="12" t="s">
        <v>262</v>
      </c>
    </row>
    <row r="780" spans="1:13" ht="16.8" x14ac:dyDescent="0.3">
      <c r="A780" s="7" t="s">
        <v>858</v>
      </c>
      <c r="B780" s="8">
        <v>44909</v>
      </c>
      <c r="C780" s="15" t="s">
        <v>270</v>
      </c>
      <c r="D780" s="10" t="s">
        <v>222</v>
      </c>
      <c r="E780">
        <v>2</v>
      </c>
      <c r="F780">
        <v>65000</v>
      </c>
      <c r="G780">
        <v>39000</v>
      </c>
      <c r="H780">
        <v>10</v>
      </c>
      <c r="I780">
        <v>58500</v>
      </c>
      <c r="J780" s="10" t="s">
        <v>278</v>
      </c>
      <c r="K780" s="10">
        <v>58500</v>
      </c>
      <c r="L780" s="10">
        <v>117000</v>
      </c>
      <c r="M780" s="12" t="s">
        <v>15</v>
      </c>
    </row>
    <row r="781" spans="1:13" ht="16.8" x14ac:dyDescent="0.3">
      <c r="A781" s="7" t="s">
        <v>859</v>
      </c>
      <c r="B781" s="8">
        <v>44345</v>
      </c>
      <c r="C781" s="15" t="s">
        <v>273</v>
      </c>
      <c r="D781" s="10" t="s">
        <v>224</v>
      </c>
      <c r="E781">
        <v>3</v>
      </c>
      <c r="F781">
        <v>69000</v>
      </c>
      <c r="G781">
        <v>69000</v>
      </c>
      <c r="H781">
        <v>13</v>
      </c>
      <c r="I781">
        <v>69000</v>
      </c>
      <c r="J781" s="10" t="s">
        <v>279</v>
      </c>
      <c r="K781" s="10">
        <v>69000</v>
      </c>
      <c r="L781" s="10">
        <v>207000</v>
      </c>
      <c r="M781" s="12" t="s">
        <v>232</v>
      </c>
    </row>
    <row r="782" spans="1:13" ht="16.8" x14ac:dyDescent="0.3">
      <c r="A782" s="7" t="s">
        <v>860</v>
      </c>
      <c r="B782" s="8">
        <v>45076</v>
      </c>
      <c r="C782" s="15" t="s">
        <v>270</v>
      </c>
      <c r="D782" s="10" t="s">
        <v>223</v>
      </c>
      <c r="E782">
        <v>1</v>
      </c>
      <c r="F782">
        <v>55000</v>
      </c>
      <c r="G782">
        <v>39000</v>
      </c>
      <c r="H782">
        <v>10</v>
      </c>
      <c r="I782">
        <v>49500</v>
      </c>
      <c r="J782" s="10" t="s">
        <v>278</v>
      </c>
      <c r="K782" s="10">
        <v>49500</v>
      </c>
      <c r="L782" s="10">
        <v>49500</v>
      </c>
      <c r="M782" s="12" t="s">
        <v>254</v>
      </c>
    </row>
    <row r="783" spans="1:13" ht="16.8" x14ac:dyDescent="0.3">
      <c r="A783" s="7" t="s">
        <v>861</v>
      </c>
      <c r="B783" s="8">
        <v>45048</v>
      </c>
      <c r="C783" s="15" t="s">
        <v>271</v>
      </c>
      <c r="D783" s="10" t="s">
        <v>224</v>
      </c>
      <c r="E783">
        <v>5</v>
      </c>
      <c r="F783">
        <v>65000</v>
      </c>
      <c r="G783">
        <v>65000</v>
      </c>
      <c r="H783">
        <v>10</v>
      </c>
      <c r="I783">
        <v>58500</v>
      </c>
      <c r="J783" s="10" t="s">
        <v>278</v>
      </c>
      <c r="K783" s="10">
        <v>58500</v>
      </c>
      <c r="L783" s="10">
        <v>292500</v>
      </c>
      <c r="M783" s="12" t="s">
        <v>255</v>
      </c>
    </row>
    <row r="784" spans="1:13" ht="16.8" x14ac:dyDescent="0.3">
      <c r="A784" s="7" t="s">
        <v>862</v>
      </c>
      <c r="B784" s="8">
        <v>44998</v>
      </c>
      <c r="C784" s="15" t="s">
        <v>273</v>
      </c>
      <c r="D784" s="10" t="s">
        <v>222</v>
      </c>
      <c r="E784">
        <v>5</v>
      </c>
      <c r="F784">
        <v>59000</v>
      </c>
      <c r="G784">
        <v>49000</v>
      </c>
      <c r="H784">
        <v>6</v>
      </c>
      <c r="I784">
        <v>49000</v>
      </c>
      <c r="J784" s="10" t="s">
        <v>279</v>
      </c>
      <c r="K784" s="10">
        <v>49000</v>
      </c>
      <c r="L784" s="10">
        <v>245000</v>
      </c>
      <c r="M784" s="12" t="s">
        <v>246</v>
      </c>
    </row>
    <row r="785" spans="1:13" ht="16.8" x14ac:dyDescent="0.3">
      <c r="A785" s="7" t="s">
        <v>863</v>
      </c>
      <c r="B785" s="8">
        <v>44597</v>
      </c>
      <c r="C785" s="15" t="s">
        <v>274</v>
      </c>
      <c r="D785" s="10" t="s">
        <v>223</v>
      </c>
      <c r="E785">
        <v>2</v>
      </c>
      <c r="F785">
        <v>49000</v>
      </c>
      <c r="G785">
        <v>59000</v>
      </c>
      <c r="H785">
        <v>12</v>
      </c>
      <c r="I785">
        <v>59000</v>
      </c>
      <c r="J785" s="10" t="s">
        <v>279</v>
      </c>
      <c r="K785" s="10">
        <v>59000</v>
      </c>
      <c r="L785" s="10">
        <v>118000</v>
      </c>
      <c r="M785" s="12" t="s">
        <v>259</v>
      </c>
    </row>
    <row r="786" spans="1:13" ht="16.8" x14ac:dyDescent="0.3">
      <c r="A786" s="7" t="s">
        <v>864</v>
      </c>
      <c r="B786" s="8">
        <v>44246</v>
      </c>
      <c r="C786" s="15" t="s">
        <v>4</v>
      </c>
      <c r="D786" s="10" t="s">
        <v>223</v>
      </c>
      <c r="E786">
        <v>1</v>
      </c>
      <c r="F786">
        <v>49000</v>
      </c>
      <c r="G786">
        <v>55000</v>
      </c>
      <c r="H786">
        <v>9</v>
      </c>
      <c r="I786">
        <v>55000</v>
      </c>
      <c r="J786" s="10" t="s">
        <v>279</v>
      </c>
      <c r="K786" s="10">
        <v>55000</v>
      </c>
      <c r="L786" s="10">
        <v>55000</v>
      </c>
      <c r="M786" s="12" t="s">
        <v>15</v>
      </c>
    </row>
    <row r="787" spans="1:13" ht="16.8" x14ac:dyDescent="0.3">
      <c r="A787" s="7" t="s">
        <v>865</v>
      </c>
      <c r="B787" s="8">
        <v>44553</v>
      </c>
      <c r="C787" s="15" t="s">
        <v>273</v>
      </c>
      <c r="D787" s="10" t="s">
        <v>223</v>
      </c>
      <c r="E787">
        <v>2</v>
      </c>
      <c r="F787">
        <v>55000</v>
      </c>
      <c r="G787">
        <v>59000</v>
      </c>
      <c r="H787">
        <v>6</v>
      </c>
      <c r="I787">
        <v>51700</v>
      </c>
      <c r="J787" s="10" t="s">
        <v>278</v>
      </c>
      <c r="K787" s="10">
        <v>51700</v>
      </c>
      <c r="L787" s="10">
        <v>103400</v>
      </c>
      <c r="M787" s="12" t="s">
        <v>255</v>
      </c>
    </row>
    <row r="788" spans="1:13" ht="16.8" x14ac:dyDescent="0.3">
      <c r="A788" s="7" t="s">
        <v>866</v>
      </c>
      <c r="B788" s="8">
        <v>44656</v>
      </c>
      <c r="C788" s="15" t="s">
        <v>273</v>
      </c>
      <c r="D788" s="10" t="s">
        <v>223</v>
      </c>
      <c r="E788">
        <v>4</v>
      </c>
      <c r="F788">
        <v>75000</v>
      </c>
      <c r="G788">
        <v>49000</v>
      </c>
      <c r="H788">
        <v>11</v>
      </c>
      <c r="I788">
        <v>49000</v>
      </c>
      <c r="J788" s="10" t="s">
        <v>279</v>
      </c>
      <c r="K788" s="10">
        <v>49000</v>
      </c>
      <c r="L788" s="10">
        <v>196000</v>
      </c>
      <c r="M788" s="12" t="s">
        <v>253</v>
      </c>
    </row>
    <row r="789" spans="1:13" ht="16.8" x14ac:dyDescent="0.3">
      <c r="A789" s="7" t="s">
        <v>867</v>
      </c>
      <c r="B789" s="8">
        <v>44958</v>
      </c>
      <c r="C789" s="15" t="s">
        <v>271</v>
      </c>
      <c r="D789" s="10" t="s">
        <v>223</v>
      </c>
      <c r="E789">
        <v>4</v>
      </c>
      <c r="F789">
        <v>69000</v>
      </c>
      <c r="G789">
        <v>35000</v>
      </c>
      <c r="H789">
        <v>11</v>
      </c>
      <c r="I789">
        <v>35000</v>
      </c>
      <c r="J789" s="10" t="s">
        <v>279</v>
      </c>
      <c r="K789" s="10">
        <v>35000</v>
      </c>
      <c r="L789" s="10">
        <v>140000</v>
      </c>
      <c r="M789" s="12" t="s">
        <v>256</v>
      </c>
    </row>
    <row r="790" spans="1:13" ht="16.8" x14ac:dyDescent="0.3">
      <c r="A790" s="7" t="s">
        <v>868</v>
      </c>
      <c r="B790" s="8">
        <v>45253</v>
      </c>
      <c r="C790" s="15" t="s">
        <v>5</v>
      </c>
      <c r="D790" s="10" t="s">
        <v>222</v>
      </c>
      <c r="E790">
        <v>3</v>
      </c>
      <c r="F790">
        <v>49000</v>
      </c>
      <c r="G790">
        <v>49000</v>
      </c>
      <c r="H790">
        <v>15</v>
      </c>
      <c r="I790">
        <v>49000</v>
      </c>
      <c r="J790" s="10" t="s">
        <v>279</v>
      </c>
      <c r="K790" s="10">
        <v>49000</v>
      </c>
      <c r="L790" s="10">
        <v>147000</v>
      </c>
      <c r="M790" s="12" t="s">
        <v>244</v>
      </c>
    </row>
    <row r="791" spans="1:13" ht="16.8" x14ac:dyDescent="0.3">
      <c r="A791" s="7" t="s">
        <v>869</v>
      </c>
      <c r="B791" s="8">
        <v>44557</v>
      </c>
      <c r="C791" s="15" t="s">
        <v>270</v>
      </c>
      <c r="D791" s="10" t="s">
        <v>224</v>
      </c>
      <c r="E791">
        <v>2</v>
      </c>
      <c r="F791">
        <v>65000</v>
      </c>
      <c r="G791">
        <v>59000</v>
      </c>
      <c r="H791">
        <v>12</v>
      </c>
      <c r="I791">
        <v>59000</v>
      </c>
      <c r="J791" s="10" t="s">
        <v>279</v>
      </c>
      <c r="K791" s="10">
        <v>59000</v>
      </c>
      <c r="L791" s="10">
        <v>118000</v>
      </c>
      <c r="M791" s="12" t="s">
        <v>244</v>
      </c>
    </row>
    <row r="792" spans="1:13" ht="16.8" x14ac:dyDescent="0.3">
      <c r="A792" s="7" t="s">
        <v>870</v>
      </c>
      <c r="B792" s="8">
        <v>44478</v>
      </c>
      <c r="C792" s="15" t="s">
        <v>5</v>
      </c>
      <c r="D792" s="10" t="s">
        <v>222</v>
      </c>
      <c r="E792">
        <v>3</v>
      </c>
      <c r="F792">
        <v>59000</v>
      </c>
      <c r="G792">
        <v>39000</v>
      </c>
      <c r="H792">
        <v>14</v>
      </c>
      <c r="I792">
        <v>39000</v>
      </c>
      <c r="J792" s="10" t="s">
        <v>279</v>
      </c>
      <c r="K792" s="10">
        <v>39000</v>
      </c>
      <c r="L792" s="10">
        <v>117000</v>
      </c>
      <c r="M792" s="12" t="s">
        <v>21</v>
      </c>
    </row>
    <row r="793" spans="1:13" ht="16.8" x14ac:dyDescent="0.3">
      <c r="A793" s="7" t="s">
        <v>871</v>
      </c>
      <c r="B793" s="8">
        <v>45108</v>
      </c>
      <c r="C793" s="15" t="s">
        <v>6</v>
      </c>
      <c r="D793" s="10" t="s">
        <v>224</v>
      </c>
      <c r="E793">
        <v>4</v>
      </c>
      <c r="F793">
        <v>35000</v>
      </c>
      <c r="G793">
        <v>55000</v>
      </c>
      <c r="H793">
        <v>13</v>
      </c>
      <c r="I793">
        <v>30450</v>
      </c>
      <c r="J793" s="10" t="s">
        <v>278</v>
      </c>
      <c r="K793" s="10">
        <v>30450</v>
      </c>
      <c r="L793" s="10">
        <v>121800</v>
      </c>
      <c r="M793" s="12" t="s">
        <v>18</v>
      </c>
    </row>
    <row r="794" spans="1:13" ht="16.8" x14ac:dyDescent="0.3">
      <c r="A794" s="7" t="s">
        <v>872</v>
      </c>
      <c r="B794" s="8">
        <v>44996</v>
      </c>
      <c r="C794" s="15" t="s">
        <v>271</v>
      </c>
      <c r="D794" s="10" t="s">
        <v>223</v>
      </c>
      <c r="E794">
        <v>3</v>
      </c>
      <c r="F794">
        <v>59000</v>
      </c>
      <c r="G794">
        <v>39000</v>
      </c>
      <c r="H794">
        <v>6</v>
      </c>
      <c r="I794">
        <v>39000</v>
      </c>
      <c r="J794" s="10" t="s">
        <v>279</v>
      </c>
      <c r="K794" s="10">
        <v>39000</v>
      </c>
      <c r="L794" s="10">
        <v>117000</v>
      </c>
      <c r="M794" s="12" t="s">
        <v>233</v>
      </c>
    </row>
    <row r="795" spans="1:13" ht="16.8" x14ac:dyDescent="0.3">
      <c r="A795" s="7" t="s">
        <v>873</v>
      </c>
      <c r="B795" s="8">
        <v>45194</v>
      </c>
      <c r="C795" s="15" t="s">
        <v>273</v>
      </c>
      <c r="D795" s="10" t="s">
        <v>223</v>
      </c>
      <c r="E795">
        <v>3</v>
      </c>
      <c r="F795">
        <v>49000</v>
      </c>
      <c r="G795">
        <v>39000</v>
      </c>
      <c r="H795">
        <v>14</v>
      </c>
      <c r="I795">
        <v>42140</v>
      </c>
      <c r="J795" s="10" t="s">
        <v>278</v>
      </c>
      <c r="K795" s="10">
        <v>42140</v>
      </c>
      <c r="L795" s="10">
        <v>126420</v>
      </c>
      <c r="M795" s="12" t="s">
        <v>254</v>
      </c>
    </row>
    <row r="796" spans="1:13" ht="16.8" x14ac:dyDescent="0.3">
      <c r="A796" s="7" t="s">
        <v>874</v>
      </c>
      <c r="B796" s="8">
        <v>44439</v>
      </c>
      <c r="C796" s="15" t="s">
        <v>4</v>
      </c>
      <c r="D796" s="10" t="s">
        <v>224</v>
      </c>
      <c r="E796">
        <v>3</v>
      </c>
      <c r="F796">
        <v>69000</v>
      </c>
      <c r="G796">
        <v>69000</v>
      </c>
      <c r="H796">
        <v>11</v>
      </c>
      <c r="I796">
        <v>69000</v>
      </c>
      <c r="J796" s="10" t="s">
        <v>279</v>
      </c>
      <c r="K796" s="10">
        <v>69000</v>
      </c>
      <c r="L796" s="10">
        <v>207000</v>
      </c>
      <c r="M796" s="12" t="s">
        <v>239</v>
      </c>
    </row>
    <row r="797" spans="1:13" ht="16.8" x14ac:dyDescent="0.3">
      <c r="A797" s="7" t="s">
        <v>875</v>
      </c>
      <c r="B797" s="8">
        <v>44277</v>
      </c>
      <c r="C797" s="15" t="s">
        <v>6</v>
      </c>
      <c r="D797" s="10" t="s">
        <v>223</v>
      </c>
      <c r="E797">
        <v>3</v>
      </c>
      <c r="F797">
        <v>55000</v>
      </c>
      <c r="G797">
        <v>69000</v>
      </c>
      <c r="H797">
        <v>6</v>
      </c>
      <c r="I797">
        <v>69000</v>
      </c>
      <c r="J797" s="10" t="s">
        <v>279</v>
      </c>
      <c r="K797" s="10">
        <v>69000</v>
      </c>
      <c r="L797" s="10">
        <v>207000</v>
      </c>
      <c r="M797" s="12" t="s">
        <v>236</v>
      </c>
    </row>
  </sheetData>
  <conditionalFormatting sqref="A1:M1 A2:B797 D2:M797 A798:M1048576">
    <cfRule type="containsBlanks" priority="1">
      <formula>LEN(TRIM(A1))=0</formula>
    </cfRule>
  </conditionalFormatting>
  <conditionalFormatting sqref="M1 A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{7CB99E73-5047-4566-B24A-CF05FDCB2918}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99E73-5047-4566-B24A-CF05FDCB29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B4FC-FA34-403D-8D28-DF36A75BEE7B}">
  <dimension ref="A1:M797"/>
  <sheetViews>
    <sheetView workbookViewId="0">
      <selection sqref="A1:N1048576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</cols>
  <sheetData>
    <row r="1" spans="1:13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</row>
    <row r="2" spans="1:13" ht="16.8" x14ac:dyDescent="0.3">
      <c r="A2" s="7" t="s">
        <v>277</v>
      </c>
      <c r="B2" s="8">
        <v>44713</v>
      </c>
      <c r="C2" s="15" t="s">
        <v>5</v>
      </c>
      <c r="D2" s="10" t="s">
        <v>222</v>
      </c>
      <c r="E2">
        <v>4</v>
      </c>
      <c r="F2">
        <v>75000</v>
      </c>
      <c r="G2">
        <v>49000</v>
      </c>
      <c r="H2">
        <v>7</v>
      </c>
      <c r="I2">
        <v>49000</v>
      </c>
      <c r="J2" s="10" t="s">
        <v>279</v>
      </c>
      <c r="K2" s="10">
        <v>49000</v>
      </c>
      <c r="L2" s="10">
        <v>196000</v>
      </c>
      <c r="M2" s="12" t="s">
        <v>254</v>
      </c>
    </row>
    <row r="3" spans="1:13" ht="16.8" x14ac:dyDescent="0.3">
      <c r="A3" s="7" t="s">
        <v>22</v>
      </c>
      <c r="B3" s="8">
        <v>44735</v>
      </c>
      <c r="C3" s="23" t="s">
        <v>6</v>
      </c>
      <c r="D3" s="10" t="s">
        <v>224</v>
      </c>
      <c r="E3">
        <v>5</v>
      </c>
      <c r="F3">
        <v>59000</v>
      </c>
      <c r="G3">
        <v>39000</v>
      </c>
      <c r="H3">
        <v>10</v>
      </c>
      <c r="I3">
        <v>53100</v>
      </c>
      <c r="J3" s="10" t="s">
        <v>278</v>
      </c>
      <c r="K3" s="10">
        <v>53100</v>
      </c>
      <c r="L3" s="10">
        <v>265500</v>
      </c>
      <c r="M3" s="12" t="s">
        <v>246</v>
      </c>
    </row>
    <row r="4" spans="1:13" ht="16.8" x14ac:dyDescent="0.3">
      <c r="A4" s="7" t="s">
        <v>23</v>
      </c>
      <c r="B4" s="8">
        <v>45166</v>
      </c>
      <c r="C4" s="15" t="s">
        <v>270</v>
      </c>
      <c r="D4" s="10" t="s">
        <v>222</v>
      </c>
      <c r="E4">
        <v>5</v>
      </c>
      <c r="F4">
        <v>69000</v>
      </c>
      <c r="G4">
        <v>65000</v>
      </c>
      <c r="H4">
        <v>13</v>
      </c>
      <c r="I4">
        <v>65000</v>
      </c>
      <c r="J4" s="10" t="s">
        <v>279</v>
      </c>
      <c r="K4" s="10">
        <v>65000</v>
      </c>
      <c r="L4" s="10">
        <v>325000</v>
      </c>
      <c r="M4" s="12" t="s">
        <v>11</v>
      </c>
    </row>
    <row r="5" spans="1:13" ht="16.8" x14ac:dyDescent="0.3">
      <c r="A5" s="7" t="s">
        <v>24</v>
      </c>
      <c r="B5" s="8">
        <v>45211</v>
      </c>
      <c r="C5" s="15" t="s">
        <v>272</v>
      </c>
      <c r="D5" s="10" t="s">
        <v>224</v>
      </c>
      <c r="E5">
        <v>2</v>
      </c>
      <c r="F5">
        <v>49000</v>
      </c>
      <c r="G5">
        <v>49000</v>
      </c>
      <c r="H5">
        <v>9</v>
      </c>
      <c r="I5">
        <v>49000</v>
      </c>
      <c r="J5" s="10" t="s">
        <v>279</v>
      </c>
      <c r="K5" s="10">
        <v>49000</v>
      </c>
      <c r="L5" s="10">
        <v>98000</v>
      </c>
      <c r="M5" s="12" t="s">
        <v>257</v>
      </c>
    </row>
    <row r="6" spans="1:13" ht="16.8" x14ac:dyDescent="0.3">
      <c r="A6" s="7" t="s">
        <v>25</v>
      </c>
      <c r="B6" s="8">
        <v>45017</v>
      </c>
      <c r="C6" s="15" t="s">
        <v>274</v>
      </c>
      <c r="D6" s="10" t="s">
        <v>224</v>
      </c>
      <c r="E6">
        <v>4</v>
      </c>
      <c r="F6">
        <v>49000</v>
      </c>
      <c r="G6">
        <v>69000</v>
      </c>
      <c r="H6">
        <v>5</v>
      </c>
      <c r="I6">
        <v>46550</v>
      </c>
      <c r="J6" s="10" t="s">
        <v>278</v>
      </c>
      <c r="K6" s="10">
        <v>46550</v>
      </c>
      <c r="L6" s="10">
        <v>186200</v>
      </c>
      <c r="M6" s="12" t="s">
        <v>249</v>
      </c>
    </row>
    <row r="7" spans="1:13" ht="16.8" x14ac:dyDescent="0.3">
      <c r="A7" s="7" t="s">
        <v>26</v>
      </c>
      <c r="B7" s="8">
        <v>45209</v>
      </c>
      <c r="C7" s="15" t="s">
        <v>4</v>
      </c>
      <c r="D7" s="10" t="s">
        <v>223</v>
      </c>
      <c r="E7">
        <v>5</v>
      </c>
      <c r="F7">
        <v>65000</v>
      </c>
      <c r="G7">
        <v>65000</v>
      </c>
      <c r="H7">
        <v>12</v>
      </c>
      <c r="I7">
        <v>57200</v>
      </c>
      <c r="J7" s="10" t="s">
        <v>278</v>
      </c>
      <c r="K7" s="10">
        <v>57200</v>
      </c>
      <c r="L7" s="10">
        <v>286000</v>
      </c>
      <c r="M7" s="12" t="s">
        <v>231</v>
      </c>
    </row>
    <row r="8" spans="1:13" ht="16.8" x14ac:dyDescent="0.3">
      <c r="A8" s="7" t="s">
        <v>27</v>
      </c>
      <c r="B8" s="8">
        <v>44877</v>
      </c>
      <c r="C8" s="15" t="s">
        <v>3</v>
      </c>
      <c r="D8" s="10" t="s">
        <v>224</v>
      </c>
      <c r="E8">
        <v>2</v>
      </c>
      <c r="F8">
        <v>39000</v>
      </c>
      <c r="G8">
        <v>55000</v>
      </c>
      <c r="H8">
        <v>10</v>
      </c>
      <c r="I8">
        <v>35100</v>
      </c>
      <c r="J8" s="10" t="s">
        <v>278</v>
      </c>
      <c r="K8" s="10">
        <v>35100</v>
      </c>
      <c r="L8" s="10">
        <v>70200</v>
      </c>
      <c r="M8" s="12" t="s">
        <v>11</v>
      </c>
    </row>
    <row r="9" spans="1:13" ht="16.8" x14ac:dyDescent="0.3">
      <c r="A9" s="7" t="s">
        <v>28</v>
      </c>
      <c r="B9" s="8">
        <v>45240</v>
      </c>
      <c r="C9" s="15" t="s">
        <v>3</v>
      </c>
      <c r="D9" s="10" t="s">
        <v>223</v>
      </c>
      <c r="E9">
        <v>4</v>
      </c>
      <c r="F9">
        <v>65000</v>
      </c>
      <c r="G9">
        <v>29000</v>
      </c>
      <c r="H9">
        <v>11</v>
      </c>
      <c r="I9">
        <v>29000</v>
      </c>
      <c r="J9" s="10" t="s">
        <v>279</v>
      </c>
      <c r="K9" s="10">
        <v>29000</v>
      </c>
      <c r="L9" s="10">
        <v>116000</v>
      </c>
      <c r="M9" s="12" t="s">
        <v>257</v>
      </c>
    </row>
    <row r="10" spans="1:13" ht="16.8" x14ac:dyDescent="0.3">
      <c r="A10" s="7" t="s">
        <v>29</v>
      </c>
      <c r="B10" s="8">
        <v>44699</v>
      </c>
      <c r="C10" s="15" t="s">
        <v>272</v>
      </c>
      <c r="D10" s="10" t="s">
        <v>222</v>
      </c>
      <c r="E10">
        <v>5</v>
      </c>
      <c r="F10">
        <v>59000</v>
      </c>
      <c r="G10">
        <v>59000</v>
      </c>
      <c r="H10">
        <v>5</v>
      </c>
      <c r="I10">
        <v>59000</v>
      </c>
      <c r="J10" s="10" t="s">
        <v>279</v>
      </c>
      <c r="K10" s="10">
        <v>59000</v>
      </c>
      <c r="L10" s="10">
        <v>295000</v>
      </c>
      <c r="M10" s="12" t="s">
        <v>240</v>
      </c>
    </row>
    <row r="11" spans="1:13" ht="16.8" x14ac:dyDescent="0.3">
      <c r="A11" s="7" t="s">
        <v>30</v>
      </c>
      <c r="B11" s="8">
        <v>44914</v>
      </c>
      <c r="C11" s="15" t="s">
        <v>274</v>
      </c>
      <c r="D11" s="10" t="s">
        <v>224</v>
      </c>
      <c r="E11">
        <v>4</v>
      </c>
      <c r="F11">
        <v>59000</v>
      </c>
      <c r="G11">
        <v>75000</v>
      </c>
      <c r="H11">
        <v>6</v>
      </c>
      <c r="I11">
        <v>75000</v>
      </c>
      <c r="J11" s="10" t="s">
        <v>279</v>
      </c>
      <c r="K11" s="10">
        <v>75000</v>
      </c>
      <c r="L11" s="10">
        <v>300000</v>
      </c>
      <c r="M11" s="12" t="s">
        <v>251</v>
      </c>
    </row>
    <row r="12" spans="1:13" ht="16.8" x14ac:dyDescent="0.3">
      <c r="A12" s="7" t="s">
        <v>31</v>
      </c>
      <c r="B12" s="8">
        <v>44893</v>
      </c>
      <c r="C12" s="15" t="s">
        <v>6</v>
      </c>
      <c r="D12" s="10" t="s">
        <v>223</v>
      </c>
      <c r="E12">
        <v>5</v>
      </c>
      <c r="F12">
        <v>59000</v>
      </c>
      <c r="G12">
        <v>59000</v>
      </c>
      <c r="H12">
        <v>15</v>
      </c>
      <c r="I12">
        <v>50150</v>
      </c>
      <c r="J12" s="10" t="s">
        <v>278</v>
      </c>
      <c r="K12" s="10">
        <v>50150</v>
      </c>
      <c r="L12" s="10">
        <v>250750</v>
      </c>
      <c r="M12" s="12" t="s">
        <v>20</v>
      </c>
    </row>
    <row r="13" spans="1:13" ht="16.8" x14ac:dyDescent="0.3">
      <c r="A13" s="7" t="s">
        <v>32</v>
      </c>
      <c r="B13" s="8">
        <v>45074</v>
      </c>
      <c r="C13" s="15" t="s">
        <v>274</v>
      </c>
      <c r="D13" s="10" t="s">
        <v>222</v>
      </c>
      <c r="E13">
        <v>2</v>
      </c>
      <c r="F13">
        <v>59000</v>
      </c>
      <c r="G13">
        <v>75000</v>
      </c>
      <c r="H13">
        <v>6</v>
      </c>
      <c r="I13">
        <v>75000</v>
      </c>
      <c r="J13" s="10" t="s">
        <v>279</v>
      </c>
      <c r="K13" s="10">
        <v>75000</v>
      </c>
      <c r="L13" s="10">
        <v>150000</v>
      </c>
      <c r="M13" s="12" t="s">
        <v>257</v>
      </c>
    </row>
    <row r="14" spans="1:13" ht="16.8" x14ac:dyDescent="0.3">
      <c r="A14" s="7" t="s">
        <v>33</v>
      </c>
      <c r="B14" s="8">
        <v>44276</v>
      </c>
      <c r="C14" s="15" t="s">
        <v>4</v>
      </c>
      <c r="D14" s="10" t="s">
        <v>222</v>
      </c>
      <c r="E14">
        <v>3</v>
      </c>
      <c r="F14">
        <v>49000</v>
      </c>
      <c r="G14">
        <v>65000</v>
      </c>
      <c r="H14">
        <v>6</v>
      </c>
      <c r="I14">
        <v>65000</v>
      </c>
      <c r="J14" s="10" t="s">
        <v>279</v>
      </c>
      <c r="K14" s="10">
        <v>65000</v>
      </c>
      <c r="L14" s="10">
        <v>195000</v>
      </c>
      <c r="M14" s="12" t="s">
        <v>258</v>
      </c>
    </row>
    <row r="15" spans="1:13" ht="16.8" x14ac:dyDescent="0.3">
      <c r="A15" s="7" t="s">
        <v>34</v>
      </c>
      <c r="B15" s="8">
        <v>44419</v>
      </c>
      <c r="C15" s="15" t="s">
        <v>5</v>
      </c>
      <c r="D15" s="10" t="s">
        <v>223</v>
      </c>
      <c r="E15">
        <v>5</v>
      </c>
      <c r="F15">
        <v>59000</v>
      </c>
      <c r="G15">
        <v>49000</v>
      </c>
      <c r="H15">
        <v>14</v>
      </c>
      <c r="I15">
        <v>49000</v>
      </c>
      <c r="J15" s="10" t="s">
        <v>279</v>
      </c>
      <c r="K15" s="10">
        <v>49000</v>
      </c>
      <c r="L15" s="10">
        <v>245000</v>
      </c>
      <c r="M15" s="12" t="s">
        <v>259</v>
      </c>
    </row>
    <row r="16" spans="1:13" ht="16.8" x14ac:dyDescent="0.3">
      <c r="A16" s="7" t="s">
        <v>35</v>
      </c>
      <c r="B16" s="8">
        <v>44306</v>
      </c>
      <c r="C16" s="15" t="s">
        <v>3</v>
      </c>
      <c r="D16" s="10" t="s">
        <v>223</v>
      </c>
      <c r="E16">
        <v>3</v>
      </c>
      <c r="F16">
        <v>59000</v>
      </c>
      <c r="G16">
        <v>65000</v>
      </c>
      <c r="H16">
        <v>15</v>
      </c>
      <c r="I16">
        <v>65000</v>
      </c>
      <c r="J16" s="10" t="s">
        <v>279</v>
      </c>
      <c r="K16" s="10">
        <v>65000</v>
      </c>
      <c r="L16" s="10">
        <v>195000</v>
      </c>
      <c r="M16" s="12" t="s">
        <v>14</v>
      </c>
    </row>
    <row r="17" spans="1:13" ht="16.8" x14ac:dyDescent="0.3">
      <c r="A17" s="7" t="s">
        <v>36</v>
      </c>
      <c r="B17" s="8">
        <v>45008</v>
      </c>
      <c r="C17" s="15" t="s">
        <v>270</v>
      </c>
      <c r="D17" s="10" t="s">
        <v>223</v>
      </c>
      <c r="E17">
        <v>5</v>
      </c>
      <c r="F17">
        <v>59000</v>
      </c>
      <c r="G17">
        <v>65000</v>
      </c>
      <c r="H17">
        <v>14</v>
      </c>
      <c r="I17">
        <v>50740</v>
      </c>
      <c r="J17" s="10" t="s">
        <v>278</v>
      </c>
      <c r="K17" s="10">
        <v>50740</v>
      </c>
      <c r="L17" s="10">
        <v>253700</v>
      </c>
      <c r="M17" s="12" t="s">
        <v>11</v>
      </c>
    </row>
    <row r="18" spans="1:13" ht="16.8" x14ac:dyDescent="0.3">
      <c r="A18" s="7" t="s">
        <v>37</v>
      </c>
      <c r="B18" s="8">
        <v>44661</v>
      </c>
      <c r="C18" s="15" t="s">
        <v>275</v>
      </c>
      <c r="D18" s="10" t="s">
        <v>224</v>
      </c>
      <c r="E18">
        <v>5</v>
      </c>
      <c r="F18">
        <v>55000</v>
      </c>
      <c r="G18">
        <v>55000</v>
      </c>
      <c r="H18">
        <v>6</v>
      </c>
      <c r="I18">
        <v>55000</v>
      </c>
      <c r="J18" s="10" t="s">
        <v>279</v>
      </c>
      <c r="K18" s="10">
        <v>55000</v>
      </c>
      <c r="L18" s="10">
        <v>275000</v>
      </c>
      <c r="M18" s="12" t="s">
        <v>246</v>
      </c>
    </row>
    <row r="19" spans="1:13" ht="16.8" x14ac:dyDescent="0.3">
      <c r="A19" s="7" t="s">
        <v>38</v>
      </c>
      <c r="B19" s="8">
        <v>44540</v>
      </c>
      <c r="C19" s="15" t="s">
        <v>274</v>
      </c>
      <c r="D19" s="10" t="s">
        <v>223</v>
      </c>
      <c r="E19">
        <v>1</v>
      </c>
      <c r="F19">
        <v>69000</v>
      </c>
      <c r="G19">
        <v>59000</v>
      </c>
      <c r="H19">
        <v>13</v>
      </c>
      <c r="I19">
        <v>60030</v>
      </c>
      <c r="J19" s="10" t="s">
        <v>278</v>
      </c>
      <c r="K19" s="10">
        <v>60030</v>
      </c>
      <c r="L19" s="10">
        <v>60030</v>
      </c>
      <c r="M19" s="12" t="s">
        <v>237</v>
      </c>
    </row>
    <row r="20" spans="1:13" ht="16.8" x14ac:dyDescent="0.3">
      <c r="A20" s="7" t="s">
        <v>39</v>
      </c>
      <c r="B20" s="8">
        <v>44886</v>
      </c>
      <c r="C20" s="15" t="s">
        <v>6</v>
      </c>
      <c r="D20" s="10" t="s">
        <v>223</v>
      </c>
      <c r="E20">
        <v>1</v>
      </c>
      <c r="F20">
        <v>59000</v>
      </c>
      <c r="G20">
        <v>49000</v>
      </c>
      <c r="H20">
        <v>8</v>
      </c>
      <c r="I20">
        <v>49000</v>
      </c>
      <c r="J20" s="10" t="s">
        <v>279</v>
      </c>
      <c r="K20" s="10">
        <v>49000</v>
      </c>
      <c r="L20" s="10">
        <v>49000</v>
      </c>
      <c r="M20" s="12" t="s">
        <v>16</v>
      </c>
    </row>
    <row r="21" spans="1:13" ht="16.8" x14ac:dyDescent="0.3">
      <c r="A21" s="7" t="s">
        <v>40</v>
      </c>
      <c r="B21" s="8">
        <v>44244</v>
      </c>
      <c r="C21" s="15" t="s">
        <v>274</v>
      </c>
      <c r="D21" s="10" t="s">
        <v>224</v>
      </c>
      <c r="E21">
        <v>4</v>
      </c>
      <c r="F21">
        <v>65000</v>
      </c>
      <c r="G21">
        <v>65000</v>
      </c>
      <c r="H21">
        <v>11</v>
      </c>
      <c r="I21">
        <v>57850</v>
      </c>
      <c r="J21" s="10" t="s">
        <v>278</v>
      </c>
      <c r="K21" s="10">
        <v>57850</v>
      </c>
      <c r="L21" s="10">
        <v>231400</v>
      </c>
      <c r="M21" s="12" t="s">
        <v>242</v>
      </c>
    </row>
    <row r="22" spans="1:13" ht="16.8" x14ac:dyDescent="0.3">
      <c r="A22" s="7" t="s">
        <v>41</v>
      </c>
      <c r="B22" s="8">
        <v>44358</v>
      </c>
      <c r="C22" s="15" t="s">
        <v>275</v>
      </c>
      <c r="D22" s="10" t="s">
        <v>224</v>
      </c>
      <c r="E22">
        <v>3</v>
      </c>
      <c r="F22">
        <v>59000</v>
      </c>
      <c r="G22">
        <v>49000</v>
      </c>
      <c r="H22">
        <v>12</v>
      </c>
      <c r="I22">
        <v>51920</v>
      </c>
      <c r="J22" s="10" t="s">
        <v>278</v>
      </c>
      <c r="K22" s="10">
        <v>51920</v>
      </c>
      <c r="L22" s="10">
        <v>155760</v>
      </c>
      <c r="M22" s="12" t="s">
        <v>255</v>
      </c>
    </row>
    <row r="23" spans="1:13" ht="16.8" x14ac:dyDescent="0.3">
      <c r="A23" s="7" t="s">
        <v>42</v>
      </c>
      <c r="B23" s="8">
        <v>45251</v>
      </c>
      <c r="C23" s="15" t="s">
        <v>275</v>
      </c>
      <c r="D23" s="10" t="s">
        <v>223</v>
      </c>
      <c r="E23">
        <v>4</v>
      </c>
      <c r="F23">
        <v>75000</v>
      </c>
      <c r="G23">
        <v>65000</v>
      </c>
      <c r="H23">
        <v>8</v>
      </c>
      <c r="I23">
        <v>69000</v>
      </c>
      <c r="J23" s="10" t="s">
        <v>278</v>
      </c>
      <c r="K23" s="10">
        <v>69000</v>
      </c>
      <c r="L23" s="10">
        <v>276000</v>
      </c>
      <c r="M23" s="12" t="s">
        <v>238</v>
      </c>
    </row>
    <row r="24" spans="1:13" ht="16.8" x14ac:dyDescent="0.3">
      <c r="A24" s="7" t="s">
        <v>43</v>
      </c>
      <c r="B24" s="8">
        <v>44954</v>
      </c>
      <c r="C24" s="15" t="s">
        <v>275</v>
      </c>
      <c r="D24" s="10" t="s">
        <v>224</v>
      </c>
      <c r="E24">
        <v>3</v>
      </c>
      <c r="F24">
        <v>49000</v>
      </c>
      <c r="G24">
        <v>65000</v>
      </c>
      <c r="H24">
        <v>7</v>
      </c>
      <c r="I24">
        <v>65000</v>
      </c>
      <c r="J24" s="10" t="s">
        <v>279</v>
      </c>
      <c r="K24" s="10">
        <v>65000</v>
      </c>
      <c r="L24" s="10">
        <v>195000</v>
      </c>
      <c r="M24" s="12" t="s">
        <v>256</v>
      </c>
    </row>
    <row r="25" spans="1:13" ht="16.8" x14ac:dyDescent="0.3">
      <c r="A25" s="7" t="s">
        <v>44</v>
      </c>
      <c r="B25" s="8">
        <v>44897</v>
      </c>
      <c r="C25" s="15" t="s">
        <v>272</v>
      </c>
      <c r="D25" s="10" t="s">
        <v>222</v>
      </c>
      <c r="E25">
        <v>5</v>
      </c>
      <c r="F25">
        <v>59000</v>
      </c>
      <c r="G25">
        <v>65000</v>
      </c>
      <c r="H25">
        <v>14</v>
      </c>
      <c r="I25">
        <v>65000</v>
      </c>
      <c r="J25" s="10" t="s">
        <v>279</v>
      </c>
      <c r="K25" s="10">
        <v>65000</v>
      </c>
      <c r="L25" s="10">
        <v>325000</v>
      </c>
      <c r="M25" s="12" t="s">
        <v>242</v>
      </c>
    </row>
    <row r="26" spans="1:13" ht="16.8" x14ac:dyDescent="0.3">
      <c r="A26" s="7" t="s">
        <v>45</v>
      </c>
      <c r="B26" s="8">
        <v>44855</v>
      </c>
      <c r="C26" s="15" t="s">
        <v>272</v>
      </c>
      <c r="D26" s="10" t="s">
        <v>224</v>
      </c>
      <c r="E26">
        <v>4</v>
      </c>
      <c r="F26">
        <v>39000</v>
      </c>
      <c r="G26">
        <v>69000</v>
      </c>
      <c r="H26">
        <v>5</v>
      </c>
      <c r="I26">
        <v>37050</v>
      </c>
      <c r="J26" s="10" t="s">
        <v>278</v>
      </c>
      <c r="K26" s="10">
        <v>37050</v>
      </c>
      <c r="L26" s="10">
        <v>148200</v>
      </c>
      <c r="M26" s="12" t="s">
        <v>246</v>
      </c>
    </row>
    <row r="27" spans="1:13" ht="16.8" x14ac:dyDescent="0.3">
      <c r="A27" s="7" t="s">
        <v>46</v>
      </c>
      <c r="B27" s="8">
        <v>45292</v>
      </c>
      <c r="C27" s="15" t="s">
        <v>3</v>
      </c>
      <c r="D27" s="10" t="s">
        <v>223</v>
      </c>
      <c r="E27">
        <v>2</v>
      </c>
      <c r="F27">
        <v>45000</v>
      </c>
      <c r="G27">
        <v>59000</v>
      </c>
      <c r="H27">
        <v>15</v>
      </c>
      <c r="I27">
        <v>38250</v>
      </c>
      <c r="J27" s="10" t="s">
        <v>278</v>
      </c>
      <c r="K27" s="10">
        <v>38250</v>
      </c>
      <c r="L27" s="10">
        <v>76500</v>
      </c>
      <c r="M27" s="12" t="s">
        <v>11</v>
      </c>
    </row>
    <row r="28" spans="1:13" ht="16.8" x14ac:dyDescent="0.3">
      <c r="A28" s="7" t="s">
        <v>47</v>
      </c>
      <c r="B28" s="8">
        <v>44351</v>
      </c>
      <c r="C28" s="15" t="s">
        <v>5</v>
      </c>
      <c r="D28" s="10" t="s">
        <v>224</v>
      </c>
      <c r="E28">
        <v>4</v>
      </c>
      <c r="F28">
        <v>55000</v>
      </c>
      <c r="G28">
        <v>55000</v>
      </c>
      <c r="H28">
        <v>10</v>
      </c>
      <c r="I28">
        <v>49500</v>
      </c>
      <c r="J28" s="10" t="s">
        <v>278</v>
      </c>
      <c r="K28" s="10">
        <v>49500</v>
      </c>
      <c r="L28" s="10">
        <v>198000</v>
      </c>
      <c r="M28" s="12" t="s">
        <v>227</v>
      </c>
    </row>
    <row r="29" spans="1:13" ht="16.8" x14ac:dyDescent="0.3">
      <c r="A29" s="7" t="s">
        <v>48</v>
      </c>
      <c r="B29" s="8">
        <v>44548</v>
      </c>
      <c r="C29" s="15" t="s">
        <v>4</v>
      </c>
      <c r="D29" s="10" t="s">
        <v>223</v>
      </c>
      <c r="E29">
        <v>5</v>
      </c>
      <c r="F29">
        <v>39000</v>
      </c>
      <c r="G29">
        <v>45000</v>
      </c>
      <c r="H29">
        <v>5</v>
      </c>
      <c r="I29">
        <v>45000</v>
      </c>
      <c r="J29" s="10" t="s">
        <v>279</v>
      </c>
      <c r="K29" s="10">
        <v>45000</v>
      </c>
      <c r="L29" s="10">
        <v>225000</v>
      </c>
      <c r="M29" s="12" t="s">
        <v>253</v>
      </c>
    </row>
    <row r="30" spans="1:13" ht="16.8" x14ac:dyDescent="0.3">
      <c r="A30" s="7" t="s">
        <v>49</v>
      </c>
      <c r="B30" s="8">
        <v>44797</v>
      </c>
      <c r="C30" s="15" t="s">
        <v>275</v>
      </c>
      <c r="D30" s="10" t="s">
        <v>223</v>
      </c>
      <c r="E30">
        <v>2</v>
      </c>
      <c r="F30">
        <v>35000</v>
      </c>
      <c r="G30">
        <v>49000</v>
      </c>
      <c r="H30">
        <v>6</v>
      </c>
      <c r="I30">
        <v>49000</v>
      </c>
      <c r="J30" s="10" t="s">
        <v>279</v>
      </c>
      <c r="K30" s="10">
        <v>49000</v>
      </c>
      <c r="L30" s="10">
        <v>98000</v>
      </c>
      <c r="M30" s="12" t="s">
        <v>19</v>
      </c>
    </row>
    <row r="31" spans="1:13" ht="16.8" x14ac:dyDescent="0.3">
      <c r="A31" s="7" t="s">
        <v>50</v>
      </c>
      <c r="B31" s="8">
        <v>44409</v>
      </c>
      <c r="C31" s="15" t="s">
        <v>5</v>
      </c>
      <c r="D31" s="10" t="s">
        <v>223</v>
      </c>
      <c r="E31">
        <v>1</v>
      </c>
      <c r="F31">
        <v>49000</v>
      </c>
      <c r="G31">
        <v>59000</v>
      </c>
      <c r="H31">
        <v>11</v>
      </c>
      <c r="I31">
        <v>43610</v>
      </c>
      <c r="J31" s="10" t="s">
        <v>278</v>
      </c>
      <c r="K31" s="10">
        <v>43610</v>
      </c>
      <c r="L31" s="10">
        <v>43610</v>
      </c>
      <c r="M31" s="12" t="s">
        <v>228</v>
      </c>
    </row>
    <row r="32" spans="1:13" ht="16.8" x14ac:dyDescent="0.3">
      <c r="A32" s="7" t="s">
        <v>51</v>
      </c>
      <c r="B32" s="8">
        <v>44210</v>
      </c>
      <c r="C32" s="15" t="s">
        <v>5</v>
      </c>
      <c r="D32" s="10" t="s">
        <v>224</v>
      </c>
      <c r="E32">
        <v>1</v>
      </c>
      <c r="F32">
        <v>49000</v>
      </c>
      <c r="G32">
        <v>59000</v>
      </c>
      <c r="H32">
        <v>10</v>
      </c>
      <c r="I32">
        <v>44100</v>
      </c>
      <c r="J32" s="10" t="s">
        <v>278</v>
      </c>
      <c r="K32" s="10">
        <v>44100</v>
      </c>
      <c r="L32" s="10">
        <v>44100</v>
      </c>
      <c r="M32" s="12" t="s">
        <v>16</v>
      </c>
    </row>
    <row r="33" spans="1:13" ht="16.8" x14ac:dyDescent="0.3">
      <c r="A33" s="7" t="s">
        <v>52</v>
      </c>
      <c r="B33" s="8">
        <v>45050</v>
      </c>
      <c r="C33" s="15" t="s">
        <v>270</v>
      </c>
      <c r="D33" s="10" t="s">
        <v>223</v>
      </c>
      <c r="E33">
        <v>4</v>
      </c>
      <c r="F33">
        <v>49000</v>
      </c>
      <c r="G33">
        <v>55000</v>
      </c>
      <c r="H33">
        <v>8</v>
      </c>
      <c r="I33">
        <v>55000</v>
      </c>
      <c r="J33" s="10" t="s">
        <v>279</v>
      </c>
      <c r="K33" s="10">
        <v>55000</v>
      </c>
      <c r="L33" s="10">
        <v>220000</v>
      </c>
      <c r="M33" s="12" t="s">
        <v>232</v>
      </c>
    </row>
    <row r="34" spans="1:13" ht="16.8" x14ac:dyDescent="0.3">
      <c r="A34" s="7" t="s">
        <v>53</v>
      </c>
      <c r="B34" s="8">
        <v>44553</v>
      </c>
      <c r="C34" s="15" t="s">
        <v>273</v>
      </c>
      <c r="D34" s="10" t="s">
        <v>223</v>
      </c>
      <c r="E34">
        <v>3</v>
      </c>
      <c r="F34">
        <v>59000</v>
      </c>
      <c r="G34">
        <v>55000</v>
      </c>
      <c r="H34">
        <v>7</v>
      </c>
      <c r="I34">
        <v>54869.999999999993</v>
      </c>
      <c r="J34" s="10" t="s">
        <v>278</v>
      </c>
      <c r="K34" s="10">
        <v>54869.999999999993</v>
      </c>
      <c r="L34" s="10">
        <v>164609.99999999997</v>
      </c>
      <c r="M34" s="12" t="s">
        <v>241</v>
      </c>
    </row>
    <row r="35" spans="1:13" ht="16.8" x14ac:dyDescent="0.3">
      <c r="A35" s="7" t="s">
        <v>54</v>
      </c>
      <c r="B35" s="8">
        <v>44451</v>
      </c>
      <c r="C35" s="15" t="s">
        <v>275</v>
      </c>
      <c r="D35" s="10" t="s">
        <v>224</v>
      </c>
      <c r="E35">
        <v>3</v>
      </c>
      <c r="F35">
        <v>69000</v>
      </c>
      <c r="G35">
        <v>49000</v>
      </c>
      <c r="H35">
        <v>15</v>
      </c>
      <c r="I35">
        <v>58650</v>
      </c>
      <c r="J35" s="10" t="s">
        <v>278</v>
      </c>
      <c r="K35" s="10">
        <v>58650</v>
      </c>
      <c r="L35" s="10">
        <v>175950</v>
      </c>
      <c r="M35" s="12" t="s">
        <v>243</v>
      </c>
    </row>
    <row r="36" spans="1:13" ht="16.8" x14ac:dyDescent="0.3">
      <c r="A36" s="7" t="s">
        <v>55</v>
      </c>
      <c r="B36" s="8">
        <v>45284</v>
      </c>
      <c r="C36" s="15" t="s">
        <v>4</v>
      </c>
      <c r="D36" s="10" t="s">
        <v>222</v>
      </c>
      <c r="E36">
        <v>2</v>
      </c>
      <c r="F36">
        <v>59000</v>
      </c>
      <c r="G36">
        <v>75000</v>
      </c>
      <c r="H36">
        <v>11</v>
      </c>
      <c r="I36">
        <v>52510</v>
      </c>
      <c r="J36" s="10" t="s">
        <v>278</v>
      </c>
      <c r="K36" s="10">
        <v>52510</v>
      </c>
      <c r="L36" s="10">
        <v>105020</v>
      </c>
      <c r="M36" s="12" t="s">
        <v>17</v>
      </c>
    </row>
    <row r="37" spans="1:13" ht="16.8" x14ac:dyDescent="0.3">
      <c r="A37" s="7" t="s">
        <v>56</v>
      </c>
      <c r="B37" s="8">
        <v>44616</v>
      </c>
      <c r="C37" s="15" t="s">
        <v>271</v>
      </c>
      <c r="D37" s="10" t="s">
        <v>224</v>
      </c>
      <c r="E37">
        <v>4</v>
      </c>
      <c r="F37">
        <v>59000</v>
      </c>
      <c r="G37">
        <v>59000</v>
      </c>
      <c r="H37">
        <v>14</v>
      </c>
      <c r="I37">
        <v>59000</v>
      </c>
      <c r="J37" s="10" t="s">
        <v>279</v>
      </c>
      <c r="K37" s="10">
        <v>59000</v>
      </c>
      <c r="L37" s="10">
        <v>236000</v>
      </c>
      <c r="M37" s="12" t="s">
        <v>260</v>
      </c>
    </row>
    <row r="38" spans="1:13" ht="16.8" x14ac:dyDescent="0.3">
      <c r="A38" s="7" t="s">
        <v>57</v>
      </c>
      <c r="B38" s="8">
        <v>44629</v>
      </c>
      <c r="C38" s="15" t="s">
        <v>4</v>
      </c>
      <c r="D38" s="10" t="s">
        <v>224</v>
      </c>
      <c r="E38">
        <v>1</v>
      </c>
      <c r="F38">
        <v>59000</v>
      </c>
      <c r="G38">
        <v>69000</v>
      </c>
      <c r="H38">
        <v>14</v>
      </c>
      <c r="I38">
        <v>50740</v>
      </c>
      <c r="J38" s="10" t="s">
        <v>278</v>
      </c>
      <c r="K38" s="10">
        <v>50740</v>
      </c>
      <c r="L38" s="10">
        <v>50740</v>
      </c>
      <c r="M38" s="12" t="s">
        <v>262</v>
      </c>
    </row>
    <row r="39" spans="1:13" ht="16.8" x14ac:dyDescent="0.3">
      <c r="A39" s="7" t="s">
        <v>58</v>
      </c>
      <c r="B39" s="8">
        <v>44392</v>
      </c>
      <c r="C39" s="15" t="s">
        <v>270</v>
      </c>
      <c r="D39" s="10" t="s">
        <v>223</v>
      </c>
      <c r="E39">
        <v>3</v>
      </c>
      <c r="F39">
        <v>35000</v>
      </c>
      <c r="G39">
        <v>59000</v>
      </c>
      <c r="H39">
        <v>14</v>
      </c>
      <c r="I39">
        <v>59000</v>
      </c>
      <c r="J39" s="10" t="s">
        <v>279</v>
      </c>
      <c r="K39" s="10">
        <v>59000</v>
      </c>
      <c r="L39" s="10">
        <v>177000</v>
      </c>
      <c r="M39" s="12" t="s">
        <v>231</v>
      </c>
    </row>
    <row r="40" spans="1:13" ht="16.8" x14ac:dyDescent="0.3">
      <c r="A40" s="7" t="s">
        <v>59</v>
      </c>
      <c r="B40" s="8">
        <v>44953</v>
      </c>
      <c r="C40" s="15" t="s">
        <v>5</v>
      </c>
      <c r="D40" s="10" t="s">
        <v>224</v>
      </c>
      <c r="E40">
        <v>4</v>
      </c>
      <c r="F40">
        <v>65000</v>
      </c>
      <c r="G40">
        <v>75000</v>
      </c>
      <c r="H40">
        <v>13</v>
      </c>
      <c r="I40">
        <v>56550</v>
      </c>
      <c r="J40" s="10" t="s">
        <v>278</v>
      </c>
      <c r="K40" s="10">
        <v>56550</v>
      </c>
      <c r="L40" s="10">
        <v>226200</v>
      </c>
      <c r="M40" s="12" t="s">
        <v>19</v>
      </c>
    </row>
    <row r="41" spans="1:13" ht="16.8" x14ac:dyDescent="0.3">
      <c r="A41" s="7" t="s">
        <v>60</v>
      </c>
      <c r="B41" s="8">
        <v>44959</v>
      </c>
      <c r="C41" s="15" t="s">
        <v>271</v>
      </c>
      <c r="D41" s="10" t="s">
        <v>223</v>
      </c>
      <c r="E41">
        <v>3</v>
      </c>
      <c r="F41">
        <v>39000</v>
      </c>
      <c r="G41">
        <v>35000</v>
      </c>
      <c r="H41">
        <v>11</v>
      </c>
      <c r="I41">
        <v>35000</v>
      </c>
      <c r="J41" s="10" t="s">
        <v>279</v>
      </c>
      <c r="K41" s="10">
        <v>35000</v>
      </c>
      <c r="L41" s="10">
        <v>105000</v>
      </c>
      <c r="M41" s="12" t="s">
        <v>235</v>
      </c>
    </row>
    <row r="42" spans="1:13" ht="16.8" x14ac:dyDescent="0.3">
      <c r="A42" s="7" t="s">
        <v>61</v>
      </c>
      <c r="B42" s="8">
        <v>44473</v>
      </c>
      <c r="C42" s="15" t="s">
        <v>5</v>
      </c>
      <c r="D42" s="10" t="s">
        <v>223</v>
      </c>
      <c r="E42">
        <v>4</v>
      </c>
      <c r="F42">
        <v>55000</v>
      </c>
      <c r="G42">
        <v>59000</v>
      </c>
      <c r="H42">
        <v>6</v>
      </c>
      <c r="I42">
        <v>59000</v>
      </c>
      <c r="J42" s="10" t="s">
        <v>279</v>
      </c>
      <c r="K42" s="10">
        <v>59000</v>
      </c>
      <c r="L42" s="10">
        <v>236000</v>
      </c>
      <c r="M42" s="12" t="s">
        <v>241</v>
      </c>
    </row>
    <row r="43" spans="1:13" ht="16.8" x14ac:dyDescent="0.3">
      <c r="A43" s="7" t="s">
        <v>62</v>
      </c>
      <c r="B43" s="8">
        <v>45035</v>
      </c>
      <c r="C43" s="15" t="s">
        <v>270</v>
      </c>
      <c r="D43" s="10" t="s">
        <v>222</v>
      </c>
      <c r="E43">
        <v>1</v>
      </c>
      <c r="F43">
        <v>65000</v>
      </c>
      <c r="G43">
        <v>59000</v>
      </c>
      <c r="H43">
        <v>12</v>
      </c>
      <c r="I43">
        <v>59000</v>
      </c>
      <c r="J43" s="10" t="s">
        <v>279</v>
      </c>
      <c r="K43" s="10">
        <v>59000</v>
      </c>
      <c r="L43" s="10">
        <v>59000</v>
      </c>
      <c r="M43" s="12" t="s">
        <v>247</v>
      </c>
    </row>
    <row r="44" spans="1:13" ht="16.8" x14ac:dyDescent="0.3">
      <c r="A44" s="7" t="s">
        <v>63</v>
      </c>
      <c r="B44" s="8">
        <v>44468</v>
      </c>
      <c r="C44" s="15" t="s">
        <v>6</v>
      </c>
      <c r="D44" s="10" t="s">
        <v>223</v>
      </c>
      <c r="E44">
        <v>3</v>
      </c>
      <c r="F44">
        <v>65000</v>
      </c>
      <c r="G44">
        <v>55000</v>
      </c>
      <c r="H44">
        <v>12</v>
      </c>
      <c r="I44">
        <v>55000</v>
      </c>
      <c r="J44" s="10" t="s">
        <v>279</v>
      </c>
      <c r="K44" s="10">
        <v>55000</v>
      </c>
      <c r="L44" s="10">
        <v>165000</v>
      </c>
      <c r="M44" s="12" t="s">
        <v>238</v>
      </c>
    </row>
    <row r="45" spans="1:13" ht="16.8" x14ac:dyDescent="0.3">
      <c r="A45" s="7" t="s">
        <v>64</v>
      </c>
      <c r="B45" s="8">
        <v>44741</v>
      </c>
      <c r="C45" s="15" t="s">
        <v>3</v>
      </c>
      <c r="D45" s="10" t="s">
        <v>223</v>
      </c>
      <c r="E45">
        <v>5</v>
      </c>
      <c r="F45">
        <v>39000</v>
      </c>
      <c r="G45">
        <v>65000</v>
      </c>
      <c r="H45">
        <v>13</v>
      </c>
      <c r="I45">
        <v>65000</v>
      </c>
      <c r="J45" s="10" t="s">
        <v>279</v>
      </c>
      <c r="K45" s="10">
        <v>65000</v>
      </c>
      <c r="L45" s="10">
        <v>325000</v>
      </c>
      <c r="M45" s="12" t="s">
        <v>250</v>
      </c>
    </row>
    <row r="46" spans="1:13" ht="16.8" x14ac:dyDescent="0.3">
      <c r="A46" s="7" t="s">
        <v>65</v>
      </c>
      <c r="B46" s="8">
        <v>44269</v>
      </c>
      <c r="C46" s="15" t="s">
        <v>3</v>
      </c>
      <c r="D46" s="10" t="s">
        <v>223</v>
      </c>
      <c r="E46">
        <v>4</v>
      </c>
      <c r="F46">
        <v>39000</v>
      </c>
      <c r="G46">
        <v>59000</v>
      </c>
      <c r="H46">
        <v>15</v>
      </c>
      <c r="I46">
        <v>33150</v>
      </c>
      <c r="J46" s="10" t="s">
        <v>278</v>
      </c>
      <c r="K46" s="10">
        <v>33150</v>
      </c>
      <c r="L46" s="10">
        <v>132600</v>
      </c>
      <c r="M46" s="12" t="s">
        <v>262</v>
      </c>
    </row>
    <row r="47" spans="1:13" ht="16.8" x14ac:dyDescent="0.3">
      <c r="A47" s="7" t="s">
        <v>66</v>
      </c>
      <c r="B47" s="8">
        <v>44255</v>
      </c>
      <c r="C47" s="15" t="s">
        <v>271</v>
      </c>
      <c r="D47" s="10" t="s">
        <v>223</v>
      </c>
      <c r="E47">
        <v>5</v>
      </c>
      <c r="F47">
        <v>35000</v>
      </c>
      <c r="G47">
        <v>49000</v>
      </c>
      <c r="H47">
        <v>5</v>
      </c>
      <c r="I47">
        <v>49000</v>
      </c>
      <c r="J47" s="10" t="s">
        <v>279</v>
      </c>
      <c r="K47" s="10">
        <v>49000</v>
      </c>
      <c r="L47" s="10">
        <v>245000</v>
      </c>
      <c r="M47" s="12" t="s">
        <v>18</v>
      </c>
    </row>
    <row r="48" spans="1:13" ht="16.8" x14ac:dyDescent="0.3">
      <c r="A48" s="7" t="s">
        <v>67</v>
      </c>
      <c r="B48" s="8">
        <v>44433</v>
      </c>
      <c r="C48" s="15" t="s">
        <v>270</v>
      </c>
      <c r="D48" s="10" t="s">
        <v>222</v>
      </c>
      <c r="E48">
        <v>2</v>
      </c>
      <c r="F48">
        <v>59000</v>
      </c>
      <c r="G48">
        <v>49000</v>
      </c>
      <c r="H48">
        <v>13</v>
      </c>
      <c r="I48">
        <v>49000</v>
      </c>
      <c r="J48" s="10" t="s">
        <v>279</v>
      </c>
      <c r="K48" s="10">
        <v>49000</v>
      </c>
      <c r="L48" s="10">
        <v>98000</v>
      </c>
      <c r="M48" s="12" t="s">
        <v>248</v>
      </c>
    </row>
    <row r="49" spans="1:13" ht="16.8" x14ac:dyDescent="0.3">
      <c r="A49" s="7" t="s">
        <v>68</v>
      </c>
      <c r="B49" s="8">
        <v>44910</v>
      </c>
      <c r="C49" s="15" t="s">
        <v>273</v>
      </c>
      <c r="D49" s="10" t="s">
        <v>222</v>
      </c>
      <c r="E49">
        <v>4</v>
      </c>
      <c r="F49">
        <v>59000</v>
      </c>
      <c r="G49">
        <v>29000</v>
      </c>
      <c r="H49">
        <v>12</v>
      </c>
      <c r="I49">
        <v>51920</v>
      </c>
      <c r="J49" s="10" t="s">
        <v>278</v>
      </c>
      <c r="K49" s="10">
        <v>51920</v>
      </c>
      <c r="L49" s="10">
        <v>207680</v>
      </c>
      <c r="M49" s="12" t="s">
        <v>242</v>
      </c>
    </row>
    <row r="50" spans="1:13" ht="16.8" x14ac:dyDescent="0.3">
      <c r="A50" s="7" t="s">
        <v>69</v>
      </c>
      <c r="B50" s="8">
        <v>45167</v>
      </c>
      <c r="C50" s="15" t="s">
        <v>274</v>
      </c>
      <c r="D50" s="10" t="s">
        <v>222</v>
      </c>
      <c r="E50">
        <v>2</v>
      </c>
      <c r="F50">
        <v>59000</v>
      </c>
      <c r="G50">
        <v>65000</v>
      </c>
      <c r="H50">
        <v>5</v>
      </c>
      <c r="I50">
        <v>56050</v>
      </c>
      <c r="J50" s="10" t="s">
        <v>278</v>
      </c>
      <c r="K50" s="10">
        <v>56050</v>
      </c>
      <c r="L50" s="10">
        <v>112100</v>
      </c>
      <c r="M50" s="12" t="s">
        <v>225</v>
      </c>
    </row>
    <row r="51" spans="1:13" ht="16.8" x14ac:dyDescent="0.3">
      <c r="A51" s="7" t="s">
        <v>70</v>
      </c>
      <c r="B51" s="8">
        <v>44234</v>
      </c>
      <c r="C51" s="15" t="s">
        <v>4</v>
      </c>
      <c r="D51" s="10" t="s">
        <v>222</v>
      </c>
      <c r="E51">
        <v>2</v>
      </c>
      <c r="F51">
        <v>75000</v>
      </c>
      <c r="G51">
        <v>39000</v>
      </c>
      <c r="H51">
        <v>6</v>
      </c>
      <c r="I51">
        <v>70500</v>
      </c>
      <c r="J51" s="10" t="s">
        <v>278</v>
      </c>
      <c r="K51" s="10">
        <v>70500</v>
      </c>
      <c r="L51" s="10">
        <v>141000</v>
      </c>
      <c r="M51" s="12" t="s">
        <v>13</v>
      </c>
    </row>
    <row r="52" spans="1:13" ht="16.8" x14ac:dyDescent="0.3">
      <c r="A52" s="7" t="s">
        <v>71</v>
      </c>
      <c r="B52" s="8">
        <v>44386</v>
      </c>
      <c r="C52" s="15" t="s">
        <v>6</v>
      </c>
      <c r="D52" s="10" t="s">
        <v>222</v>
      </c>
      <c r="E52">
        <v>3</v>
      </c>
      <c r="F52">
        <v>69000</v>
      </c>
      <c r="G52">
        <v>65000</v>
      </c>
      <c r="H52">
        <v>8</v>
      </c>
      <c r="I52">
        <v>63480</v>
      </c>
      <c r="J52" s="10" t="s">
        <v>278</v>
      </c>
      <c r="K52" s="10">
        <v>63480</v>
      </c>
      <c r="L52" s="10">
        <v>190440</v>
      </c>
      <c r="M52" s="12" t="s">
        <v>260</v>
      </c>
    </row>
    <row r="53" spans="1:13" ht="16.8" x14ac:dyDescent="0.3">
      <c r="A53" s="7" t="s">
        <v>72</v>
      </c>
      <c r="B53" s="8">
        <v>44313</v>
      </c>
      <c r="C53" s="15" t="s">
        <v>270</v>
      </c>
      <c r="D53" s="10" t="s">
        <v>222</v>
      </c>
      <c r="E53">
        <v>5</v>
      </c>
      <c r="F53">
        <v>59000</v>
      </c>
      <c r="G53">
        <v>65000</v>
      </c>
      <c r="H53">
        <v>5</v>
      </c>
      <c r="I53">
        <v>56050</v>
      </c>
      <c r="J53" s="10" t="s">
        <v>278</v>
      </c>
      <c r="K53" s="10">
        <v>56050</v>
      </c>
      <c r="L53" s="10">
        <v>280250</v>
      </c>
      <c r="M53" s="12" t="s">
        <v>253</v>
      </c>
    </row>
    <row r="54" spans="1:13" ht="16.8" x14ac:dyDescent="0.3">
      <c r="A54" s="7" t="s">
        <v>73</v>
      </c>
      <c r="B54" s="8">
        <v>45209</v>
      </c>
      <c r="C54" s="15" t="s">
        <v>272</v>
      </c>
      <c r="D54" s="10" t="s">
        <v>224</v>
      </c>
      <c r="E54">
        <v>2</v>
      </c>
      <c r="F54">
        <v>65000</v>
      </c>
      <c r="G54">
        <v>49000</v>
      </c>
      <c r="H54">
        <v>6</v>
      </c>
      <c r="I54">
        <v>61100</v>
      </c>
      <c r="J54" s="10" t="s">
        <v>278</v>
      </c>
      <c r="K54" s="10">
        <v>61100</v>
      </c>
      <c r="L54" s="10">
        <v>122200</v>
      </c>
      <c r="M54" s="12" t="s">
        <v>12</v>
      </c>
    </row>
    <row r="55" spans="1:13" ht="16.8" x14ac:dyDescent="0.3">
      <c r="A55" s="7" t="s">
        <v>74</v>
      </c>
      <c r="B55" s="8">
        <v>44566</v>
      </c>
      <c r="C55" s="15" t="s">
        <v>272</v>
      </c>
      <c r="D55" s="10" t="s">
        <v>222</v>
      </c>
      <c r="E55">
        <v>3</v>
      </c>
      <c r="F55">
        <v>45000</v>
      </c>
      <c r="G55">
        <v>69000</v>
      </c>
      <c r="H55">
        <v>12</v>
      </c>
      <c r="I55">
        <v>39600</v>
      </c>
      <c r="J55" s="10" t="s">
        <v>278</v>
      </c>
      <c r="K55" s="10">
        <v>39600</v>
      </c>
      <c r="L55" s="10">
        <v>118800</v>
      </c>
      <c r="M55" s="12" t="s">
        <v>241</v>
      </c>
    </row>
    <row r="56" spans="1:13" ht="16.8" x14ac:dyDescent="0.3">
      <c r="A56" s="7" t="s">
        <v>75</v>
      </c>
      <c r="B56" s="8">
        <v>44623</v>
      </c>
      <c r="C56" s="15" t="s">
        <v>270</v>
      </c>
      <c r="D56" s="10" t="s">
        <v>222</v>
      </c>
      <c r="E56">
        <v>2</v>
      </c>
      <c r="F56">
        <v>49000</v>
      </c>
      <c r="G56">
        <v>39000</v>
      </c>
      <c r="H56">
        <v>5</v>
      </c>
      <c r="I56">
        <v>46550</v>
      </c>
      <c r="J56" s="10" t="s">
        <v>278</v>
      </c>
      <c r="K56" s="10">
        <v>46550</v>
      </c>
      <c r="L56" s="10">
        <v>93100</v>
      </c>
      <c r="M56" s="12" t="s">
        <v>235</v>
      </c>
    </row>
    <row r="57" spans="1:13" ht="16.8" x14ac:dyDescent="0.3">
      <c r="A57" s="7" t="s">
        <v>76</v>
      </c>
      <c r="B57" s="8">
        <v>45080</v>
      </c>
      <c r="C57" s="15" t="s">
        <v>5</v>
      </c>
      <c r="D57" s="10" t="s">
        <v>222</v>
      </c>
      <c r="E57">
        <v>2</v>
      </c>
      <c r="F57">
        <v>55000</v>
      </c>
      <c r="G57">
        <v>55000</v>
      </c>
      <c r="H57">
        <v>9</v>
      </c>
      <c r="I57">
        <v>50050</v>
      </c>
      <c r="J57" s="10" t="s">
        <v>278</v>
      </c>
      <c r="K57" s="10">
        <v>50050</v>
      </c>
      <c r="L57" s="10">
        <v>100100</v>
      </c>
      <c r="M57" s="12" t="s">
        <v>11</v>
      </c>
    </row>
    <row r="58" spans="1:13" ht="16.8" x14ac:dyDescent="0.3">
      <c r="A58" s="7" t="s">
        <v>77</v>
      </c>
      <c r="B58" s="8">
        <v>45037</v>
      </c>
      <c r="C58" s="15" t="s">
        <v>274</v>
      </c>
      <c r="D58" s="10" t="s">
        <v>224</v>
      </c>
      <c r="E58">
        <v>1</v>
      </c>
      <c r="F58">
        <v>59000</v>
      </c>
      <c r="G58">
        <v>65000</v>
      </c>
      <c r="H58">
        <v>12</v>
      </c>
      <c r="I58">
        <v>51920</v>
      </c>
      <c r="J58" s="10" t="s">
        <v>278</v>
      </c>
      <c r="K58" s="10">
        <v>51920</v>
      </c>
      <c r="L58" s="10">
        <v>51920</v>
      </c>
      <c r="M58" s="12" t="s">
        <v>255</v>
      </c>
    </row>
    <row r="59" spans="1:13" ht="16.8" x14ac:dyDescent="0.3">
      <c r="A59" s="7" t="s">
        <v>78</v>
      </c>
      <c r="B59" s="8">
        <v>44320</v>
      </c>
      <c r="C59" s="15" t="s">
        <v>273</v>
      </c>
      <c r="D59" s="10" t="s">
        <v>223</v>
      </c>
      <c r="E59">
        <v>3</v>
      </c>
      <c r="F59">
        <v>59000</v>
      </c>
      <c r="G59">
        <v>65000</v>
      </c>
      <c r="H59">
        <v>15</v>
      </c>
      <c r="I59">
        <v>50150</v>
      </c>
      <c r="J59" s="10" t="s">
        <v>278</v>
      </c>
      <c r="K59" s="10">
        <v>50150</v>
      </c>
      <c r="L59" s="10">
        <v>150450</v>
      </c>
      <c r="M59" s="12" t="s">
        <v>257</v>
      </c>
    </row>
    <row r="60" spans="1:13" ht="16.8" x14ac:dyDescent="0.3">
      <c r="A60" s="7" t="s">
        <v>79</v>
      </c>
      <c r="B60" s="8">
        <v>44492</v>
      </c>
      <c r="C60" s="15" t="s">
        <v>270</v>
      </c>
      <c r="D60" s="10" t="s">
        <v>223</v>
      </c>
      <c r="E60">
        <v>5</v>
      </c>
      <c r="F60">
        <v>59000</v>
      </c>
      <c r="G60">
        <v>49000</v>
      </c>
      <c r="H60">
        <v>8</v>
      </c>
      <c r="I60">
        <v>54280</v>
      </c>
      <c r="J60" s="10" t="s">
        <v>278</v>
      </c>
      <c r="K60" s="10">
        <v>54280</v>
      </c>
      <c r="L60" s="10">
        <v>271400</v>
      </c>
      <c r="M60" s="12" t="s">
        <v>246</v>
      </c>
    </row>
    <row r="61" spans="1:13" ht="16.8" x14ac:dyDescent="0.3">
      <c r="A61" s="7" t="s">
        <v>80</v>
      </c>
      <c r="B61" s="8">
        <v>44740</v>
      </c>
      <c r="C61" s="15" t="s">
        <v>271</v>
      </c>
      <c r="D61" s="10" t="s">
        <v>222</v>
      </c>
      <c r="E61">
        <v>3</v>
      </c>
      <c r="F61">
        <v>59000</v>
      </c>
      <c r="G61">
        <v>59000</v>
      </c>
      <c r="H61">
        <v>8</v>
      </c>
      <c r="I61">
        <v>54280</v>
      </c>
      <c r="J61" s="10" t="s">
        <v>278</v>
      </c>
      <c r="K61" s="10">
        <v>54280</v>
      </c>
      <c r="L61" s="10">
        <v>162840</v>
      </c>
      <c r="M61" s="12" t="s">
        <v>240</v>
      </c>
    </row>
    <row r="62" spans="1:13" ht="16.8" x14ac:dyDescent="0.3">
      <c r="A62" s="7" t="s">
        <v>81</v>
      </c>
      <c r="B62" s="8">
        <v>44506</v>
      </c>
      <c r="C62" s="15" t="s">
        <v>272</v>
      </c>
      <c r="D62" s="10" t="s">
        <v>222</v>
      </c>
      <c r="E62">
        <v>2</v>
      </c>
      <c r="F62">
        <v>35000</v>
      </c>
      <c r="G62">
        <v>49000</v>
      </c>
      <c r="H62">
        <v>9</v>
      </c>
      <c r="I62">
        <v>31850</v>
      </c>
      <c r="J62" s="10" t="s">
        <v>278</v>
      </c>
      <c r="K62" s="10">
        <v>31850</v>
      </c>
      <c r="L62" s="10">
        <v>63700</v>
      </c>
      <c r="M62" s="12" t="s">
        <v>245</v>
      </c>
    </row>
    <row r="63" spans="1:13" ht="16.8" x14ac:dyDescent="0.3">
      <c r="A63" s="7" t="s">
        <v>82</v>
      </c>
      <c r="B63" s="8">
        <v>44781</v>
      </c>
      <c r="C63" s="15" t="s">
        <v>273</v>
      </c>
      <c r="D63" s="10" t="s">
        <v>224</v>
      </c>
      <c r="E63">
        <v>2</v>
      </c>
      <c r="F63">
        <v>55000</v>
      </c>
      <c r="G63">
        <v>69000</v>
      </c>
      <c r="H63">
        <v>8</v>
      </c>
      <c r="I63">
        <v>69000</v>
      </c>
      <c r="J63" s="10" t="s">
        <v>279</v>
      </c>
      <c r="K63" s="10">
        <v>69000</v>
      </c>
      <c r="L63" s="10">
        <v>138000</v>
      </c>
      <c r="M63" s="12" t="s">
        <v>12</v>
      </c>
    </row>
    <row r="64" spans="1:13" ht="16.8" x14ac:dyDescent="0.3">
      <c r="A64" s="7" t="s">
        <v>83</v>
      </c>
      <c r="B64" s="8">
        <v>45138</v>
      </c>
      <c r="C64" s="15" t="s">
        <v>4</v>
      </c>
      <c r="D64" s="10" t="s">
        <v>223</v>
      </c>
      <c r="E64">
        <v>5</v>
      </c>
      <c r="F64">
        <v>59000</v>
      </c>
      <c r="G64">
        <v>39000</v>
      </c>
      <c r="H64">
        <v>12</v>
      </c>
      <c r="I64">
        <v>51920</v>
      </c>
      <c r="J64" s="10" t="s">
        <v>278</v>
      </c>
      <c r="K64" s="10">
        <v>51920</v>
      </c>
      <c r="L64" s="10">
        <v>259600</v>
      </c>
      <c r="M64" s="12" t="s">
        <v>232</v>
      </c>
    </row>
    <row r="65" spans="1:13" ht="16.8" x14ac:dyDescent="0.3">
      <c r="A65" s="7" t="s">
        <v>84</v>
      </c>
      <c r="B65" s="8">
        <v>44335</v>
      </c>
      <c r="C65" s="15" t="s">
        <v>274</v>
      </c>
      <c r="D65" s="10" t="s">
        <v>222</v>
      </c>
      <c r="E65">
        <v>1</v>
      </c>
      <c r="F65">
        <v>49000</v>
      </c>
      <c r="G65">
        <v>49000</v>
      </c>
      <c r="H65">
        <v>13</v>
      </c>
      <c r="I65">
        <v>42630</v>
      </c>
      <c r="J65" s="10" t="s">
        <v>278</v>
      </c>
      <c r="K65" s="10">
        <v>42630</v>
      </c>
      <c r="L65" s="10">
        <v>42630</v>
      </c>
      <c r="M65" s="12" t="s">
        <v>254</v>
      </c>
    </row>
    <row r="66" spans="1:13" ht="16.8" x14ac:dyDescent="0.3">
      <c r="A66" s="7" t="s">
        <v>85</v>
      </c>
      <c r="B66" s="8">
        <v>44827</v>
      </c>
      <c r="C66" s="15" t="s">
        <v>273</v>
      </c>
      <c r="D66" s="10" t="s">
        <v>222</v>
      </c>
      <c r="E66">
        <v>5</v>
      </c>
      <c r="F66">
        <v>65000</v>
      </c>
      <c r="G66">
        <v>49000</v>
      </c>
      <c r="H66">
        <v>5</v>
      </c>
      <c r="I66">
        <v>61750</v>
      </c>
      <c r="J66" s="10" t="s">
        <v>278</v>
      </c>
      <c r="K66" s="10">
        <v>61750</v>
      </c>
      <c r="L66" s="10">
        <v>308750</v>
      </c>
      <c r="M66" s="12" t="s">
        <v>21</v>
      </c>
    </row>
    <row r="67" spans="1:13" ht="16.8" x14ac:dyDescent="0.3">
      <c r="A67" s="7" t="s">
        <v>86</v>
      </c>
      <c r="B67" s="8">
        <v>44349</v>
      </c>
      <c r="C67" s="15" t="s">
        <v>3</v>
      </c>
      <c r="D67" s="10" t="s">
        <v>222</v>
      </c>
      <c r="E67">
        <v>2</v>
      </c>
      <c r="F67">
        <v>29000</v>
      </c>
      <c r="G67">
        <v>49000</v>
      </c>
      <c r="H67">
        <v>6</v>
      </c>
      <c r="I67">
        <v>27260</v>
      </c>
      <c r="J67" s="10" t="s">
        <v>278</v>
      </c>
      <c r="K67" s="10">
        <v>27260</v>
      </c>
      <c r="L67" s="10">
        <v>54520</v>
      </c>
      <c r="M67" s="12" t="s">
        <v>227</v>
      </c>
    </row>
    <row r="68" spans="1:13" ht="16.8" x14ac:dyDescent="0.3">
      <c r="A68" s="7" t="s">
        <v>87</v>
      </c>
      <c r="B68" s="8">
        <v>45010</v>
      </c>
      <c r="C68" s="15" t="s">
        <v>4</v>
      </c>
      <c r="D68" s="10" t="s">
        <v>224</v>
      </c>
      <c r="E68">
        <v>1</v>
      </c>
      <c r="F68">
        <v>45000</v>
      </c>
      <c r="G68">
        <v>39000</v>
      </c>
      <c r="H68">
        <v>9</v>
      </c>
      <c r="I68">
        <v>40950</v>
      </c>
      <c r="J68" s="10" t="s">
        <v>278</v>
      </c>
      <c r="K68" s="10">
        <v>40950</v>
      </c>
      <c r="L68" s="10">
        <v>40950</v>
      </c>
      <c r="M68" s="12" t="s">
        <v>230</v>
      </c>
    </row>
    <row r="69" spans="1:13" ht="16.8" x14ac:dyDescent="0.3">
      <c r="A69" s="7" t="s">
        <v>88</v>
      </c>
      <c r="B69" s="8">
        <v>44521</v>
      </c>
      <c r="C69" s="15" t="s">
        <v>4</v>
      </c>
      <c r="D69" s="10" t="s">
        <v>223</v>
      </c>
      <c r="E69">
        <v>4</v>
      </c>
      <c r="F69">
        <v>39000</v>
      </c>
      <c r="G69">
        <v>59000</v>
      </c>
      <c r="H69">
        <v>6</v>
      </c>
      <c r="I69">
        <v>59000</v>
      </c>
      <c r="J69" s="10" t="s">
        <v>279</v>
      </c>
      <c r="K69" s="10">
        <v>59000</v>
      </c>
      <c r="L69" s="10">
        <v>236000</v>
      </c>
      <c r="M69" s="12" t="s">
        <v>226</v>
      </c>
    </row>
    <row r="70" spans="1:13" ht="16.8" x14ac:dyDescent="0.3">
      <c r="A70" s="7" t="s">
        <v>89</v>
      </c>
      <c r="B70" s="8">
        <v>45168</v>
      </c>
      <c r="C70" s="15" t="s">
        <v>4</v>
      </c>
      <c r="D70" s="10" t="s">
        <v>223</v>
      </c>
      <c r="E70">
        <v>5</v>
      </c>
      <c r="F70">
        <v>69000</v>
      </c>
      <c r="G70">
        <v>59000</v>
      </c>
      <c r="H70">
        <v>13</v>
      </c>
      <c r="I70">
        <v>59000</v>
      </c>
      <c r="J70" s="10" t="s">
        <v>279</v>
      </c>
      <c r="K70" s="10">
        <v>59000</v>
      </c>
      <c r="L70" s="10">
        <v>295000</v>
      </c>
      <c r="M70" s="12" t="s">
        <v>227</v>
      </c>
    </row>
    <row r="71" spans="1:13" ht="16.8" x14ac:dyDescent="0.3">
      <c r="A71" s="7" t="s">
        <v>90</v>
      </c>
      <c r="B71" s="8">
        <v>44976</v>
      </c>
      <c r="C71" s="15" t="s">
        <v>5</v>
      </c>
      <c r="D71" s="10" t="s">
        <v>222</v>
      </c>
      <c r="E71">
        <v>4</v>
      </c>
      <c r="F71">
        <v>59000</v>
      </c>
      <c r="G71">
        <v>59000</v>
      </c>
      <c r="H71">
        <v>11</v>
      </c>
      <c r="I71">
        <v>59000</v>
      </c>
      <c r="J71" s="10" t="s">
        <v>279</v>
      </c>
      <c r="K71" s="10">
        <v>59000</v>
      </c>
      <c r="L71" s="10">
        <v>236000</v>
      </c>
      <c r="M71" s="12" t="s">
        <v>257</v>
      </c>
    </row>
    <row r="72" spans="1:13" ht="16.8" x14ac:dyDescent="0.3">
      <c r="A72" s="7" t="s">
        <v>91</v>
      </c>
      <c r="B72" s="8">
        <v>45236</v>
      </c>
      <c r="C72" s="15" t="s">
        <v>6</v>
      </c>
      <c r="D72" s="10" t="s">
        <v>222</v>
      </c>
      <c r="E72">
        <v>4</v>
      </c>
      <c r="F72">
        <v>49000</v>
      </c>
      <c r="G72">
        <v>59000</v>
      </c>
      <c r="H72">
        <v>12</v>
      </c>
      <c r="I72">
        <v>43120</v>
      </c>
      <c r="J72" s="10" t="s">
        <v>278</v>
      </c>
      <c r="K72" s="10">
        <v>43120</v>
      </c>
      <c r="L72" s="10">
        <v>172480</v>
      </c>
      <c r="M72" s="12" t="s">
        <v>230</v>
      </c>
    </row>
    <row r="73" spans="1:13" ht="16.8" x14ac:dyDescent="0.3">
      <c r="A73" s="7" t="s">
        <v>92</v>
      </c>
      <c r="B73" s="8">
        <v>44861</v>
      </c>
      <c r="C73" s="15" t="s">
        <v>4</v>
      </c>
      <c r="D73" s="10" t="s">
        <v>223</v>
      </c>
      <c r="E73">
        <v>2</v>
      </c>
      <c r="F73">
        <v>75000</v>
      </c>
      <c r="G73">
        <v>69000</v>
      </c>
      <c r="H73">
        <v>5</v>
      </c>
      <c r="I73">
        <v>69000</v>
      </c>
      <c r="J73" s="10" t="s">
        <v>279</v>
      </c>
      <c r="K73" s="10">
        <v>69000</v>
      </c>
      <c r="L73" s="10">
        <v>138000</v>
      </c>
      <c r="M73" s="12" t="s">
        <v>19</v>
      </c>
    </row>
    <row r="74" spans="1:13" ht="16.8" x14ac:dyDescent="0.3">
      <c r="A74" s="7" t="s">
        <v>93</v>
      </c>
      <c r="B74" s="8">
        <v>44284</v>
      </c>
      <c r="C74" s="15" t="s">
        <v>272</v>
      </c>
      <c r="D74" s="10" t="s">
        <v>224</v>
      </c>
      <c r="E74">
        <v>5</v>
      </c>
      <c r="F74">
        <v>49000</v>
      </c>
      <c r="G74">
        <v>69000</v>
      </c>
      <c r="H74">
        <v>14</v>
      </c>
      <c r="I74">
        <v>42140</v>
      </c>
      <c r="J74" s="10" t="s">
        <v>278</v>
      </c>
      <c r="K74" s="10">
        <v>42140</v>
      </c>
      <c r="L74" s="10">
        <v>210700</v>
      </c>
      <c r="M74" s="12" t="s">
        <v>257</v>
      </c>
    </row>
    <row r="75" spans="1:13" ht="16.8" x14ac:dyDescent="0.3">
      <c r="A75" s="7" t="s">
        <v>94</v>
      </c>
      <c r="B75" s="8">
        <v>44286</v>
      </c>
      <c r="C75" s="15" t="s">
        <v>271</v>
      </c>
      <c r="D75" s="10" t="s">
        <v>224</v>
      </c>
      <c r="E75">
        <v>4</v>
      </c>
      <c r="F75">
        <v>49000</v>
      </c>
      <c r="G75">
        <v>35000</v>
      </c>
      <c r="H75">
        <v>8</v>
      </c>
      <c r="I75">
        <v>35000</v>
      </c>
      <c r="J75" s="10" t="s">
        <v>279</v>
      </c>
      <c r="K75" s="10">
        <v>35000</v>
      </c>
      <c r="L75" s="10">
        <v>140000</v>
      </c>
      <c r="M75" s="12" t="s">
        <v>233</v>
      </c>
    </row>
    <row r="76" spans="1:13" ht="16.8" x14ac:dyDescent="0.3">
      <c r="A76" s="7" t="s">
        <v>95</v>
      </c>
      <c r="B76" s="8">
        <v>44310</v>
      </c>
      <c r="C76" s="15" t="s">
        <v>4</v>
      </c>
      <c r="D76" s="10" t="s">
        <v>223</v>
      </c>
      <c r="E76">
        <v>1</v>
      </c>
      <c r="F76">
        <v>35000</v>
      </c>
      <c r="G76">
        <v>69000</v>
      </c>
      <c r="H76">
        <v>9</v>
      </c>
      <c r="I76">
        <v>31850</v>
      </c>
      <c r="J76" s="10" t="s">
        <v>278</v>
      </c>
      <c r="K76" s="10">
        <v>31850</v>
      </c>
      <c r="L76" s="10">
        <v>31850</v>
      </c>
      <c r="M76" s="12" t="s">
        <v>255</v>
      </c>
    </row>
    <row r="77" spans="1:13" ht="16.8" x14ac:dyDescent="0.3">
      <c r="A77" s="7" t="s">
        <v>96</v>
      </c>
      <c r="B77" s="8">
        <v>44880</v>
      </c>
      <c r="C77" s="15" t="s">
        <v>274</v>
      </c>
      <c r="D77" s="10" t="s">
        <v>223</v>
      </c>
      <c r="E77">
        <v>3</v>
      </c>
      <c r="F77">
        <v>39000</v>
      </c>
      <c r="G77">
        <v>59000</v>
      </c>
      <c r="H77">
        <v>8</v>
      </c>
      <c r="I77">
        <v>59000</v>
      </c>
      <c r="J77" s="10" t="s">
        <v>279</v>
      </c>
      <c r="K77" s="10">
        <v>59000</v>
      </c>
      <c r="L77" s="10">
        <v>177000</v>
      </c>
      <c r="M77" s="12" t="s">
        <v>247</v>
      </c>
    </row>
    <row r="78" spans="1:13" ht="16.8" x14ac:dyDescent="0.3">
      <c r="A78" s="7" t="s">
        <v>97</v>
      </c>
      <c r="B78" s="8">
        <v>44381</v>
      </c>
      <c r="C78" s="15" t="s">
        <v>272</v>
      </c>
      <c r="D78" s="10" t="s">
        <v>224</v>
      </c>
      <c r="E78">
        <v>3</v>
      </c>
      <c r="F78">
        <v>29000</v>
      </c>
      <c r="G78">
        <v>75000</v>
      </c>
      <c r="H78">
        <v>5</v>
      </c>
      <c r="I78">
        <v>75000</v>
      </c>
      <c r="J78" s="10" t="s">
        <v>279</v>
      </c>
      <c r="K78" s="10">
        <v>75000</v>
      </c>
      <c r="L78" s="10">
        <v>225000</v>
      </c>
      <c r="M78" s="12" t="s">
        <v>18</v>
      </c>
    </row>
    <row r="79" spans="1:13" ht="16.8" x14ac:dyDescent="0.3">
      <c r="A79" s="7" t="s">
        <v>98</v>
      </c>
      <c r="B79" s="8">
        <v>44619</v>
      </c>
      <c r="C79" s="15" t="s">
        <v>275</v>
      </c>
      <c r="D79" s="10" t="s">
        <v>222</v>
      </c>
      <c r="E79">
        <v>2</v>
      </c>
      <c r="F79">
        <v>65000</v>
      </c>
      <c r="G79">
        <v>59000</v>
      </c>
      <c r="H79">
        <v>12</v>
      </c>
      <c r="I79">
        <v>59000</v>
      </c>
      <c r="J79" s="10" t="s">
        <v>279</v>
      </c>
      <c r="K79" s="10">
        <v>59000</v>
      </c>
      <c r="L79" s="10">
        <v>118000</v>
      </c>
      <c r="M79" s="12" t="s">
        <v>227</v>
      </c>
    </row>
    <row r="80" spans="1:13" ht="16.8" x14ac:dyDescent="0.3">
      <c r="A80" s="7" t="s">
        <v>99</v>
      </c>
      <c r="B80" s="8">
        <v>44953</v>
      </c>
      <c r="C80" s="15" t="s">
        <v>273</v>
      </c>
      <c r="D80" s="10" t="s">
        <v>224</v>
      </c>
      <c r="E80">
        <v>2</v>
      </c>
      <c r="F80">
        <v>59000</v>
      </c>
      <c r="G80">
        <v>59000</v>
      </c>
      <c r="H80">
        <v>5</v>
      </c>
      <c r="I80">
        <v>56050</v>
      </c>
      <c r="J80" s="10" t="s">
        <v>278</v>
      </c>
      <c r="K80" s="10">
        <v>56050</v>
      </c>
      <c r="L80" s="10">
        <v>112100</v>
      </c>
      <c r="M80" s="12" t="s">
        <v>248</v>
      </c>
    </row>
    <row r="81" spans="1:13" ht="16.8" x14ac:dyDescent="0.3">
      <c r="A81" s="7" t="s">
        <v>100</v>
      </c>
      <c r="B81" s="8">
        <v>44321</v>
      </c>
      <c r="C81" s="15" t="s">
        <v>6</v>
      </c>
      <c r="D81" s="10" t="s">
        <v>223</v>
      </c>
      <c r="E81">
        <v>1</v>
      </c>
      <c r="F81">
        <v>65000</v>
      </c>
      <c r="G81">
        <v>65000</v>
      </c>
      <c r="H81">
        <v>13</v>
      </c>
      <c r="I81">
        <v>65000</v>
      </c>
      <c r="J81" s="10" t="s">
        <v>279</v>
      </c>
      <c r="K81" s="10">
        <v>65000</v>
      </c>
      <c r="L81" s="10">
        <v>65000</v>
      </c>
      <c r="M81" s="12" t="s">
        <v>243</v>
      </c>
    </row>
    <row r="82" spans="1:13" ht="16.8" x14ac:dyDescent="0.3">
      <c r="A82" s="7" t="s">
        <v>101</v>
      </c>
      <c r="B82" s="8">
        <v>44438</v>
      </c>
      <c r="C82" s="15" t="s">
        <v>270</v>
      </c>
      <c r="D82" s="10" t="s">
        <v>223</v>
      </c>
      <c r="E82">
        <v>5</v>
      </c>
      <c r="F82">
        <v>65000</v>
      </c>
      <c r="G82">
        <v>49000</v>
      </c>
      <c r="H82">
        <v>10</v>
      </c>
      <c r="I82">
        <v>49000</v>
      </c>
      <c r="J82" s="10" t="s">
        <v>279</v>
      </c>
      <c r="K82" s="10">
        <v>49000</v>
      </c>
      <c r="L82" s="10">
        <v>245000</v>
      </c>
      <c r="M82" s="12" t="s">
        <v>12</v>
      </c>
    </row>
    <row r="83" spans="1:13" ht="16.8" x14ac:dyDescent="0.3">
      <c r="A83" s="7" t="s">
        <v>102</v>
      </c>
      <c r="B83" s="8">
        <v>45032</v>
      </c>
      <c r="C83" s="15" t="s">
        <v>4</v>
      </c>
      <c r="D83" s="10" t="s">
        <v>223</v>
      </c>
      <c r="E83">
        <v>1</v>
      </c>
      <c r="F83">
        <v>35000</v>
      </c>
      <c r="G83">
        <v>55000</v>
      </c>
      <c r="H83">
        <v>9</v>
      </c>
      <c r="I83">
        <v>31850</v>
      </c>
      <c r="J83" s="10" t="s">
        <v>278</v>
      </c>
      <c r="K83" s="10">
        <v>31850</v>
      </c>
      <c r="L83" s="10">
        <v>31850</v>
      </c>
      <c r="M83" s="12" t="s">
        <v>234</v>
      </c>
    </row>
    <row r="84" spans="1:13" ht="16.8" x14ac:dyDescent="0.3">
      <c r="A84" s="7" t="s">
        <v>103</v>
      </c>
      <c r="B84" s="8">
        <v>44990</v>
      </c>
      <c r="C84" s="15" t="s">
        <v>272</v>
      </c>
      <c r="D84" s="10" t="s">
        <v>222</v>
      </c>
      <c r="E84">
        <v>5</v>
      </c>
      <c r="F84">
        <v>65000</v>
      </c>
      <c r="G84">
        <v>49000</v>
      </c>
      <c r="H84">
        <v>11</v>
      </c>
      <c r="I84">
        <v>49000</v>
      </c>
      <c r="J84" s="10" t="s">
        <v>279</v>
      </c>
      <c r="K84" s="10">
        <v>49000</v>
      </c>
      <c r="L84" s="10">
        <v>245000</v>
      </c>
      <c r="M84" s="12" t="s">
        <v>260</v>
      </c>
    </row>
    <row r="85" spans="1:13" ht="16.8" x14ac:dyDescent="0.3">
      <c r="A85" s="7" t="s">
        <v>104</v>
      </c>
      <c r="B85" s="8">
        <v>44642</v>
      </c>
      <c r="C85" s="15" t="s">
        <v>6</v>
      </c>
      <c r="D85" s="10" t="s">
        <v>223</v>
      </c>
      <c r="E85">
        <v>3</v>
      </c>
      <c r="F85">
        <v>39000</v>
      </c>
      <c r="G85">
        <v>65000</v>
      </c>
      <c r="H85">
        <v>14</v>
      </c>
      <c r="I85">
        <v>65000</v>
      </c>
      <c r="J85" s="10" t="s">
        <v>279</v>
      </c>
      <c r="K85" s="10">
        <v>65000</v>
      </c>
      <c r="L85" s="10">
        <v>195000</v>
      </c>
      <c r="M85" s="12" t="s">
        <v>239</v>
      </c>
    </row>
    <row r="86" spans="1:13" ht="16.8" x14ac:dyDescent="0.3">
      <c r="A86" s="7" t="s">
        <v>105</v>
      </c>
      <c r="B86" s="8">
        <v>44970</v>
      </c>
      <c r="C86" s="15" t="s">
        <v>275</v>
      </c>
      <c r="D86" s="10" t="s">
        <v>222</v>
      </c>
      <c r="E86">
        <v>4</v>
      </c>
      <c r="F86">
        <v>29000</v>
      </c>
      <c r="G86">
        <v>65000</v>
      </c>
      <c r="H86">
        <v>12</v>
      </c>
      <c r="I86">
        <v>65000</v>
      </c>
      <c r="J86" s="10" t="s">
        <v>279</v>
      </c>
      <c r="K86" s="10">
        <v>65000</v>
      </c>
      <c r="L86" s="10">
        <v>260000</v>
      </c>
      <c r="M86" s="12" t="s">
        <v>247</v>
      </c>
    </row>
    <row r="87" spans="1:13" ht="16.8" x14ac:dyDescent="0.3">
      <c r="A87" s="7" t="s">
        <v>106</v>
      </c>
      <c r="B87" s="8">
        <v>44590</v>
      </c>
      <c r="C87" s="15" t="s">
        <v>6</v>
      </c>
      <c r="D87" s="10" t="s">
        <v>223</v>
      </c>
      <c r="E87">
        <v>1</v>
      </c>
      <c r="F87">
        <v>59000</v>
      </c>
      <c r="G87">
        <v>59000</v>
      </c>
      <c r="H87">
        <v>5</v>
      </c>
      <c r="I87">
        <v>59000</v>
      </c>
      <c r="J87" s="10" t="s">
        <v>279</v>
      </c>
      <c r="K87" s="10">
        <v>59000</v>
      </c>
      <c r="L87" s="10">
        <v>59000</v>
      </c>
      <c r="M87" s="12" t="s">
        <v>253</v>
      </c>
    </row>
    <row r="88" spans="1:13" ht="16.8" x14ac:dyDescent="0.3">
      <c r="A88" s="7" t="s">
        <v>107</v>
      </c>
      <c r="B88" s="8">
        <v>44645</v>
      </c>
      <c r="C88" s="15" t="s">
        <v>3</v>
      </c>
      <c r="D88" s="10" t="s">
        <v>223</v>
      </c>
      <c r="E88">
        <v>5</v>
      </c>
      <c r="F88">
        <v>49000</v>
      </c>
      <c r="G88">
        <v>65000</v>
      </c>
      <c r="H88">
        <v>7</v>
      </c>
      <c r="I88">
        <v>45570</v>
      </c>
      <c r="J88" s="10" t="s">
        <v>278</v>
      </c>
      <c r="K88" s="10">
        <v>45570</v>
      </c>
      <c r="L88" s="10">
        <v>227850</v>
      </c>
      <c r="M88" s="12" t="s">
        <v>229</v>
      </c>
    </row>
    <row r="89" spans="1:13" ht="16.8" x14ac:dyDescent="0.3">
      <c r="A89" s="7" t="s">
        <v>108</v>
      </c>
      <c r="B89" s="8">
        <v>44791</v>
      </c>
      <c r="C89" s="15" t="s">
        <v>272</v>
      </c>
      <c r="D89" s="10" t="s">
        <v>224</v>
      </c>
      <c r="E89">
        <v>3</v>
      </c>
      <c r="F89">
        <v>49000</v>
      </c>
      <c r="G89">
        <v>35000</v>
      </c>
      <c r="H89">
        <v>9</v>
      </c>
      <c r="I89">
        <v>44590</v>
      </c>
      <c r="J89" s="10" t="s">
        <v>278</v>
      </c>
      <c r="K89" s="10">
        <v>44590</v>
      </c>
      <c r="L89" s="10">
        <v>133770</v>
      </c>
      <c r="M89" s="12" t="s">
        <v>259</v>
      </c>
    </row>
    <row r="90" spans="1:13" ht="16.8" x14ac:dyDescent="0.3">
      <c r="A90" s="7" t="s">
        <v>109</v>
      </c>
      <c r="B90" s="8">
        <v>44857</v>
      </c>
      <c r="C90" s="15" t="s">
        <v>271</v>
      </c>
      <c r="D90" s="10" t="s">
        <v>223</v>
      </c>
      <c r="E90">
        <v>4</v>
      </c>
      <c r="F90">
        <v>45000</v>
      </c>
      <c r="G90">
        <v>39000</v>
      </c>
      <c r="H90">
        <v>14</v>
      </c>
      <c r="I90">
        <v>38700</v>
      </c>
      <c r="J90" s="10" t="s">
        <v>278</v>
      </c>
      <c r="K90" s="10">
        <v>38700</v>
      </c>
      <c r="L90" s="10">
        <v>154800</v>
      </c>
      <c r="M90" s="12" t="s">
        <v>230</v>
      </c>
    </row>
    <row r="91" spans="1:13" ht="16.8" x14ac:dyDescent="0.3">
      <c r="A91" s="7" t="s">
        <v>110</v>
      </c>
      <c r="B91" s="8">
        <v>44635</v>
      </c>
      <c r="C91" s="15" t="s">
        <v>6</v>
      </c>
      <c r="D91" s="10" t="s">
        <v>224</v>
      </c>
      <c r="E91">
        <v>3</v>
      </c>
      <c r="F91">
        <v>45000</v>
      </c>
      <c r="G91">
        <v>45000</v>
      </c>
      <c r="H91">
        <v>5</v>
      </c>
      <c r="I91">
        <v>42750</v>
      </c>
      <c r="J91" s="10" t="s">
        <v>278</v>
      </c>
      <c r="K91" s="10">
        <v>42750</v>
      </c>
      <c r="L91" s="10">
        <v>128250</v>
      </c>
      <c r="M91" s="12" t="s">
        <v>251</v>
      </c>
    </row>
    <row r="92" spans="1:13" ht="16.8" x14ac:dyDescent="0.3">
      <c r="A92" s="7" t="s">
        <v>111</v>
      </c>
      <c r="B92" s="8">
        <v>44684</v>
      </c>
      <c r="C92" s="15" t="s">
        <v>4</v>
      </c>
      <c r="D92" s="10" t="s">
        <v>222</v>
      </c>
      <c r="E92">
        <v>3</v>
      </c>
      <c r="F92">
        <v>69000</v>
      </c>
      <c r="G92">
        <v>55000</v>
      </c>
      <c r="H92">
        <v>7</v>
      </c>
      <c r="I92">
        <v>64169.999999999993</v>
      </c>
      <c r="J92" s="10" t="s">
        <v>278</v>
      </c>
      <c r="K92" s="10">
        <v>64169.999999999993</v>
      </c>
      <c r="L92" s="10">
        <v>192509.99999999997</v>
      </c>
      <c r="M92" s="12" t="s">
        <v>13</v>
      </c>
    </row>
    <row r="93" spans="1:13" ht="16.8" x14ac:dyDescent="0.3">
      <c r="A93" s="7" t="s">
        <v>112</v>
      </c>
      <c r="B93" s="8">
        <v>44385</v>
      </c>
      <c r="C93" s="15" t="s">
        <v>275</v>
      </c>
      <c r="D93" s="10" t="s">
        <v>223</v>
      </c>
      <c r="E93">
        <v>3</v>
      </c>
      <c r="F93">
        <v>59000</v>
      </c>
      <c r="G93">
        <v>49000</v>
      </c>
      <c r="H93">
        <v>15</v>
      </c>
      <c r="I93">
        <v>50150</v>
      </c>
      <c r="J93" s="10" t="s">
        <v>278</v>
      </c>
      <c r="K93" s="10">
        <v>50150</v>
      </c>
      <c r="L93" s="10">
        <v>150450</v>
      </c>
      <c r="M93" s="12" t="s">
        <v>262</v>
      </c>
    </row>
    <row r="94" spans="1:13" ht="16.8" x14ac:dyDescent="0.3">
      <c r="A94" s="7" t="s">
        <v>113</v>
      </c>
      <c r="B94" s="8">
        <v>45209</v>
      </c>
      <c r="C94" s="15" t="s">
        <v>3</v>
      </c>
      <c r="D94" s="10" t="s">
        <v>224</v>
      </c>
      <c r="E94">
        <v>1</v>
      </c>
      <c r="F94">
        <v>65000</v>
      </c>
      <c r="G94">
        <v>39000</v>
      </c>
      <c r="H94">
        <v>6</v>
      </c>
      <c r="I94">
        <v>61100</v>
      </c>
      <c r="J94" s="10" t="s">
        <v>278</v>
      </c>
      <c r="K94" s="10">
        <v>61100</v>
      </c>
      <c r="L94" s="10">
        <v>61100</v>
      </c>
      <c r="M94" s="12" t="s">
        <v>230</v>
      </c>
    </row>
    <row r="95" spans="1:13" ht="16.8" x14ac:dyDescent="0.3">
      <c r="A95" s="7" t="s">
        <v>114</v>
      </c>
      <c r="B95" s="8">
        <v>44571</v>
      </c>
      <c r="C95" s="15" t="s">
        <v>6</v>
      </c>
      <c r="D95" s="10" t="s">
        <v>222</v>
      </c>
      <c r="E95">
        <v>3</v>
      </c>
      <c r="F95">
        <v>29000</v>
      </c>
      <c r="G95">
        <v>29000</v>
      </c>
      <c r="H95">
        <v>5</v>
      </c>
      <c r="I95">
        <v>27550</v>
      </c>
      <c r="J95" s="10" t="s">
        <v>278</v>
      </c>
      <c r="K95" s="10">
        <v>27550</v>
      </c>
      <c r="L95" s="10">
        <v>82650</v>
      </c>
      <c r="M95" s="12" t="s">
        <v>11</v>
      </c>
    </row>
    <row r="96" spans="1:13" ht="16.8" x14ac:dyDescent="0.3">
      <c r="A96" s="7" t="s">
        <v>115</v>
      </c>
      <c r="B96" s="8">
        <v>44749</v>
      </c>
      <c r="C96" s="15" t="s">
        <v>275</v>
      </c>
      <c r="D96" s="10" t="s">
        <v>223</v>
      </c>
      <c r="E96">
        <v>3</v>
      </c>
      <c r="F96">
        <v>29000</v>
      </c>
      <c r="G96">
        <v>65000</v>
      </c>
      <c r="H96">
        <v>8</v>
      </c>
      <c r="I96">
        <v>65000</v>
      </c>
      <c r="J96" s="10" t="s">
        <v>279</v>
      </c>
      <c r="K96" s="10">
        <v>65000</v>
      </c>
      <c r="L96" s="10">
        <v>195000</v>
      </c>
      <c r="M96" s="12" t="s">
        <v>258</v>
      </c>
    </row>
    <row r="97" spans="1:13" ht="16.8" x14ac:dyDescent="0.3">
      <c r="A97" s="7" t="s">
        <v>116</v>
      </c>
      <c r="B97" s="8">
        <v>44341</v>
      </c>
      <c r="C97" s="15" t="s">
        <v>273</v>
      </c>
      <c r="D97" s="10" t="s">
        <v>223</v>
      </c>
      <c r="E97">
        <v>3</v>
      </c>
      <c r="F97">
        <v>69000</v>
      </c>
      <c r="G97">
        <v>45000</v>
      </c>
      <c r="H97">
        <v>12</v>
      </c>
      <c r="I97">
        <v>60720</v>
      </c>
      <c r="J97" s="10" t="s">
        <v>278</v>
      </c>
      <c r="K97" s="10">
        <v>60720</v>
      </c>
      <c r="L97" s="10">
        <v>182160</v>
      </c>
      <c r="M97" s="12" t="s">
        <v>245</v>
      </c>
    </row>
    <row r="98" spans="1:13" ht="16.8" x14ac:dyDescent="0.3">
      <c r="A98" s="7" t="s">
        <v>117</v>
      </c>
      <c r="B98" s="8">
        <v>45157</v>
      </c>
      <c r="C98" s="15" t="s">
        <v>273</v>
      </c>
      <c r="D98" s="10" t="s">
        <v>224</v>
      </c>
      <c r="E98">
        <v>4</v>
      </c>
      <c r="F98">
        <v>49000</v>
      </c>
      <c r="G98">
        <v>49000</v>
      </c>
      <c r="H98">
        <v>15</v>
      </c>
      <c r="I98">
        <v>41650</v>
      </c>
      <c r="J98" s="10" t="s">
        <v>278</v>
      </c>
      <c r="K98" s="10">
        <v>41650</v>
      </c>
      <c r="L98" s="10">
        <v>166600</v>
      </c>
      <c r="M98" s="12" t="s">
        <v>13</v>
      </c>
    </row>
    <row r="99" spans="1:13" ht="16.8" x14ac:dyDescent="0.3">
      <c r="A99" s="7" t="s">
        <v>118</v>
      </c>
      <c r="B99" s="8">
        <v>44651</v>
      </c>
      <c r="C99" s="15" t="s">
        <v>274</v>
      </c>
      <c r="D99" s="10" t="s">
        <v>222</v>
      </c>
      <c r="E99">
        <v>5</v>
      </c>
      <c r="F99">
        <v>59000</v>
      </c>
      <c r="G99">
        <v>69000</v>
      </c>
      <c r="H99">
        <v>8</v>
      </c>
      <c r="I99">
        <v>54280</v>
      </c>
      <c r="J99" s="10" t="s">
        <v>278</v>
      </c>
      <c r="K99" s="10">
        <v>54280</v>
      </c>
      <c r="L99" s="10">
        <v>271400</v>
      </c>
      <c r="M99" s="12" t="s">
        <v>10</v>
      </c>
    </row>
    <row r="100" spans="1:13" ht="16.8" x14ac:dyDescent="0.3">
      <c r="A100" s="7" t="s">
        <v>119</v>
      </c>
      <c r="B100" s="8">
        <v>45290</v>
      </c>
      <c r="C100" s="15" t="s">
        <v>270</v>
      </c>
      <c r="D100" s="10" t="s">
        <v>223</v>
      </c>
      <c r="E100">
        <v>3</v>
      </c>
      <c r="F100">
        <v>59000</v>
      </c>
      <c r="G100">
        <v>55000</v>
      </c>
      <c r="H100">
        <v>10</v>
      </c>
      <c r="I100">
        <v>55000</v>
      </c>
      <c r="J100" s="10" t="s">
        <v>279</v>
      </c>
      <c r="K100" s="10">
        <v>55000</v>
      </c>
      <c r="L100" s="10">
        <v>165000</v>
      </c>
      <c r="M100" s="12" t="s">
        <v>243</v>
      </c>
    </row>
    <row r="101" spans="1:13" ht="16.8" x14ac:dyDescent="0.3">
      <c r="A101" s="7" t="s">
        <v>120</v>
      </c>
      <c r="B101" s="8">
        <v>44609</v>
      </c>
      <c r="C101" s="15" t="s">
        <v>6</v>
      </c>
      <c r="D101" s="10" t="s">
        <v>222</v>
      </c>
      <c r="E101">
        <v>1</v>
      </c>
      <c r="F101">
        <v>59000</v>
      </c>
      <c r="G101">
        <v>65000</v>
      </c>
      <c r="H101">
        <v>11</v>
      </c>
      <c r="I101">
        <v>65000</v>
      </c>
      <c r="J101" s="10" t="s">
        <v>279</v>
      </c>
      <c r="K101" s="10">
        <v>65000</v>
      </c>
      <c r="L101" s="10">
        <v>65000</v>
      </c>
      <c r="M101" s="12" t="s">
        <v>254</v>
      </c>
    </row>
    <row r="102" spans="1:13" ht="16.8" x14ac:dyDescent="0.3">
      <c r="A102" s="7" t="s">
        <v>121</v>
      </c>
      <c r="B102" s="8">
        <v>44280</v>
      </c>
      <c r="C102" s="15" t="s">
        <v>275</v>
      </c>
      <c r="D102" s="10" t="s">
        <v>223</v>
      </c>
      <c r="E102">
        <v>3</v>
      </c>
      <c r="F102">
        <v>75000</v>
      </c>
      <c r="G102">
        <v>59000</v>
      </c>
      <c r="H102">
        <v>11</v>
      </c>
      <c r="I102">
        <v>66750</v>
      </c>
      <c r="J102" s="10" t="s">
        <v>278</v>
      </c>
      <c r="K102" s="10">
        <v>66750</v>
      </c>
      <c r="L102" s="10">
        <v>200250</v>
      </c>
      <c r="M102" s="12" t="s">
        <v>16</v>
      </c>
    </row>
    <row r="103" spans="1:13" ht="16.8" x14ac:dyDescent="0.3">
      <c r="A103" s="7" t="s">
        <v>122</v>
      </c>
      <c r="B103" s="8">
        <v>44884</v>
      </c>
      <c r="C103" s="15" t="s">
        <v>5</v>
      </c>
      <c r="D103" s="10" t="s">
        <v>223</v>
      </c>
      <c r="E103">
        <v>4</v>
      </c>
      <c r="F103">
        <v>65000</v>
      </c>
      <c r="G103">
        <v>49000</v>
      </c>
      <c r="H103">
        <v>8</v>
      </c>
      <c r="I103">
        <v>59800</v>
      </c>
      <c r="J103" s="10" t="s">
        <v>278</v>
      </c>
      <c r="K103" s="10">
        <v>59800</v>
      </c>
      <c r="L103" s="10">
        <v>239200</v>
      </c>
      <c r="M103" s="12" t="s">
        <v>225</v>
      </c>
    </row>
    <row r="104" spans="1:13" ht="16.8" x14ac:dyDescent="0.3">
      <c r="A104" s="7" t="s">
        <v>123</v>
      </c>
      <c r="B104" s="8">
        <v>44432</v>
      </c>
      <c r="C104" s="15" t="s">
        <v>273</v>
      </c>
      <c r="D104" s="10" t="s">
        <v>224</v>
      </c>
      <c r="E104">
        <v>1</v>
      </c>
      <c r="F104">
        <v>59000</v>
      </c>
      <c r="G104">
        <v>45000</v>
      </c>
      <c r="H104">
        <v>9</v>
      </c>
      <c r="I104">
        <v>45000</v>
      </c>
      <c r="J104" s="10" t="s">
        <v>279</v>
      </c>
      <c r="K104" s="10">
        <v>45000</v>
      </c>
      <c r="L104" s="10">
        <v>45000</v>
      </c>
      <c r="M104" s="12" t="s">
        <v>228</v>
      </c>
    </row>
    <row r="105" spans="1:13" ht="16.8" x14ac:dyDescent="0.3">
      <c r="A105" s="7" t="s">
        <v>124</v>
      </c>
      <c r="B105" s="8">
        <v>44672</v>
      </c>
      <c r="C105" s="15" t="s">
        <v>6</v>
      </c>
      <c r="D105" s="10" t="s">
        <v>223</v>
      </c>
      <c r="E105">
        <v>2</v>
      </c>
      <c r="F105">
        <v>65000</v>
      </c>
      <c r="G105">
        <v>49000</v>
      </c>
      <c r="H105">
        <v>12</v>
      </c>
      <c r="I105">
        <v>49000</v>
      </c>
      <c r="J105" s="10" t="s">
        <v>279</v>
      </c>
      <c r="K105" s="10">
        <v>49000</v>
      </c>
      <c r="L105" s="10">
        <v>98000</v>
      </c>
      <c r="M105" s="12" t="s">
        <v>255</v>
      </c>
    </row>
    <row r="106" spans="1:13" ht="16.8" x14ac:dyDescent="0.3">
      <c r="A106" s="7" t="s">
        <v>125</v>
      </c>
      <c r="B106" s="8">
        <v>44438</v>
      </c>
      <c r="C106" s="15" t="s">
        <v>273</v>
      </c>
      <c r="D106" s="10" t="s">
        <v>224</v>
      </c>
      <c r="E106">
        <v>4</v>
      </c>
      <c r="F106">
        <v>65000</v>
      </c>
      <c r="G106">
        <v>39000</v>
      </c>
      <c r="H106">
        <v>11</v>
      </c>
      <c r="I106">
        <v>39000</v>
      </c>
      <c r="J106" s="10" t="s">
        <v>279</v>
      </c>
      <c r="K106" s="10">
        <v>39000</v>
      </c>
      <c r="L106" s="10">
        <v>156000</v>
      </c>
      <c r="M106" s="12" t="s">
        <v>231</v>
      </c>
    </row>
    <row r="107" spans="1:13" ht="16.8" x14ac:dyDescent="0.3">
      <c r="A107" s="7" t="s">
        <v>126</v>
      </c>
      <c r="B107" s="8">
        <v>44506</v>
      </c>
      <c r="C107" s="15" t="s">
        <v>273</v>
      </c>
      <c r="D107" s="10" t="s">
        <v>223</v>
      </c>
      <c r="E107">
        <v>3</v>
      </c>
      <c r="F107">
        <v>45000</v>
      </c>
      <c r="G107">
        <v>69000</v>
      </c>
      <c r="H107">
        <v>7</v>
      </c>
      <c r="I107">
        <v>69000</v>
      </c>
      <c r="J107" s="10" t="s">
        <v>279</v>
      </c>
      <c r="K107" s="10">
        <v>69000</v>
      </c>
      <c r="L107" s="10">
        <v>207000</v>
      </c>
      <c r="M107" s="12" t="s">
        <v>234</v>
      </c>
    </row>
    <row r="108" spans="1:13" ht="16.8" x14ac:dyDescent="0.3">
      <c r="A108" s="7" t="s">
        <v>127</v>
      </c>
      <c r="B108" s="8">
        <v>44882</v>
      </c>
      <c r="C108" s="15" t="s">
        <v>5</v>
      </c>
      <c r="D108" s="10" t="s">
        <v>222</v>
      </c>
      <c r="E108">
        <v>2</v>
      </c>
      <c r="F108">
        <v>69000</v>
      </c>
      <c r="G108">
        <v>49000</v>
      </c>
      <c r="H108">
        <v>10</v>
      </c>
      <c r="I108">
        <v>49000</v>
      </c>
      <c r="J108" s="10" t="s">
        <v>279</v>
      </c>
      <c r="K108" s="10">
        <v>49000</v>
      </c>
      <c r="L108" s="10">
        <v>98000</v>
      </c>
      <c r="M108" s="12" t="s">
        <v>225</v>
      </c>
    </row>
    <row r="109" spans="1:13" ht="16.8" x14ac:dyDescent="0.3">
      <c r="A109" s="7" t="s">
        <v>128</v>
      </c>
      <c r="B109" s="8">
        <v>44243</v>
      </c>
      <c r="C109" s="15" t="s">
        <v>275</v>
      </c>
      <c r="D109" s="10" t="s">
        <v>224</v>
      </c>
      <c r="E109">
        <v>2</v>
      </c>
      <c r="F109">
        <v>45000</v>
      </c>
      <c r="G109">
        <v>39000</v>
      </c>
      <c r="H109">
        <v>11</v>
      </c>
      <c r="I109">
        <v>39000</v>
      </c>
      <c r="J109" s="10" t="s">
        <v>279</v>
      </c>
      <c r="K109" s="10">
        <v>39000</v>
      </c>
      <c r="L109" s="10">
        <v>78000</v>
      </c>
      <c r="M109" s="12" t="s">
        <v>237</v>
      </c>
    </row>
    <row r="110" spans="1:13" ht="16.8" x14ac:dyDescent="0.3">
      <c r="A110" s="7" t="s">
        <v>129</v>
      </c>
      <c r="B110" s="8">
        <v>44567</v>
      </c>
      <c r="C110" s="15" t="s">
        <v>275</v>
      </c>
      <c r="D110" s="10" t="s">
        <v>223</v>
      </c>
      <c r="E110">
        <v>1</v>
      </c>
      <c r="F110">
        <v>45000</v>
      </c>
      <c r="G110">
        <v>75000</v>
      </c>
      <c r="H110">
        <v>5</v>
      </c>
      <c r="I110">
        <v>75000</v>
      </c>
      <c r="J110" s="10" t="s">
        <v>279</v>
      </c>
      <c r="K110" s="10">
        <v>75000</v>
      </c>
      <c r="L110" s="10">
        <v>75000</v>
      </c>
      <c r="M110" s="12" t="s">
        <v>249</v>
      </c>
    </row>
    <row r="111" spans="1:13" ht="16.8" x14ac:dyDescent="0.3">
      <c r="A111" s="7" t="s">
        <v>130</v>
      </c>
      <c r="B111" s="8">
        <v>44508</v>
      </c>
      <c r="C111" s="15" t="s">
        <v>5</v>
      </c>
      <c r="D111" s="10" t="s">
        <v>224</v>
      </c>
      <c r="E111">
        <v>4</v>
      </c>
      <c r="F111">
        <v>69000</v>
      </c>
      <c r="G111">
        <v>65000</v>
      </c>
      <c r="H111">
        <v>12</v>
      </c>
      <c r="I111">
        <v>65000</v>
      </c>
      <c r="J111" s="10" t="s">
        <v>279</v>
      </c>
      <c r="K111" s="10">
        <v>65000</v>
      </c>
      <c r="L111" s="10">
        <v>260000</v>
      </c>
      <c r="M111" s="12" t="s">
        <v>260</v>
      </c>
    </row>
    <row r="112" spans="1:13" ht="16.8" x14ac:dyDescent="0.3">
      <c r="A112" s="7" t="s">
        <v>131</v>
      </c>
      <c r="B112" s="8">
        <v>45012</v>
      </c>
      <c r="C112" s="15" t="s">
        <v>5</v>
      </c>
      <c r="D112" s="10" t="s">
        <v>224</v>
      </c>
      <c r="E112">
        <v>3</v>
      </c>
      <c r="F112">
        <v>59000</v>
      </c>
      <c r="G112">
        <v>35000</v>
      </c>
      <c r="H112">
        <v>9</v>
      </c>
      <c r="I112">
        <v>53690</v>
      </c>
      <c r="J112" s="10" t="s">
        <v>278</v>
      </c>
      <c r="K112" s="10">
        <v>53690</v>
      </c>
      <c r="L112" s="10">
        <v>161070</v>
      </c>
      <c r="M112" s="12" t="s">
        <v>250</v>
      </c>
    </row>
    <row r="113" spans="1:13" ht="16.8" x14ac:dyDescent="0.3">
      <c r="A113" s="7" t="s">
        <v>132</v>
      </c>
      <c r="B113" s="8">
        <v>44207</v>
      </c>
      <c r="C113" s="15" t="s">
        <v>5</v>
      </c>
      <c r="D113" s="10" t="s">
        <v>223</v>
      </c>
      <c r="E113">
        <v>4</v>
      </c>
      <c r="F113">
        <v>35000</v>
      </c>
      <c r="G113">
        <v>59000</v>
      </c>
      <c r="H113">
        <v>11</v>
      </c>
      <c r="I113">
        <v>59000</v>
      </c>
      <c r="J113" s="10" t="s">
        <v>279</v>
      </c>
      <c r="K113" s="10">
        <v>59000</v>
      </c>
      <c r="L113" s="10">
        <v>236000</v>
      </c>
      <c r="M113" s="12" t="s">
        <v>230</v>
      </c>
    </row>
    <row r="114" spans="1:13" ht="16.8" x14ac:dyDescent="0.3">
      <c r="A114" s="7" t="s">
        <v>133</v>
      </c>
      <c r="B114" s="8">
        <v>44656</v>
      </c>
      <c r="C114" s="15" t="s">
        <v>5</v>
      </c>
      <c r="D114" s="10" t="s">
        <v>222</v>
      </c>
      <c r="E114">
        <v>4</v>
      </c>
      <c r="F114">
        <v>69000</v>
      </c>
      <c r="G114">
        <v>39000</v>
      </c>
      <c r="H114">
        <v>8</v>
      </c>
      <c r="I114">
        <v>39000</v>
      </c>
      <c r="J114" s="10" t="s">
        <v>279</v>
      </c>
      <c r="K114" s="10">
        <v>39000</v>
      </c>
      <c r="L114" s="10">
        <v>156000</v>
      </c>
      <c r="M114" s="12" t="s">
        <v>243</v>
      </c>
    </row>
    <row r="115" spans="1:13" ht="16.8" x14ac:dyDescent="0.3">
      <c r="A115" s="7" t="s">
        <v>134</v>
      </c>
      <c r="B115" s="8">
        <v>45074</v>
      </c>
      <c r="C115" s="15" t="s">
        <v>273</v>
      </c>
      <c r="D115" s="10" t="s">
        <v>223</v>
      </c>
      <c r="E115">
        <v>3</v>
      </c>
      <c r="F115">
        <v>49000</v>
      </c>
      <c r="G115">
        <v>39000</v>
      </c>
      <c r="H115">
        <v>7</v>
      </c>
      <c r="I115">
        <v>45570</v>
      </c>
      <c r="J115" s="10" t="s">
        <v>278</v>
      </c>
      <c r="K115" s="10">
        <v>45570</v>
      </c>
      <c r="L115" s="10">
        <v>136710</v>
      </c>
      <c r="M115" s="12" t="s">
        <v>232</v>
      </c>
    </row>
    <row r="116" spans="1:13" ht="16.8" x14ac:dyDescent="0.3">
      <c r="A116" s="7" t="s">
        <v>135</v>
      </c>
      <c r="B116" s="8">
        <v>44776</v>
      </c>
      <c r="C116" s="15" t="s">
        <v>6</v>
      </c>
      <c r="D116" s="10" t="s">
        <v>224</v>
      </c>
      <c r="E116">
        <v>1</v>
      </c>
      <c r="F116">
        <v>55000</v>
      </c>
      <c r="G116">
        <v>35000</v>
      </c>
      <c r="H116">
        <v>9</v>
      </c>
      <c r="I116">
        <v>50050</v>
      </c>
      <c r="J116" s="10" t="s">
        <v>278</v>
      </c>
      <c r="K116" s="10">
        <v>50050</v>
      </c>
      <c r="L116" s="10">
        <v>50050</v>
      </c>
      <c r="M116" s="12" t="s">
        <v>248</v>
      </c>
    </row>
    <row r="117" spans="1:13" ht="16.8" x14ac:dyDescent="0.3">
      <c r="A117" s="7" t="s">
        <v>136</v>
      </c>
      <c r="B117" s="8">
        <v>45132</v>
      </c>
      <c r="C117" s="15" t="s">
        <v>6</v>
      </c>
      <c r="D117" s="10" t="s">
        <v>223</v>
      </c>
      <c r="E117">
        <v>5</v>
      </c>
      <c r="F117">
        <v>49000</v>
      </c>
      <c r="G117">
        <v>65000</v>
      </c>
      <c r="H117">
        <v>6</v>
      </c>
      <c r="I117">
        <v>46060</v>
      </c>
      <c r="J117" s="10" t="s">
        <v>278</v>
      </c>
      <c r="K117" s="10">
        <v>46060</v>
      </c>
      <c r="L117" s="10">
        <v>230300</v>
      </c>
      <c r="M117" s="12" t="s">
        <v>241</v>
      </c>
    </row>
    <row r="118" spans="1:13" ht="16.8" x14ac:dyDescent="0.3">
      <c r="A118" s="7" t="s">
        <v>137</v>
      </c>
      <c r="B118" s="8">
        <v>44988</v>
      </c>
      <c r="C118" s="15" t="s">
        <v>5</v>
      </c>
      <c r="D118" s="10" t="s">
        <v>223</v>
      </c>
      <c r="E118">
        <v>1</v>
      </c>
      <c r="F118">
        <v>59000</v>
      </c>
      <c r="G118">
        <v>65000</v>
      </c>
      <c r="H118">
        <v>15</v>
      </c>
      <c r="I118">
        <v>65000</v>
      </c>
      <c r="J118" s="10" t="s">
        <v>279</v>
      </c>
      <c r="K118" s="10">
        <v>65000</v>
      </c>
      <c r="L118" s="10">
        <v>65000</v>
      </c>
      <c r="M118" s="12" t="s">
        <v>254</v>
      </c>
    </row>
    <row r="119" spans="1:13" ht="16.8" x14ac:dyDescent="0.3">
      <c r="A119" s="7" t="s">
        <v>138</v>
      </c>
      <c r="B119" s="8">
        <v>44962</v>
      </c>
      <c r="C119" s="15" t="s">
        <v>270</v>
      </c>
      <c r="D119" s="10" t="s">
        <v>222</v>
      </c>
      <c r="E119">
        <v>4</v>
      </c>
      <c r="F119">
        <v>69000</v>
      </c>
      <c r="G119">
        <v>59000</v>
      </c>
      <c r="H119">
        <v>13</v>
      </c>
      <c r="I119">
        <v>59000</v>
      </c>
      <c r="J119" s="10" t="s">
        <v>279</v>
      </c>
      <c r="K119" s="10">
        <v>59000</v>
      </c>
      <c r="L119" s="10">
        <v>236000</v>
      </c>
      <c r="M119" s="12" t="s">
        <v>236</v>
      </c>
    </row>
    <row r="120" spans="1:13" ht="16.8" x14ac:dyDescent="0.3">
      <c r="A120" s="7" t="s">
        <v>139</v>
      </c>
      <c r="B120" s="8">
        <v>44202</v>
      </c>
      <c r="C120" s="15" t="s">
        <v>4</v>
      </c>
      <c r="D120" s="10" t="s">
        <v>222</v>
      </c>
      <c r="E120">
        <v>4</v>
      </c>
      <c r="F120">
        <v>39000</v>
      </c>
      <c r="G120">
        <v>49000</v>
      </c>
      <c r="H120">
        <v>10</v>
      </c>
      <c r="I120">
        <v>49000</v>
      </c>
      <c r="J120" s="10" t="s">
        <v>279</v>
      </c>
      <c r="K120" s="10">
        <v>49000</v>
      </c>
      <c r="L120" s="10">
        <v>196000</v>
      </c>
      <c r="M120" s="12" t="s">
        <v>230</v>
      </c>
    </row>
    <row r="121" spans="1:13" ht="16.8" x14ac:dyDescent="0.3">
      <c r="A121" s="7" t="s">
        <v>140</v>
      </c>
      <c r="B121" s="8">
        <v>45164</v>
      </c>
      <c r="C121" s="15" t="s">
        <v>5</v>
      </c>
      <c r="D121" s="10" t="s">
        <v>223</v>
      </c>
      <c r="E121">
        <v>5</v>
      </c>
      <c r="F121">
        <v>35000</v>
      </c>
      <c r="G121">
        <v>59000</v>
      </c>
      <c r="H121">
        <v>7</v>
      </c>
      <c r="I121">
        <v>32549.999999999996</v>
      </c>
      <c r="J121" s="10" t="s">
        <v>278</v>
      </c>
      <c r="K121" s="10">
        <v>32549.999999999996</v>
      </c>
      <c r="L121" s="10">
        <v>162749.99999999997</v>
      </c>
      <c r="M121" s="12" t="s">
        <v>249</v>
      </c>
    </row>
    <row r="122" spans="1:13" ht="16.8" x14ac:dyDescent="0.3">
      <c r="A122" s="7" t="s">
        <v>141</v>
      </c>
      <c r="B122" s="8">
        <v>44398</v>
      </c>
      <c r="C122" s="15" t="s">
        <v>272</v>
      </c>
      <c r="D122" s="10" t="s">
        <v>222</v>
      </c>
      <c r="E122">
        <v>2</v>
      </c>
      <c r="F122">
        <v>69000</v>
      </c>
      <c r="G122">
        <v>49000</v>
      </c>
      <c r="H122">
        <v>10</v>
      </c>
      <c r="I122">
        <v>49000</v>
      </c>
      <c r="J122" s="10" t="s">
        <v>279</v>
      </c>
      <c r="K122" s="10">
        <v>49000</v>
      </c>
      <c r="L122" s="10">
        <v>98000</v>
      </c>
      <c r="M122" s="12" t="s">
        <v>13</v>
      </c>
    </row>
    <row r="123" spans="1:13" ht="16.8" x14ac:dyDescent="0.3">
      <c r="A123" s="7" t="s">
        <v>142</v>
      </c>
      <c r="B123" s="8">
        <v>44467</v>
      </c>
      <c r="C123" s="15" t="s">
        <v>271</v>
      </c>
      <c r="D123" s="10" t="s">
        <v>224</v>
      </c>
      <c r="E123">
        <v>1</v>
      </c>
      <c r="F123">
        <v>59000</v>
      </c>
      <c r="G123">
        <v>49000</v>
      </c>
      <c r="H123">
        <v>9</v>
      </c>
      <c r="I123">
        <v>53690</v>
      </c>
      <c r="J123" s="10" t="s">
        <v>278</v>
      </c>
      <c r="K123" s="10">
        <v>53690</v>
      </c>
      <c r="L123" s="10">
        <v>53690</v>
      </c>
      <c r="M123" s="12" t="s">
        <v>249</v>
      </c>
    </row>
    <row r="124" spans="1:13" ht="16.8" x14ac:dyDescent="0.3">
      <c r="A124" s="7" t="s">
        <v>143</v>
      </c>
      <c r="B124" s="8">
        <v>45179</v>
      </c>
      <c r="C124" s="15" t="s">
        <v>3</v>
      </c>
      <c r="D124" s="10" t="s">
        <v>222</v>
      </c>
      <c r="E124">
        <v>1</v>
      </c>
      <c r="F124">
        <v>69000</v>
      </c>
      <c r="G124">
        <v>65000</v>
      </c>
      <c r="H124">
        <v>9</v>
      </c>
      <c r="I124">
        <v>62790</v>
      </c>
      <c r="J124" s="10" t="s">
        <v>278</v>
      </c>
      <c r="K124" s="10">
        <v>62790</v>
      </c>
      <c r="L124" s="10">
        <v>62790</v>
      </c>
      <c r="M124" s="12" t="s">
        <v>253</v>
      </c>
    </row>
    <row r="125" spans="1:13" ht="16.8" x14ac:dyDescent="0.3">
      <c r="A125" s="7" t="s">
        <v>144</v>
      </c>
      <c r="B125" s="8">
        <v>44646</v>
      </c>
      <c r="C125" s="15" t="s">
        <v>273</v>
      </c>
      <c r="D125" s="10" t="s">
        <v>223</v>
      </c>
      <c r="E125">
        <v>2</v>
      </c>
      <c r="F125">
        <v>49000</v>
      </c>
      <c r="G125">
        <v>55000</v>
      </c>
      <c r="H125">
        <v>9</v>
      </c>
      <c r="I125">
        <v>55000</v>
      </c>
      <c r="J125" s="10" t="s">
        <v>279</v>
      </c>
      <c r="K125" s="10">
        <v>55000</v>
      </c>
      <c r="L125" s="10">
        <v>110000</v>
      </c>
      <c r="M125" s="12" t="s">
        <v>252</v>
      </c>
    </row>
    <row r="126" spans="1:13" ht="16.8" x14ac:dyDescent="0.3">
      <c r="A126" s="7" t="s">
        <v>145</v>
      </c>
      <c r="B126" s="8">
        <v>45241</v>
      </c>
      <c r="C126" s="15" t="s">
        <v>271</v>
      </c>
      <c r="D126" s="10" t="s">
        <v>224</v>
      </c>
      <c r="E126">
        <v>3</v>
      </c>
      <c r="F126">
        <v>49000</v>
      </c>
      <c r="G126">
        <v>39000</v>
      </c>
      <c r="H126">
        <v>14</v>
      </c>
      <c r="I126">
        <v>39000</v>
      </c>
      <c r="J126" s="10" t="s">
        <v>279</v>
      </c>
      <c r="K126" s="10">
        <v>39000</v>
      </c>
      <c r="L126" s="10">
        <v>117000</v>
      </c>
      <c r="M126" s="12" t="s">
        <v>262</v>
      </c>
    </row>
    <row r="127" spans="1:13" ht="16.8" x14ac:dyDescent="0.3">
      <c r="A127" s="7" t="s">
        <v>146</v>
      </c>
      <c r="B127" s="8">
        <v>44532</v>
      </c>
      <c r="C127" s="15" t="s">
        <v>5</v>
      </c>
      <c r="D127" s="10" t="s">
        <v>224</v>
      </c>
      <c r="E127">
        <v>1</v>
      </c>
      <c r="F127">
        <v>45000</v>
      </c>
      <c r="G127">
        <v>39000</v>
      </c>
      <c r="H127">
        <v>6</v>
      </c>
      <c r="I127">
        <v>42300</v>
      </c>
      <c r="J127" s="10" t="s">
        <v>278</v>
      </c>
      <c r="K127" s="10">
        <v>42300</v>
      </c>
      <c r="L127" s="10">
        <v>42300</v>
      </c>
      <c r="M127" s="12" t="s">
        <v>227</v>
      </c>
    </row>
    <row r="128" spans="1:13" ht="16.8" x14ac:dyDescent="0.3">
      <c r="A128" s="7" t="s">
        <v>147</v>
      </c>
      <c r="B128" s="8">
        <v>44466</v>
      </c>
      <c r="C128" s="15" t="s">
        <v>6</v>
      </c>
      <c r="D128" s="10" t="s">
        <v>224</v>
      </c>
      <c r="E128">
        <v>5</v>
      </c>
      <c r="F128">
        <v>39000</v>
      </c>
      <c r="G128">
        <v>69000</v>
      </c>
      <c r="H128">
        <v>13</v>
      </c>
      <c r="I128">
        <v>33930</v>
      </c>
      <c r="J128" s="10" t="s">
        <v>278</v>
      </c>
      <c r="K128" s="10">
        <v>33930</v>
      </c>
      <c r="L128" s="10">
        <v>169650</v>
      </c>
      <c r="M128" s="12" t="s">
        <v>15</v>
      </c>
    </row>
    <row r="129" spans="1:13" ht="16.8" x14ac:dyDescent="0.3">
      <c r="A129" s="7" t="s">
        <v>148</v>
      </c>
      <c r="B129" s="8">
        <v>44821</v>
      </c>
      <c r="C129" s="15" t="s">
        <v>273</v>
      </c>
      <c r="D129" s="10" t="s">
        <v>222</v>
      </c>
      <c r="E129">
        <v>4</v>
      </c>
      <c r="F129">
        <v>59000</v>
      </c>
      <c r="G129">
        <v>59000</v>
      </c>
      <c r="H129">
        <v>8</v>
      </c>
      <c r="I129">
        <v>54280</v>
      </c>
      <c r="J129" s="10" t="s">
        <v>278</v>
      </c>
      <c r="K129" s="10">
        <v>54280</v>
      </c>
      <c r="L129" s="10">
        <v>217120</v>
      </c>
      <c r="M129" s="12" t="s">
        <v>228</v>
      </c>
    </row>
    <row r="130" spans="1:13" ht="16.8" x14ac:dyDescent="0.3">
      <c r="A130" s="7" t="s">
        <v>149</v>
      </c>
      <c r="B130" s="8">
        <v>44908</v>
      </c>
      <c r="C130" s="15" t="s">
        <v>270</v>
      </c>
      <c r="D130" s="10" t="s">
        <v>223</v>
      </c>
      <c r="E130">
        <v>1</v>
      </c>
      <c r="F130">
        <v>35000</v>
      </c>
      <c r="G130">
        <v>59000</v>
      </c>
      <c r="H130">
        <v>6</v>
      </c>
      <c r="I130">
        <v>59000</v>
      </c>
      <c r="J130" s="10" t="s">
        <v>279</v>
      </c>
      <c r="K130" s="10">
        <v>59000</v>
      </c>
      <c r="L130" s="10">
        <v>59000</v>
      </c>
      <c r="M130" s="12" t="s">
        <v>13</v>
      </c>
    </row>
    <row r="131" spans="1:13" ht="16.8" x14ac:dyDescent="0.3">
      <c r="A131" s="7" t="s">
        <v>150</v>
      </c>
      <c r="B131" s="8">
        <v>44573</v>
      </c>
      <c r="C131" s="15" t="s">
        <v>4</v>
      </c>
      <c r="D131" s="10" t="s">
        <v>224</v>
      </c>
      <c r="E131">
        <v>3</v>
      </c>
      <c r="F131">
        <v>49000</v>
      </c>
      <c r="G131">
        <v>49000</v>
      </c>
      <c r="H131">
        <v>9</v>
      </c>
      <c r="I131">
        <v>44590</v>
      </c>
      <c r="J131" s="10" t="s">
        <v>278</v>
      </c>
      <c r="K131" s="10">
        <v>44590</v>
      </c>
      <c r="L131" s="10">
        <v>133770</v>
      </c>
      <c r="M131" s="12" t="s">
        <v>12</v>
      </c>
    </row>
    <row r="132" spans="1:13" ht="16.8" x14ac:dyDescent="0.3">
      <c r="A132" s="7" t="s">
        <v>151</v>
      </c>
      <c r="B132" s="8">
        <v>44610</v>
      </c>
      <c r="C132" s="15" t="s">
        <v>270</v>
      </c>
      <c r="D132" s="10" t="s">
        <v>224</v>
      </c>
      <c r="E132">
        <v>3</v>
      </c>
      <c r="F132">
        <v>69000</v>
      </c>
      <c r="G132">
        <v>65000</v>
      </c>
      <c r="H132">
        <v>12</v>
      </c>
      <c r="I132">
        <v>60720</v>
      </c>
      <c r="J132" s="10" t="s">
        <v>278</v>
      </c>
      <c r="K132" s="10">
        <v>60720</v>
      </c>
      <c r="L132" s="10">
        <v>182160</v>
      </c>
      <c r="M132" s="12" t="s">
        <v>241</v>
      </c>
    </row>
    <row r="133" spans="1:13" ht="16.8" x14ac:dyDescent="0.3">
      <c r="A133" s="7" t="s">
        <v>152</v>
      </c>
      <c r="B133" s="8">
        <v>44385</v>
      </c>
      <c r="C133" s="15" t="s">
        <v>274</v>
      </c>
      <c r="D133" s="10" t="s">
        <v>223</v>
      </c>
      <c r="E133">
        <v>5</v>
      </c>
      <c r="F133">
        <v>65000</v>
      </c>
      <c r="G133">
        <v>49000</v>
      </c>
      <c r="H133">
        <v>8</v>
      </c>
      <c r="I133">
        <v>49000</v>
      </c>
      <c r="J133" s="10" t="s">
        <v>279</v>
      </c>
      <c r="K133" s="10">
        <v>49000</v>
      </c>
      <c r="L133" s="10">
        <v>245000</v>
      </c>
      <c r="M133" s="12" t="s">
        <v>243</v>
      </c>
    </row>
    <row r="134" spans="1:13" ht="16.8" x14ac:dyDescent="0.3">
      <c r="A134" s="7" t="s">
        <v>153</v>
      </c>
      <c r="B134" s="8">
        <v>44583</v>
      </c>
      <c r="C134" s="15" t="s">
        <v>270</v>
      </c>
      <c r="D134" s="10" t="s">
        <v>223</v>
      </c>
      <c r="E134">
        <v>4</v>
      </c>
      <c r="F134">
        <v>59000</v>
      </c>
      <c r="G134">
        <v>69000</v>
      </c>
      <c r="H134">
        <v>8</v>
      </c>
      <c r="I134">
        <v>69000</v>
      </c>
      <c r="J134" s="10" t="s">
        <v>279</v>
      </c>
      <c r="K134" s="10">
        <v>69000</v>
      </c>
      <c r="L134" s="10">
        <v>276000</v>
      </c>
      <c r="M134" s="12" t="s">
        <v>17</v>
      </c>
    </row>
    <row r="135" spans="1:13" ht="16.8" x14ac:dyDescent="0.3">
      <c r="A135" s="7" t="s">
        <v>154</v>
      </c>
      <c r="B135" s="8">
        <v>45051</v>
      </c>
      <c r="C135" s="15" t="s">
        <v>273</v>
      </c>
      <c r="D135" s="10" t="s">
        <v>224</v>
      </c>
      <c r="E135">
        <v>1</v>
      </c>
      <c r="F135">
        <v>39000</v>
      </c>
      <c r="G135">
        <v>59000</v>
      </c>
      <c r="H135">
        <v>9</v>
      </c>
      <c r="I135">
        <v>59000</v>
      </c>
      <c r="J135" s="10" t="s">
        <v>279</v>
      </c>
      <c r="K135" s="10">
        <v>59000</v>
      </c>
      <c r="L135" s="10">
        <v>59000</v>
      </c>
      <c r="M135" s="12" t="s">
        <v>21</v>
      </c>
    </row>
    <row r="136" spans="1:13" ht="16.8" x14ac:dyDescent="0.3">
      <c r="A136" s="7" t="s">
        <v>155</v>
      </c>
      <c r="B136" s="8">
        <v>44310</v>
      </c>
      <c r="C136" s="15" t="s">
        <v>272</v>
      </c>
      <c r="D136" s="10" t="s">
        <v>224</v>
      </c>
      <c r="E136">
        <v>5</v>
      </c>
      <c r="F136">
        <v>35000</v>
      </c>
      <c r="G136">
        <v>29000</v>
      </c>
      <c r="H136">
        <v>5</v>
      </c>
      <c r="I136">
        <v>33250</v>
      </c>
      <c r="J136" s="10" t="s">
        <v>278</v>
      </c>
      <c r="K136" s="10">
        <v>33250</v>
      </c>
      <c r="L136" s="10">
        <v>166250</v>
      </c>
      <c r="M136" s="12" t="s">
        <v>238</v>
      </c>
    </row>
    <row r="137" spans="1:13" ht="16.8" x14ac:dyDescent="0.3">
      <c r="A137" s="7" t="s">
        <v>156</v>
      </c>
      <c r="B137" s="8">
        <v>44358</v>
      </c>
      <c r="C137" s="15" t="s">
        <v>270</v>
      </c>
      <c r="D137" s="10" t="s">
        <v>223</v>
      </c>
      <c r="E137">
        <v>5</v>
      </c>
      <c r="F137">
        <v>65000</v>
      </c>
      <c r="G137">
        <v>39000</v>
      </c>
      <c r="H137">
        <v>7</v>
      </c>
      <c r="I137">
        <v>39000</v>
      </c>
      <c r="J137" s="10" t="s">
        <v>279</v>
      </c>
      <c r="K137" s="10">
        <v>39000</v>
      </c>
      <c r="L137" s="10">
        <v>195000</v>
      </c>
      <c r="M137" s="12" t="s">
        <v>21</v>
      </c>
    </row>
    <row r="138" spans="1:13" ht="16.8" x14ac:dyDescent="0.3">
      <c r="A138" s="7" t="s">
        <v>157</v>
      </c>
      <c r="B138" s="8">
        <v>44348</v>
      </c>
      <c r="C138" s="15" t="s">
        <v>273</v>
      </c>
      <c r="D138" s="10" t="s">
        <v>224</v>
      </c>
      <c r="E138">
        <v>2</v>
      </c>
      <c r="F138">
        <v>65000</v>
      </c>
      <c r="G138">
        <v>69000</v>
      </c>
      <c r="H138">
        <v>6</v>
      </c>
      <c r="I138">
        <v>69000</v>
      </c>
      <c r="J138" s="10" t="s">
        <v>279</v>
      </c>
      <c r="K138" s="10">
        <v>69000</v>
      </c>
      <c r="L138" s="10">
        <v>138000</v>
      </c>
      <c r="M138" s="12" t="s">
        <v>242</v>
      </c>
    </row>
    <row r="139" spans="1:13" ht="16.8" x14ac:dyDescent="0.3">
      <c r="A139" s="7" t="s">
        <v>158</v>
      </c>
      <c r="B139" s="8">
        <v>45126</v>
      </c>
      <c r="C139" s="15" t="s">
        <v>272</v>
      </c>
      <c r="D139" s="10" t="s">
        <v>223</v>
      </c>
      <c r="E139">
        <v>5</v>
      </c>
      <c r="F139">
        <v>59000</v>
      </c>
      <c r="G139">
        <v>65000</v>
      </c>
      <c r="H139">
        <v>6</v>
      </c>
      <c r="I139">
        <v>65000</v>
      </c>
      <c r="J139" s="10" t="s">
        <v>279</v>
      </c>
      <c r="K139" s="10">
        <v>65000</v>
      </c>
      <c r="L139" s="10">
        <v>325000</v>
      </c>
      <c r="M139" s="12" t="s">
        <v>256</v>
      </c>
    </row>
    <row r="140" spans="1:13" ht="16.8" x14ac:dyDescent="0.3">
      <c r="A140" s="7" t="s">
        <v>159</v>
      </c>
      <c r="B140" s="8">
        <v>44940</v>
      </c>
      <c r="C140" s="15" t="s">
        <v>4</v>
      </c>
      <c r="D140" s="10" t="s">
        <v>224</v>
      </c>
      <c r="E140">
        <v>4</v>
      </c>
      <c r="F140">
        <v>35000</v>
      </c>
      <c r="G140">
        <v>29000</v>
      </c>
      <c r="H140">
        <v>10</v>
      </c>
      <c r="I140">
        <v>29000</v>
      </c>
      <c r="J140" s="10" t="s">
        <v>279</v>
      </c>
      <c r="K140" s="10">
        <v>29000</v>
      </c>
      <c r="L140" s="10">
        <v>116000</v>
      </c>
      <c r="M140" s="12" t="s">
        <v>247</v>
      </c>
    </row>
    <row r="141" spans="1:13" ht="16.8" x14ac:dyDescent="0.3">
      <c r="A141" s="7" t="s">
        <v>160</v>
      </c>
      <c r="B141" s="8">
        <v>44759</v>
      </c>
      <c r="C141" s="15" t="s">
        <v>5</v>
      </c>
      <c r="D141" s="10" t="s">
        <v>223</v>
      </c>
      <c r="E141">
        <v>3</v>
      </c>
      <c r="F141">
        <v>29000</v>
      </c>
      <c r="G141">
        <v>65000</v>
      </c>
      <c r="H141">
        <v>14</v>
      </c>
      <c r="I141">
        <v>24940</v>
      </c>
      <c r="J141" s="10" t="s">
        <v>278</v>
      </c>
      <c r="K141" s="10">
        <v>24940</v>
      </c>
      <c r="L141" s="10">
        <v>74820</v>
      </c>
      <c r="M141" s="12" t="s">
        <v>249</v>
      </c>
    </row>
    <row r="142" spans="1:13" ht="16.8" x14ac:dyDescent="0.3">
      <c r="A142" s="7" t="s">
        <v>161</v>
      </c>
      <c r="B142" s="8">
        <v>44973</v>
      </c>
      <c r="C142" s="15" t="s">
        <v>4</v>
      </c>
      <c r="D142" s="10" t="s">
        <v>222</v>
      </c>
      <c r="E142">
        <v>1</v>
      </c>
      <c r="F142">
        <v>59000</v>
      </c>
      <c r="G142">
        <v>49000</v>
      </c>
      <c r="H142">
        <v>14</v>
      </c>
      <c r="I142">
        <v>49000</v>
      </c>
      <c r="J142" s="10" t="s">
        <v>279</v>
      </c>
      <c r="K142" s="10">
        <v>49000</v>
      </c>
      <c r="L142" s="10">
        <v>49000</v>
      </c>
      <c r="M142" s="12" t="s">
        <v>229</v>
      </c>
    </row>
    <row r="143" spans="1:13" ht="16.8" x14ac:dyDescent="0.3">
      <c r="A143" s="7" t="s">
        <v>162</v>
      </c>
      <c r="B143" s="8">
        <v>44317</v>
      </c>
      <c r="C143" s="15" t="s">
        <v>5</v>
      </c>
      <c r="D143" s="10" t="s">
        <v>222</v>
      </c>
      <c r="E143">
        <v>3</v>
      </c>
      <c r="F143">
        <v>59000</v>
      </c>
      <c r="G143">
        <v>65000</v>
      </c>
      <c r="H143">
        <v>6</v>
      </c>
      <c r="I143">
        <v>55460</v>
      </c>
      <c r="J143" s="10" t="s">
        <v>278</v>
      </c>
      <c r="K143" s="10">
        <v>55460</v>
      </c>
      <c r="L143" s="10">
        <v>166380</v>
      </c>
      <c r="M143" s="12" t="s">
        <v>225</v>
      </c>
    </row>
    <row r="144" spans="1:13" ht="16.8" x14ac:dyDescent="0.3">
      <c r="A144" s="7" t="s">
        <v>163</v>
      </c>
      <c r="B144" s="8">
        <v>45051</v>
      </c>
      <c r="C144" s="15" t="s">
        <v>273</v>
      </c>
      <c r="D144" s="10" t="s">
        <v>224</v>
      </c>
      <c r="E144">
        <v>4</v>
      </c>
      <c r="F144">
        <v>49000</v>
      </c>
      <c r="G144">
        <v>39000</v>
      </c>
      <c r="H144">
        <v>8</v>
      </c>
      <c r="I144">
        <v>39000</v>
      </c>
      <c r="J144" s="10" t="s">
        <v>279</v>
      </c>
      <c r="K144" s="10">
        <v>39000</v>
      </c>
      <c r="L144" s="10">
        <v>156000</v>
      </c>
      <c r="M144" s="12" t="s">
        <v>237</v>
      </c>
    </row>
    <row r="145" spans="1:13" ht="16.8" x14ac:dyDescent="0.3">
      <c r="A145" s="7" t="s">
        <v>164</v>
      </c>
      <c r="B145" s="8">
        <v>44346</v>
      </c>
      <c r="C145" s="15" t="s">
        <v>271</v>
      </c>
      <c r="D145" s="10" t="s">
        <v>222</v>
      </c>
      <c r="E145">
        <v>3</v>
      </c>
      <c r="F145">
        <v>49000</v>
      </c>
      <c r="G145">
        <v>65000</v>
      </c>
      <c r="H145">
        <v>10</v>
      </c>
      <c r="I145">
        <v>44100</v>
      </c>
      <c r="J145" s="10" t="s">
        <v>278</v>
      </c>
      <c r="K145" s="10">
        <v>44100</v>
      </c>
      <c r="L145" s="10">
        <v>132300</v>
      </c>
      <c r="M145" s="12" t="s">
        <v>251</v>
      </c>
    </row>
    <row r="146" spans="1:13" ht="16.8" x14ac:dyDescent="0.3">
      <c r="A146" s="7" t="s">
        <v>165</v>
      </c>
      <c r="B146" s="8">
        <v>44957</v>
      </c>
      <c r="C146" s="15" t="s">
        <v>274</v>
      </c>
      <c r="D146" s="10" t="s">
        <v>222</v>
      </c>
      <c r="E146">
        <v>4</v>
      </c>
      <c r="F146">
        <v>49000</v>
      </c>
      <c r="G146">
        <v>59000</v>
      </c>
      <c r="H146">
        <v>11</v>
      </c>
      <c r="I146">
        <v>43610</v>
      </c>
      <c r="J146" s="10" t="s">
        <v>278</v>
      </c>
      <c r="K146" s="10">
        <v>43610</v>
      </c>
      <c r="L146" s="10">
        <v>174440</v>
      </c>
      <c r="M146" s="12" t="s">
        <v>250</v>
      </c>
    </row>
    <row r="147" spans="1:13" ht="16.8" x14ac:dyDescent="0.3">
      <c r="A147" s="7" t="s">
        <v>166</v>
      </c>
      <c r="B147" s="8">
        <v>44260</v>
      </c>
      <c r="C147" s="15" t="s">
        <v>271</v>
      </c>
      <c r="D147" s="10" t="s">
        <v>222</v>
      </c>
      <c r="E147">
        <v>4</v>
      </c>
      <c r="F147">
        <v>29000</v>
      </c>
      <c r="G147">
        <v>49000</v>
      </c>
      <c r="H147">
        <v>10</v>
      </c>
      <c r="I147">
        <v>26100</v>
      </c>
      <c r="J147" s="10" t="s">
        <v>278</v>
      </c>
      <c r="K147" s="10">
        <v>26100</v>
      </c>
      <c r="L147" s="10">
        <v>104400</v>
      </c>
      <c r="M147" s="12" t="s">
        <v>226</v>
      </c>
    </row>
    <row r="148" spans="1:13" ht="16.8" x14ac:dyDescent="0.3">
      <c r="A148" s="7" t="s">
        <v>167</v>
      </c>
      <c r="B148" s="8">
        <v>44621</v>
      </c>
      <c r="C148" s="15" t="s">
        <v>273</v>
      </c>
      <c r="D148" s="10" t="s">
        <v>222</v>
      </c>
      <c r="E148">
        <v>1</v>
      </c>
      <c r="F148">
        <v>69000</v>
      </c>
      <c r="G148">
        <v>69000</v>
      </c>
      <c r="H148">
        <v>12</v>
      </c>
      <c r="I148">
        <v>60720</v>
      </c>
      <c r="J148" s="10" t="s">
        <v>278</v>
      </c>
      <c r="K148" s="10">
        <v>60720</v>
      </c>
      <c r="L148" s="10">
        <v>60720</v>
      </c>
      <c r="M148" s="12" t="s">
        <v>242</v>
      </c>
    </row>
    <row r="149" spans="1:13" ht="16.8" x14ac:dyDescent="0.3">
      <c r="A149" s="7" t="s">
        <v>168</v>
      </c>
      <c r="B149" s="8">
        <v>44850</v>
      </c>
      <c r="C149" s="15" t="s">
        <v>3</v>
      </c>
      <c r="D149" s="10" t="s">
        <v>224</v>
      </c>
      <c r="E149">
        <v>4</v>
      </c>
      <c r="F149">
        <v>49000</v>
      </c>
      <c r="G149">
        <v>55000</v>
      </c>
      <c r="H149">
        <v>15</v>
      </c>
      <c r="I149">
        <v>55000</v>
      </c>
      <c r="J149" s="10" t="s">
        <v>279</v>
      </c>
      <c r="K149" s="10">
        <v>55000</v>
      </c>
      <c r="L149" s="10">
        <v>220000</v>
      </c>
      <c r="M149" s="12" t="s">
        <v>261</v>
      </c>
    </row>
    <row r="150" spans="1:13" ht="16.8" x14ac:dyDescent="0.3">
      <c r="A150" s="7" t="s">
        <v>169</v>
      </c>
      <c r="B150" s="8">
        <v>44692</v>
      </c>
      <c r="C150" s="15" t="s">
        <v>273</v>
      </c>
      <c r="D150" s="10" t="s">
        <v>223</v>
      </c>
      <c r="E150">
        <v>3</v>
      </c>
      <c r="F150">
        <v>35000</v>
      </c>
      <c r="G150">
        <v>65000</v>
      </c>
      <c r="H150">
        <v>5</v>
      </c>
      <c r="I150">
        <v>33250</v>
      </c>
      <c r="J150" s="10" t="s">
        <v>278</v>
      </c>
      <c r="K150" s="10">
        <v>33250</v>
      </c>
      <c r="L150" s="10">
        <v>99750</v>
      </c>
      <c r="M150" s="12" t="s">
        <v>14</v>
      </c>
    </row>
    <row r="151" spans="1:13" ht="16.8" x14ac:dyDescent="0.3">
      <c r="A151" s="7" t="s">
        <v>170</v>
      </c>
      <c r="B151" s="8">
        <v>44300</v>
      </c>
      <c r="C151" s="15" t="s">
        <v>270</v>
      </c>
      <c r="D151" s="10" t="s">
        <v>223</v>
      </c>
      <c r="E151">
        <v>4</v>
      </c>
      <c r="F151">
        <v>59000</v>
      </c>
      <c r="G151">
        <v>65000</v>
      </c>
      <c r="H151">
        <v>11</v>
      </c>
      <c r="I151">
        <v>65000</v>
      </c>
      <c r="J151" s="10" t="s">
        <v>279</v>
      </c>
      <c r="K151" s="10">
        <v>65000</v>
      </c>
      <c r="L151" s="10">
        <v>260000</v>
      </c>
      <c r="M151" s="12" t="s">
        <v>258</v>
      </c>
    </row>
    <row r="152" spans="1:13" ht="16.8" x14ac:dyDescent="0.3">
      <c r="A152" s="7" t="s">
        <v>171</v>
      </c>
      <c r="B152" s="8">
        <v>45203</v>
      </c>
      <c r="C152" s="15" t="s">
        <v>4</v>
      </c>
      <c r="D152" s="10" t="s">
        <v>224</v>
      </c>
      <c r="E152">
        <v>1</v>
      </c>
      <c r="F152">
        <v>59000</v>
      </c>
      <c r="G152">
        <v>35000</v>
      </c>
      <c r="H152">
        <v>14</v>
      </c>
      <c r="I152">
        <v>50740</v>
      </c>
      <c r="J152" s="10" t="s">
        <v>278</v>
      </c>
      <c r="K152" s="10">
        <v>50740</v>
      </c>
      <c r="L152" s="10">
        <v>50740</v>
      </c>
      <c r="M152" s="12" t="s">
        <v>262</v>
      </c>
    </row>
    <row r="153" spans="1:13" ht="16.8" x14ac:dyDescent="0.3">
      <c r="A153" s="7" t="s">
        <v>172</v>
      </c>
      <c r="B153" s="8">
        <v>44645</v>
      </c>
      <c r="C153" s="15" t="s">
        <v>4</v>
      </c>
      <c r="D153" s="10" t="s">
        <v>222</v>
      </c>
      <c r="E153">
        <v>1</v>
      </c>
      <c r="F153">
        <v>65000</v>
      </c>
      <c r="G153">
        <v>59000</v>
      </c>
      <c r="H153">
        <v>10</v>
      </c>
      <c r="I153">
        <v>59000</v>
      </c>
      <c r="J153" s="10" t="s">
        <v>279</v>
      </c>
      <c r="K153" s="10">
        <v>59000</v>
      </c>
      <c r="L153" s="10">
        <v>59000</v>
      </c>
      <c r="M153" s="12" t="s">
        <v>243</v>
      </c>
    </row>
    <row r="154" spans="1:13" ht="16.8" x14ac:dyDescent="0.3">
      <c r="A154" s="7" t="s">
        <v>173</v>
      </c>
      <c r="B154" s="8">
        <v>44343</v>
      </c>
      <c r="C154" s="15" t="s">
        <v>271</v>
      </c>
      <c r="D154" s="10" t="s">
        <v>222</v>
      </c>
      <c r="E154">
        <v>2</v>
      </c>
      <c r="F154">
        <v>59000</v>
      </c>
      <c r="G154">
        <v>69000</v>
      </c>
      <c r="H154">
        <v>11</v>
      </c>
      <c r="I154">
        <v>69000</v>
      </c>
      <c r="J154" s="10" t="s">
        <v>279</v>
      </c>
      <c r="K154" s="10">
        <v>69000</v>
      </c>
      <c r="L154" s="10">
        <v>138000</v>
      </c>
      <c r="M154" s="12" t="s">
        <v>232</v>
      </c>
    </row>
    <row r="155" spans="1:13" ht="16.8" x14ac:dyDescent="0.3">
      <c r="A155" s="7" t="s">
        <v>174</v>
      </c>
      <c r="B155" s="8">
        <v>44979</v>
      </c>
      <c r="C155" s="15" t="s">
        <v>5</v>
      </c>
      <c r="D155" s="10" t="s">
        <v>222</v>
      </c>
      <c r="E155">
        <v>4</v>
      </c>
      <c r="F155">
        <v>39000</v>
      </c>
      <c r="G155">
        <v>49000</v>
      </c>
      <c r="H155">
        <v>5</v>
      </c>
      <c r="I155">
        <v>37050</v>
      </c>
      <c r="J155" s="10" t="s">
        <v>278</v>
      </c>
      <c r="K155" s="10">
        <v>37050</v>
      </c>
      <c r="L155" s="10">
        <v>148200</v>
      </c>
      <c r="M155" s="12" t="s">
        <v>241</v>
      </c>
    </row>
    <row r="156" spans="1:13" ht="16.8" x14ac:dyDescent="0.3">
      <c r="A156" s="7" t="s">
        <v>175</v>
      </c>
      <c r="B156" s="8">
        <v>44216</v>
      </c>
      <c r="C156" s="15" t="s">
        <v>6</v>
      </c>
      <c r="D156" s="10" t="s">
        <v>224</v>
      </c>
      <c r="E156">
        <v>1</v>
      </c>
      <c r="F156">
        <v>59000</v>
      </c>
      <c r="G156">
        <v>55000</v>
      </c>
      <c r="H156">
        <v>14</v>
      </c>
      <c r="I156">
        <v>50740</v>
      </c>
      <c r="J156" s="10" t="s">
        <v>278</v>
      </c>
      <c r="K156" s="10">
        <v>50740</v>
      </c>
      <c r="L156" s="10">
        <v>50740</v>
      </c>
      <c r="M156" s="12" t="s">
        <v>229</v>
      </c>
    </row>
    <row r="157" spans="1:13" ht="16.8" x14ac:dyDescent="0.3">
      <c r="A157" s="7" t="s">
        <v>176</v>
      </c>
      <c r="B157" s="8">
        <v>44802</v>
      </c>
      <c r="C157" s="15" t="s">
        <v>272</v>
      </c>
      <c r="D157" s="10" t="s">
        <v>224</v>
      </c>
      <c r="E157">
        <v>1</v>
      </c>
      <c r="F157">
        <v>69000</v>
      </c>
      <c r="G157">
        <v>59000</v>
      </c>
      <c r="H157">
        <v>9</v>
      </c>
      <c r="I157">
        <v>59000</v>
      </c>
      <c r="J157" s="10" t="s">
        <v>279</v>
      </c>
      <c r="K157" s="10">
        <v>59000</v>
      </c>
      <c r="L157" s="10">
        <v>59000</v>
      </c>
      <c r="M157" s="12" t="s">
        <v>253</v>
      </c>
    </row>
    <row r="158" spans="1:13" ht="16.8" x14ac:dyDescent="0.3">
      <c r="A158" s="7" t="s">
        <v>177</v>
      </c>
      <c r="B158" s="8">
        <v>44872</v>
      </c>
      <c r="C158" s="15" t="s">
        <v>270</v>
      </c>
      <c r="D158" s="10" t="s">
        <v>223</v>
      </c>
      <c r="E158">
        <v>4</v>
      </c>
      <c r="F158">
        <v>75000</v>
      </c>
      <c r="G158">
        <v>49000</v>
      </c>
      <c r="H158">
        <v>12</v>
      </c>
      <c r="I158">
        <v>49000</v>
      </c>
      <c r="J158" s="10" t="s">
        <v>279</v>
      </c>
      <c r="K158" s="10">
        <v>49000</v>
      </c>
      <c r="L158" s="10">
        <v>196000</v>
      </c>
      <c r="M158" s="12" t="s">
        <v>15</v>
      </c>
    </row>
    <row r="159" spans="1:13" ht="16.8" x14ac:dyDescent="0.3">
      <c r="A159" s="7" t="s">
        <v>178</v>
      </c>
      <c r="B159" s="8">
        <v>44618</v>
      </c>
      <c r="C159" s="15" t="s">
        <v>3</v>
      </c>
      <c r="D159" s="10" t="s">
        <v>222</v>
      </c>
      <c r="E159">
        <v>5</v>
      </c>
      <c r="F159">
        <v>39000</v>
      </c>
      <c r="G159">
        <v>59000</v>
      </c>
      <c r="H159">
        <v>8</v>
      </c>
      <c r="I159">
        <v>59000</v>
      </c>
      <c r="J159" s="10" t="s">
        <v>279</v>
      </c>
      <c r="K159" s="10">
        <v>59000</v>
      </c>
      <c r="L159" s="10">
        <v>295000</v>
      </c>
      <c r="M159" s="12" t="s">
        <v>254</v>
      </c>
    </row>
    <row r="160" spans="1:13" ht="16.8" x14ac:dyDescent="0.3">
      <c r="A160" s="7" t="s">
        <v>179</v>
      </c>
      <c r="B160" s="8">
        <v>45090</v>
      </c>
      <c r="C160" s="15" t="s">
        <v>272</v>
      </c>
      <c r="D160" s="10" t="s">
        <v>224</v>
      </c>
      <c r="E160">
        <v>4</v>
      </c>
      <c r="F160">
        <v>49000</v>
      </c>
      <c r="G160">
        <v>69000</v>
      </c>
      <c r="H160">
        <v>10</v>
      </c>
      <c r="I160">
        <v>44100</v>
      </c>
      <c r="J160" s="10" t="s">
        <v>278</v>
      </c>
      <c r="K160" s="10">
        <v>44100</v>
      </c>
      <c r="L160" s="10">
        <v>176400</v>
      </c>
      <c r="M160" s="12" t="s">
        <v>245</v>
      </c>
    </row>
    <row r="161" spans="1:13" ht="16.8" x14ac:dyDescent="0.3">
      <c r="A161" s="7" t="s">
        <v>180</v>
      </c>
      <c r="B161" s="8">
        <v>44355</v>
      </c>
      <c r="C161" s="15" t="s">
        <v>5</v>
      </c>
      <c r="D161" s="10" t="s">
        <v>222</v>
      </c>
      <c r="E161">
        <v>2</v>
      </c>
      <c r="F161">
        <v>59000</v>
      </c>
      <c r="G161">
        <v>69000</v>
      </c>
      <c r="H161">
        <v>7</v>
      </c>
      <c r="I161">
        <v>54869.999999999993</v>
      </c>
      <c r="J161" s="10" t="s">
        <v>278</v>
      </c>
      <c r="K161" s="10">
        <v>54869.999999999993</v>
      </c>
      <c r="L161" s="10">
        <v>109739.99999999999</v>
      </c>
      <c r="M161" s="12" t="s">
        <v>246</v>
      </c>
    </row>
    <row r="162" spans="1:13" ht="16.8" x14ac:dyDescent="0.3">
      <c r="A162" s="7" t="s">
        <v>181</v>
      </c>
      <c r="B162" s="8">
        <v>44986</v>
      </c>
      <c r="C162" s="15" t="s">
        <v>5</v>
      </c>
      <c r="D162" s="10" t="s">
        <v>224</v>
      </c>
      <c r="E162">
        <v>4</v>
      </c>
      <c r="F162">
        <v>65000</v>
      </c>
      <c r="G162">
        <v>59000</v>
      </c>
      <c r="H162">
        <v>10</v>
      </c>
      <c r="I162">
        <v>58500</v>
      </c>
      <c r="J162" s="10" t="s">
        <v>278</v>
      </c>
      <c r="K162" s="10">
        <v>58500</v>
      </c>
      <c r="L162" s="10">
        <v>234000</v>
      </c>
      <c r="M162" s="12" t="s">
        <v>238</v>
      </c>
    </row>
    <row r="163" spans="1:13" ht="16.8" x14ac:dyDescent="0.3">
      <c r="A163" s="7" t="s">
        <v>182</v>
      </c>
      <c r="B163" s="8">
        <v>44853</v>
      </c>
      <c r="C163" s="15" t="s">
        <v>3</v>
      </c>
      <c r="D163" s="10" t="s">
        <v>222</v>
      </c>
      <c r="E163">
        <v>1</v>
      </c>
      <c r="F163">
        <v>55000</v>
      </c>
      <c r="G163">
        <v>49000</v>
      </c>
      <c r="H163">
        <v>5</v>
      </c>
      <c r="I163">
        <v>52250</v>
      </c>
      <c r="J163" s="10" t="s">
        <v>278</v>
      </c>
      <c r="K163" s="10">
        <v>52250</v>
      </c>
      <c r="L163" s="10">
        <v>52250</v>
      </c>
      <c r="M163" s="12" t="s">
        <v>249</v>
      </c>
    </row>
    <row r="164" spans="1:13" ht="16.8" x14ac:dyDescent="0.3">
      <c r="A164" s="7" t="s">
        <v>183</v>
      </c>
      <c r="B164" s="8">
        <v>44894</v>
      </c>
      <c r="C164" s="15" t="s">
        <v>273</v>
      </c>
      <c r="D164" s="10" t="s">
        <v>222</v>
      </c>
      <c r="E164">
        <v>4</v>
      </c>
      <c r="F164">
        <v>35000</v>
      </c>
      <c r="G164">
        <v>49000</v>
      </c>
      <c r="H164">
        <v>13</v>
      </c>
      <c r="I164">
        <v>49000</v>
      </c>
      <c r="J164" s="10" t="s">
        <v>279</v>
      </c>
      <c r="K164" s="10">
        <v>49000</v>
      </c>
      <c r="L164" s="10">
        <v>196000</v>
      </c>
      <c r="M164" s="12" t="s">
        <v>244</v>
      </c>
    </row>
    <row r="165" spans="1:13" ht="16.8" x14ac:dyDescent="0.3">
      <c r="A165" s="7" t="s">
        <v>184</v>
      </c>
      <c r="B165" s="8">
        <v>45196</v>
      </c>
      <c r="C165" s="15" t="s">
        <v>274</v>
      </c>
      <c r="D165" s="10" t="s">
        <v>223</v>
      </c>
      <c r="E165">
        <v>3</v>
      </c>
      <c r="F165">
        <v>69000</v>
      </c>
      <c r="G165">
        <v>69000</v>
      </c>
      <c r="H165">
        <v>13</v>
      </c>
      <c r="I165">
        <v>60030</v>
      </c>
      <c r="J165" s="10" t="s">
        <v>278</v>
      </c>
      <c r="K165" s="10">
        <v>60030</v>
      </c>
      <c r="L165" s="10">
        <v>180090</v>
      </c>
      <c r="M165" s="12" t="s">
        <v>236</v>
      </c>
    </row>
    <row r="166" spans="1:13" ht="16.8" x14ac:dyDescent="0.3">
      <c r="A166" s="7" t="s">
        <v>185</v>
      </c>
      <c r="B166" s="8">
        <v>44376</v>
      </c>
      <c r="C166" s="15" t="s">
        <v>273</v>
      </c>
      <c r="D166" s="10" t="s">
        <v>222</v>
      </c>
      <c r="E166">
        <v>5</v>
      </c>
      <c r="F166">
        <v>59000</v>
      </c>
      <c r="G166">
        <v>49000</v>
      </c>
      <c r="H166">
        <v>13</v>
      </c>
      <c r="I166">
        <v>51330</v>
      </c>
      <c r="J166" s="10" t="s">
        <v>278</v>
      </c>
      <c r="K166" s="10">
        <v>51330</v>
      </c>
      <c r="L166" s="10">
        <v>256650</v>
      </c>
      <c r="M166" s="12" t="s">
        <v>250</v>
      </c>
    </row>
    <row r="167" spans="1:13" ht="16.8" x14ac:dyDescent="0.3">
      <c r="A167" s="7" t="s">
        <v>186</v>
      </c>
      <c r="B167" s="8">
        <v>44662</v>
      </c>
      <c r="C167" s="15" t="s">
        <v>271</v>
      </c>
      <c r="D167" s="10" t="s">
        <v>223</v>
      </c>
      <c r="E167">
        <v>4</v>
      </c>
      <c r="F167">
        <v>65000</v>
      </c>
      <c r="G167">
        <v>69000</v>
      </c>
      <c r="H167">
        <v>12</v>
      </c>
      <c r="I167">
        <v>69000</v>
      </c>
      <c r="J167" s="10" t="s">
        <v>279</v>
      </c>
      <c r="K167" s="10">
        <v>69000</v>
      </c>
      <c r="L167" s="10">
        <v>276000</v>
      </c>
      <c r="M167" s="12" t="s">
        <v>248</v>
      </c>
    </row>
    <row r="168" spans="1:13" ht="16.8" x14ac:dyDescent="0.3">
      <c r="A168" s="7" t="s">
        <v>187</v>
      </c>
      <c r="B168" s="8">
        <v>44480</v>
      </c>
      <c r="C168" s="15" t="s">
        <v>4</v>
      </c>
      <c r="D168" s="10" t="s">
        <v>224</v>
      </c>
      <c r="E168">
        <v>5</v>
      </c>
      <c r="F168">
        <v>65000</v>
      </c>
      <c r="G168">
        <v>59000</v>
      </c>
      <c r="H168">
        <v>10</v>
      </c>
      <c r="I168">
        <v>59000</v>
      </c>
      <c r="J168" s="10" t="s">
        <v>279</v>
      </c>
      <c r="K168" s="10">
        <v>59000</v>
      </c>
      <c r="L168" s="10">
        <v>295000</v>
      </c>
      <c r="M168" s="12" t="s">
        <v>18</v>
      </c>
    </row>
    <row r="169" spans="1:13" ht="16.8" x14ac:dyDescent="0.3">
      <c r="A169" s="7" t="s">
        <v>188</v>
      </c>
      <c r="B169" s="8">
        <v>44393</v>
      </c>
      <c r="C169" s="15" t="s">
        <v>4</v>
      </c>
      <c r="D169" s="10" t="s">
        <v>224</v>
      </c>
      <c r="E169">
        <v>4</v>
      </c>
      <c r="F169">
        <v>59000</v>
      </c>
      <c r="G169">
        <v>65000</v>
      </c>
      <c r="H169">
        <v>6</v>
      </c>
      <c r="I169">
        <v>65000</v>
      </c>
      <c r="J169" s="10" t="s">
        <v>279</v>
      </c>
      <c r="K169" s="10">
        <v>65000</v>
      </c>
      <c r="L169" s="10">
        <v>260000</v>
      </c>
      <c r="M169" s="12" t="s">
        <v>259</v>
      </c>
    </row>
    <row r="170" spans="1:13" ht="16.8" x14ac:dyDescent="0.3">
      <c r="A170" s="7" t="s">
        <v>189</v>
      </c>
      <c r="B170" s="8">
        <v>44509</v>
      </c>
      <c r="C170" s="15" t="s">
        <v>5</v>
      </c>
      <c r="D170" s="10" t="s">
        <v>222</v>
      </c>
      <c r="E170">
        <v>5</v>
      </c>
      <c r="F170">
        <v>65000</v>
      </c>
      <c r="G170">
        <v>49000</v>
      </c>
      <c r="H170">
        <v>15</v>
      </c>
      <c r="I170">
        <v>55250</v>
      </c>
      <c r="J170" s="10" t="s">
        <v>278</v>
      </c>
      <c r="K170" s="10">
        <v>55250</v>
      </c>
      <c r="L170" s="10">
        <v>276250</v>
      </c>
      <c r="M170" s="12" t="s">
        <v>225</v>
      </c>
    </row>
    <row r="171" spans="1:13" ht="16.8" x14ac:dyDescent="0.3">
      <c r="A171" s="7" t="s">
        <v>190</v>
      </c>
      <c r="B171" s="8">
        <v>44822</v>
      </c>
      <c r="C171" s="15" t="s">
        <v>272</v>
      </c>
      <c r="D171" s="10" t="s">
        <v>223</v>
      </c>
      <c r="E171">
        <v>4</v>
      </c>
      <c r="F171">
        <v>65000</v>
      </c>
      <c r="G171">
        <v>49000</v>
      </c>
      <c r="H171">
        <v>6</v>
      </c>
      <c r="I171">
        <v>61100</v>
      </c>
      <c r="J171" s="10" t="s">
        <v>278</v>
      </c>
      <c r="K171" s="10">
        <v>61100</v>
      </c>
      <c r="L171" s="10">
        <v>244400</v>
      </c>
      <c r="M171" s="12" t="s">
        <v>253</v>
      </c>
    </row>
    <row r="172" spans="1:13" ht="16.8" x14ac:dyDescent="0.3">
      <c r="A172" s="7" t="s">
        <v>191</v>
      </c>
      <c r="B172" s="8">
        <v>44716</v>
      </c>
      <c r="C172" s="15" t="s">
        <v>271</v>
      </c>
      <c r="D172" s="10" t="s">
        <v>223</v>
      </c>
      <c r="E172">
        <v>3</v>
      </c>
      <c r="F172">
        <v>49000</v>
      </c>
      <c r="G172">
        <v>45000</v>
      </c>
      <c r="H172">
        <v>9</v>
      </c>
      <c r="I172">
        <v>44590</v>
      </c>
      <c r="J172" s="10" t="s">
        <v>278</v>
      </c>
      <c r="K172" s="10">
        <v>44590</v>
      </c>
      <c r="L172" s="10">
        <v>133770</v>
      </c>
      <c r="M172" s="12" t="s">
        <v>240</v>
      </c>
    </row>
    <row r="173" spans="1:13" ht="16.8" x14ac:dyDescent="0.3">
      <c r="A173" s="7" t="s">
        <v>192</v>
      </c>
      <c r="B173" s="8">
        <v>45208</v>
      </c>
      <c r="C173" s="15" t="s">
        <v>273</v>
      </c>
      <c r="D173" s="10" t="s">
        <v>223</v>
      </c>
      <c r="E173">
        <v>3</v>
      </c>
      <c r="F173">
        <v>75000</v>
      </c>
      <c r="G173">
        <v>65000</v>
      </c>
      <c r="H173">
        <v>10</v>
      </c>
      <c r="I173">
        <v>67500</v>
      </c>
      <c r="J173" s="10" t="s">
        <v>278</v>
      </c>
      <c r="K173" s="10">
        <v>67500</v>
      </c>
      <c r="L173" s="10">
        <v>202500</v>
      </c>
      <c r="M173" s="12" t="s">
        <v>261</v>
      </c>
    </row>
    <row r="174" spans="1:13" ht="16.8" x14ac:dyDescent="0.3">
      <c r="A174" s="7" t="s">
        <v>193</v>
      </c>
      <c r="B174" s="8">
        <v>44591</v>
      </c>
      <c r="C174" s="15" t="s">
        <v>273</v>
      </c>
      <c r="D174" s="10" t="s">
        <v>222</v>
      </c>
      <c r="E174">
        <v>4</v>
      </c>
      <c r="F174">
        <v>69000</v>
      </c>
      <c r="G174">
        <v>69000</v>
      </c>
      <c r="H174">
        <v>9</v>
      </c>
      <c r="I174">
        <v>62790</v>
      </c>
      <c r="J174" s="10" t="s">
        <v>278</v>
      </c>
      <c r="K174" s="10">
        <v>62790</v>
      </c>
      <c r="L174" s="10">
        <v>251160</v>
      </c>
      <c r="M174" s="12" t="s">
        <v>244</v>
      </c>
    </row>
    <row r="175" spans="1:13" ht="16.8" x14ac:dyDescent="0.3">
      <c r="A175" s="7" t="s">
        <v>194</v>
      </c>
      <c r="B175" s="8">
        <v>44877</v>
      </c>
      <c r="C175" s="15" t="s">
        <v>4</v>
      </c>
      <c r="D175" s="10" t="s">
        <v>224</v>
      </c>
      <c r="E175">
        <v>1</v>
      </c>
      <c r="F175">
        <v>59000</v>
      </c>
      <c r="G175">
        <v>49000</v>
      </c>
      <c r="H175">
        <v>10</v>
      </c>
      <c r="I175">
        <v>49000</v>
      </c>
      <c r="J175" s="10" t="s">
        <v>279</v>
      </c>
      <c r="K175" s="10">
        <v>49000</v>
      </c>
      <c r="L175" s="10">
        <v>49000</v>
      </c>
      <c r="M175" s="12" t="s">
        <v>228</v>
      </c>
    </row>
    <row r="176" spans="1:13" ht="16.8" x14ac:dyDescent="0.3">
      <c r="A176" s="7" t="s">
        <v>195</v>
      </c>
      <c r="B176" s="8">
        <v>44350</v>
      </c>
      <c r="C176" s="15" t="s">
        <v>272</v>
      </c>
      <c r="D176" s="10" t="s">
        <v>224</v>
      </c>
      <c r="E176">
        <v>2</v>
      </c>
      <c r="F176">
        <v>69000</v>
      </c>
      <c r="G176">
        <v>59000</v>
      </c>
      <c r="H176">
        <v>6</v>
      </c>
      <c r="I176">
        <v>64859.999999999993</v>
      </c>
      <c r="J176" s="10" t="s">
        <v>278</v>
      </c>
      <c r="K176" s="10">
        <v>64859.999999999993</v>
      </c>
      <c r="L176" s="10">
        <v>129719.99999999999</v>
      </c>
      <c r="M176" s="12" t="s">
        <v>228</v>
      </c>
    </row>
    <row r="177" spans="1:13" ht="16.8" x14ac:dyDescent="0.3">
      <c r="A177" s="7" t="s">
        <v>196</v>
      </c>
      <c r="B177" s="8">
        <v>45281</v>
      </c>
      <c r="C177" s="15" t="s">
        <v>4</v>
      </c>
      <c r="D177" s="10" t="s">
        <v>223</v>
      </c>
      <c r="E177">
        <v>4</v>
      </c>
      <c r="F177">
        <v>65000</v>
      </c>
      <c r="G177">
        <v>59000</v>
      </c>
      <c r="H177">
        <v>9</v>
      </c>
      <c r="I177">
        <v>59000</v>
      </c>
      <c r="J177" s="10" t="s">
        <v>279</v>
      </c>
      <c r="K177" s="10">
        <v>59000</v>
      </c>
      <c r="L177" s="10">
        <v>236000</v>
      </c>
      <c r="M177" s="12" t="s">
        <v>237</v>
      </c>
    </row>
    <row r="178" spans="1:13" ht="16.8" x14ac:dyDescent="0.3">
      <c r="A178" s="7" t="s">
        <v>197</v>
      </c>
      <c r="B178" s="8">
        <v>44690</v>
      </c>
      <c r="C178" s="15" t="s">
        <v>4</v>
      </c>
      <c r="D178" s="10" t="s">
        <v>224</v>
      </c>
      <c r="E178">
        <v>1</v>
      </c>
      <c r="F178">
        <v>65000</v>
      </c>
      <c r="G178">
        <v>29000</v>
      </c>
      <c r="H178">
        <v>14</v>
      </c>
      <c r="I178">
        <v>55900</v>
      </c>
      <c r="J178" s="10" t="s">
        <v>278</v>
      </c>
      <c r="K178" s="10">
        <v>55900</v>
      </c>
      <c r="L178" s="10">
        <v>55900</v>
      </c>
      <c r="M178" s="12" t="s">
        <v>239</v>
      </c>
    </row>
    <row r="179" spans="1:13" ht="16.8" x14ac:dyDescent="0.3">
      <c r="A179" s="7" t="s">
        <v>198</v>
      </c>
      <c r="B179" s="8">
        <v>45226</v>
      </c>
      <c r="C179" s="15" t="s">
        <v>275</v>
      </c>
      <c r="D179" s="10" t="s">
        <v>224</v>
      </c>
      <c r="E179">
        <v>1</v>
      </c>
      <c r="F179">
        <v>49000</v>
      </c>
      <c r="G179">
        <v>49000</v>
      </c>
      <c r="H179">
        <v>12</v>
      </c>
      <c r="I179">
        <v>49000</v>
      </c>
      <c r="J179" s="10" t="s">
        <v>279</v>
      </c>
      <c r="K179" s="10">
        <v>49000</v>
      </c>
      <c r="L179" s="10">
        <v>49000</v>
      </c>
      <c r="M179" s="12" t="s">
        <v>248</v>
      </c>
    </row>
    <row r="180" spans="1:13" ht="16.8" x14ac:dyDescent="0.3">
      <c r="A180" s="7" t="s">
        <v>199</v>
      </c>
      <c r="B180" s="8">
        <v>45252</v>
      </c>
      <c r="C180" s="15" t="s">
        <v>6</v>
      </c>
      <c r="D180" s="10" t="s">
        <v>223</v>
      </c>
      <c r="E180">
        <v>3</v>
      </c>
      <c r="F180">
        <v>39000</v>
      </c>
      <c r="G180">
        <v>69000</v>
      </c>
      <c r="H180">
        <v>6</v>
      </c>
      <c r="I180">
        <v>36660</v>
      </c>
      <c r="J180" s="10" t="s">
        <v>278</v>
      </c>
      <c r="K180" s="10">
        <v>36660</v>
      </c>
      <c r="L180" s="10">
        <v>109980</v>
      </c>
      <c r="M180" s="12" t="s">
        <v>248</v>
      </c>
    </row>
    <row r="181" spans="1:13" ht="16.8" x14ac:dyDescent="0.3">
      <c r="A181" s="7" t="s">
        <v>200</v>
      </c>
      <c r="B181" s="8">
        <v>45125</v>
      </c>
      <c r="C181" s="15" t="s">
        <v>4</v>
      </c>
      <c r="D181" s="10" t="s">
        <v>222</v>
      </c>
      <c r="E181">
        <v>5</v>
      </c>
      <c r="F181">
        <v>65000</v>
      </c>
      <c r="G181">
        <v>39000</v>
      </c>
      <c r="H181">
        <v>10</v>
      </c>
      <c r="I181">
        <v>58500</v>
      </c>
      <c r="J181" s="10" t="s">
        <v>278</v>
      </c>
      <c r="K181" s="10">
        <v>58500</v>
      </c>
      <c r="L181" s="10">
        <v>292500</v>
      </c>
      <c r="M181" s="12" t="s">
        <v>245</v>
      </c>
    </row>
    <row r="182" spans="1:13" ht="16.8" x14ac:dyDescent="0.3">
      <c r="A182" s="7" t="s">
        <v>201</v>
      </c>
      <c r="B182" s="8">
        <v>44307</v>
      </c>
      <c r="C182" s="15" t="s">
        <v>274</v>
      </c>
      <c r="D182" s="10" t="s">
        <v>222</v>
      </c>
      <c r="E182">
        <v>1</v>
      </c>
      <c r="F182">
        <v>69000</v>
      </c>
      <c r="G182">
        <v>55000</v>
      </c>
      <c r="H182">
        <v>10</v>
      </c>
      <c r="I182">
        <v>55000</v>
      </c>
      <c r="J182" s="10" t="s">
        <v>279</v>
      </c>
      <c r="K182" s="10">
        <v>55000</v>
      </c>
      <c r="L182" s="10">
        <v>55000</v>
      </c>
      <c r="M182" s="12" t="s">
        <v>254</v>
      </c>
    </row>
    <row r="183" spans="1:13" ht="16.8" x14ac:dyDescent="0.3">
      <c r="A183" s="7" t="s">
        <v>202</v>
      </c>
      <c r="B183" s="8">
        <v>45221</v>
      </c>
      <c r="C183" s="15" t="s">
        <v>275</v>
      </c>
      <c r="D183" s="10" t="s">
        <v>223</v>
      </c>
      <c r="E183">
        <v>1</v>
      </c>
      <c r="F183">
        <v>65000</v>
      </c>
      <c r="G183">
        <v>45000</v>
      </c>
      <c r="H183">
        <v>10</v>
      </c>
      <c r="I183">
        <v>45000</v>
      </c>
      <c r="J183" s="10" t="s">
        <v>279</v>
      </c>
      <c r="K183" s="10">
        <v>45000</v>
      </c>
      <c r="L183" s="10">
        <v>45000</v>
      </c>
      <c r="M183" s="12" t="s">
        <v>242</v>
      </c>
    </row>
    <row r="184" spans="1:13" ht="16.8" x14ac:dyDescent="0.3">
      <c r="A184" s="7" t="s">
        <v>203</v>
      </c>
      <c r="B184" s="8">
        <v>44642</v>
      </c>
      <c r="C184" s="15" t="s">
        <v>4</v>
      </c>
      <c r="D184" s="10" t="s">
        <v>224</v>
      </c>
      <c r="E184">
        <v>5</v>
      </c>
      <c r="F184">
        <v>49000</v>
      </c>
      <c r="G184">
        <v>65000</v>
      </c>
      <c r="H184">
        <v>12</v>
      </c>
      <c r="I184">
        <v>65000</v>
      </c>
      <c r="J184" s="10" t="s">
        <v>279</v>
      </c>
      <c r="K184" s="10">
        <v>65000</v>
      </c>
      <c r="L184" s="10">
        <v>325000</v>
      </c>
      <c r="M184" s="12" t="s">
        <v>13</v>
      </c>
    </row>
    <row r="185" spans="1:13" ht="16.8" x14ac:dyDescent="0.3">
      <c r="A185" s="7" t="s">
        <v>204</v>
      </c>
      <c r="B185" s="8">
        <v>45231</v>
      </c>
      <c r="C185" s="15" t="s">
        <v>273</v>
      </c>
      <c r="D185" s="10" t="s">
        <v>223</v>
      </c>
      <c r="E185">
        <v>2</v>
      </c>
      <c r="F185">
        <v>39000</v>
      </c>
      <c r="G185">
        <v>29000</v>
      </c>
      <c r="H185">
        <v>5</v>
      </c>
      <c r="I185">
        <v>37050</v>
      </c>
      <c r="J185" s="10" t="s">
        <v>278</v>
      </c>
      <c r="K185" s="10">
        <v>37050</v>
      </c>
      <c r="L185" s="10">
        <v>74100</v>
      </c>
      <c r="M185" s="12" t="s">
        <v>16</v>
      </c>
    </row>
    <row r="186" spans="1:13" ht="16.8" x14ac:dyDescent="0.3">
      <c r="A186" s="7" t="s">
        <v>205</v>
      </c>
      <c r="B186" s="8">
        <v>44947</v>
      </c>
      <c r="C186" s="15" t="s">
        <v>5</v>
      </c>
      <c r="D186" s="10" t="s">
        <v>224</v>
      </c>
      <c r="E186">
        <v>1</v>
      </c>
      <c r="F186">
        <v>39000</v>
      </c>
      <c r="G186">
        <v>65000</v>
      </c>
      <c r="H186">
        <v>8</v>
      </c>
      <c r="I186">
        <v>35880</v>
      </c>
      <c r="J186" s="10" t="s">
        <v>278</v>
      </c>
      <c r="K186" s="10">
        <v>35880</v>
      </c>
      <c r="L186" s="10">
        <v>35880</v>
      </c>
      <c r="M186" s="12" t="s">
        <v>17</v>
      </c>
    </row>
    <row r="187" spans="1:13" ht="16.8" x14ac:dyDescent="0.3">
      <c r="A187" s="7" t="s">
        <v>206</v>
      </c>
      <c r="B187" s="8">
        <v>44257</v>
      </c>
      <c r="C187" s="15" t="s">
        <v>270</v>
      </c>
      <c r="D187" s="10" t="s">
        <v>224</v>
      </c>
      <c r="E187">
        <v>2</v>
      </c>
      <c r="F187">
        <v>65000</v>
      </c>
      <c r="G187">
        <v>59000</v>
      </c>
      <c r="H187">
        <v>15</v>
      </c>
      <c r="I187">
        <v>59000</v>
      </c>
      <c r="J187" s="10" t="s">
        <v>279</v>
      </c>
      <c r="K187" s="10">
        <v>59000</v>
      </c>
      <c r="L187" s="10">
        <v>118000</v>
      </c>
      <c r="M187" s="12" t="s">
        <v>11</v>
      </c>
    </row>
    <row r="188" spans="1:13" ht="16.8" x14ac:dyDescent="0.3">
      <c r="A188" s="7" t="s">
        <v>207</v>
      </c>
      <c r="B188" s="8">
        <v>44756</v>
      </c>
      <c r="C188" s="15" t="s">
        <v>270</v>
      </c>
      <c r="D188" s="10" t="s">
        <v>223</v>
      </c>
      <c r="E188">
        <v>5</v>
      </c>
      <c r="F188">
        <v>39000</v>
      </c>
      <c r="G188">
        <v>69000</v>
      </c>
      <c r="H188">
        <v>14</v>
      </c>
      <c r="I188">
        <v>69000</v>
      </c>
      <c r="J188" s="10" t="s">
        <v>279</v>
      </c>
      <c r="K188" s="10">
        <v>69000</v>
      </c>
      <c r="L188" s="10">
        <v>345000</v>
      </c>
      <c r="M188" s="12" t="s">
        <v>255</v>
      </c>
    </row>
    <row r="189" spans="1:13" ht="16.8" x14ac:dyDescent="0.3">
      <c r="A189" s="7" t="s">
        <v>208</v>
      </c>
      <c r="B189" s="8">
        <v>44255</v>
      </c>
      <c r="C189" s="15" t="s">
        <v>5</v>
      </c>
      <c r="D189" s="10" t="s">
        <v>223</v>
      </c>
      <c r="E189">
        <v>4</v>
      </c>
      <c r="F189">
        <v>59000</v>
      </c>
      <c r="G189">
        <v>65000</v>
      </c>
      <c r="H189">
        <v>15</v>
      </c>
      <c r="I189">
        <v>65000</v>
      </c>
      <c r="J189" s="10" t="s">
        <v>279</v>
      </c>
      <c r="K189" s="10">
        <v>65000</v>
      </c>
      <c r="L189" s="10">
        <v>260000</v>
      </c>
      <c r="M189" s="12" t="s">
        <v>228</v>
      </c>
    </row>
    <row r="190" spans="1:13" ht="16.8" x14ac:dyDescent="0.3">
      <c r="A190" s="7" t="s">
        <v>209</v>
      </c>
      <c r="B190" s="8">
        <v>44206</v>
      </c>
      <c r="C190" s="15" t="s">
        <v>4</v>
      </c>
      <c r="D190" s="10" t="s">
        <v>224</v>
      </c>
      <c r="E190">
        <v>4</v>
      </c>
      <c r="F190">
        <v>69000</v>
      </c>
      <c r="G190">
        <v>59000</v>
      </c>
      <c r="H190">
        <v>9</v>
      </c>
      <c r="I190">
        <v>62790</v>
      </c>
      <c r="J190" s="10" t="s">
        <v>278</v>
      </c>
      <c r="K190" s="10">
        <v>62790</v>
      </c>
      <c r="L190" s="10">
        <v>251160</v>
      </c>
      <c r="M190" s="12" t="s">
        <v>11</v>
      </c>
    </row>
    <row r="191" spans="1:13" ht="16.8" x14ac:dyDescent="0.3">
      <c r="A191" s="7" t="s">
        <v>210</v>
      </c>
      <c r="B191" s="8">
        <v>44698</v>
      </c>
      <c r="C191" s="15" t="s">
        <v>273</v>
      </c>
      <c r="D191" s="10" t="s">
        <v>224</v>
      </c>
      <c r="E191">
        <v>5</v>
      </c>
      <c r="F191">
        <v>59000</v>
      </c>
      <c r="G191">
        <v>65000</v>
      </c>
      <c r="H191">
        <v>5</v>
      </c>
      <c r="I191">
        <v>56050</v>
      </c>
      <c r="J191" s="10" t="s">
        <v>278</v>
      </c>
      <c r="K191" s="10">
        <v>56050</v>
      </c>
      <c r="L191" s="10">
        <v>280250</v>
      </c>
      <c r="M191" s="12" t="s">
        <v>242</v>
      </c>
    </row>
    <row r="192" spans="1:13" ht="16.8" x14ac:dyDescent="0.3">
      <c r="A192" s="7" t="s">
        <v>211</v>
      </c>
      <c r="B192" s="8">
        <v>44352</v>
      </c>
      <c r="C192" s="15" t="s">
        <v>6</v>
      </c>
      <c r="D192" s="10" t="s">
        <v>223</v>
      </c>
      <c r="E192">
        <v>5</v>
      </c>
      <c r="F192">
        <v>65000</v>
      </c>
      <c r="G192">
        <v>49000</v>
      </c>
      <c r="H192">
        <v>5</v>
      </c>
      <c r="I192">
        <v>49000</v>
      </c>
      <c r="J192" s="10" t="s">
        <v>279</v>
      </c>
      <c r="K192" s="10">
        <v>49000</v>
      </c>
      <c r="L192" s="10">
        <v>245000</v>
      </c>
      <c r="M192" s="12" t="s">
        <v>247</v>
      </c>
    </row>
    <row r="193" spans="1:13" ht="16.8" x14ac:dyDescent="0.3">
      <c r="A193" s="7" t="s">
        <v>212</v>
      </c>
      <c r="B193" s="8">
        <v>44340</v>
      </c>
      <c r="C193" s="15" t="s">
        <v>274</v>
      </c>
      <c r="D193" s="10" t="s">
        <v>222</v>
      </c>
      <c r="E193">
        <v>2</v>
      </c>
      <c r="F193">
        <v>59000</v>
      </c>
      <c r="G193">
        <v>65000</v>
      </c>
      <c r="H193">
        <v>6</v>
      </c>
      <c r="I193">
        <v>55460</v>
      </c>
      <c r="J193" s="10" t="s">
        <v>278</v>
      </c>
      <c r="K193" s="10">
        <v>55460</v>
      </c>
      <c r="L193" s="10">
        <v>110920</v>
      </c>
      <c r="M193" s="12" t="s">
        <v>14</v>
      </c>
    </row>
    <row r="194" spans="1:13" ht="16.8" x14ac:dyDescent="0.3">
      <c r="A194" s="7" t="s">
        <v>213</v>
      </c>
      <c r="B194" s="8">
        <v>45136</v>
      </c>
      <c r="C194" s="15" t="s">
        <v>274</v>
      </c>
      <c r="D194" s="10" t="s">
        <v>222</v>
      </c>
      <c r="E194">
        <v>4</v>
      </c>
      <c r="F194">
        <v>35000</v>
      </c>
      <c r="G194">
        <v>55000</v>
      </c>
      <c r="H194">
        <v>15</v>
      </c>
      <c r="I194">
        <v>29750</v>
      </c>
      <c r="J194" s="10" t="s">
        <v>278</v>
      </c>
      <c r="K194" s="10">
        <v>29750</v>
      </c>
      <c r="L194" s="10">
        <v>119000</v>
      </c>
      <c r="M194" s="12" t="s">
        <v>257</v>
      </c>
    </row>
    <row r="195" spans="1:13" ht="16.8" x14ac:dyDescent="0.3">
      <c r="A195" s="7" t="s">
        <v>214</v>
      </c>
      <c r="B195" s="8">
        <v>44494</v>
      </c>
      <c r="C195" s="15" t="s">
        <v>272</v>
      </c>
      <c r="D195" s="10" t="s">
        <v>222</v>
      </c>
      <c r="E195">
        <v>3</v>
      </c>
      <c r="F195">
        <v>65000</v>
      </c>
      <c r="G195">
        <v>69000</v>
      </c>
      <c r="H195">
        <v>6</v>
      </c>
      <c r="I195">
        <v>69000</v>
      </c>
      <c r="J195" s="10" t="s">
        <v>279</v>
      </c>
      <c r="K195" s="10">
        <v>69000</v>
      </c>
      <c r="L195" s="10">
        <v>207000</v>
      </c>
      <c r="M195" s="12" t="s">
        <v>262</v>
      </c>
    </row>
    <row r="196" spans="1:13" ht="16.8" x14ac:dyDescent="0.3">
      <c r="A196" s="7" t="s">
        <v>215</v>
      </c>
      <c r="B196" s="8">
        <v>45074</v>
      </c>
      <c r="C196" s="15" t="s">
        <v>274</v>
      </c>
      <c r="D196" s="10" t="s">
        <v>224</v>
      </c>
      <c r="E196">
        <v>3</v>
      </c>
      <c r="F196">
        <v>59000</v>
      </c>
      <c r="G196">
        <v>69000</v>
      </c>
      <c r="H196">
        <v>15</v>
      </c>
      <c r="I196">
        <v>50150</v>
      </c>
      <c r="J196" s="10" t="s">
        <v>278</v>
      </c>
      <c r="K196" s="10">
        <v>50150</v>
      </c>
      <c r="L196" s="10">
        <v>150450</v>
      </c>
      <c r="M196" s="12" t="s">
        <v>262</v>
      </c>
    </row>
    <row r="197" spans="1:13" ht="16.8" x14ac:dyDescent="0.3">
      <c r="A197" s="7" t="s">
        <v>216</v>
      </c>
      <c r="B197" s="8">
        <v>44835</v>
      </c>
      <c r="C197" s="15" t="s">
        <v>3</v>
      </c>
      <c r="D197" s="10" t="s">
        <v>223</v>
      </c>
      <c r="E197">
        <v>1</v>
      </c>
      <c r="F197">
        <v>65000</v>
      </c>
      <c r="G197">
        <v>65000</v>
      </c>
      <c r="H197">
        <v>14</v>
      </c>
      <c r="I197">
        <v>65000</v>
      </c>
      <c r="J197" s="10" t="s">
        <v>279</v>
      </c>
      <c r="K197" s="10">
        <v>65000</v>
      </c>
      <c r="L197" s="10">
        <v>65000</v>
      </c>
      <c r="M197" s="12" t="s">
        <v>235</v>
      </c>
    </row>
    <row r="198" spans="1:13" ht="16.8" x14ac:dyDescent="0.3">
      <c r="A198" s="7" t="s">
        <v>217</v>
      </c>
      <c r="B198" s="8">
        <v>44605</v>
      </c>
      <c r="C198" s="15" t="s">
        <v>271</v>
      </c>
      <c r="D198" s="10" t="s">
        <v>223</v>
      </c>
      <c r="E198">
        <v>1</v>
      </c>
      <c r="F198">
        <v>65000</v>
      </c>
      <c r="G198">
        <v>39000</v>
      </c>
      <c r="H198">
        <v>6</v>
      </c>
      <c r="I198">
        <v>61100</v>
      </c>
      <c r="J198" s="10" t="s">
        <v>278</v>
      </c>
      <c r="K198" s="10">
        <v>61100</v>
      </c>
      <c r="L198" s="10">
        <v>61100</v>
      </c>
      <c r="M198" s="12" t="s">
        <v>247</v>
      </c>
    </row>
    <row r="199" spans="1:13" ht="16.8" x14ac:dyDescent="0.3">
      <c r="A199" s="7" t="s">
        <v>218</v>
      </c>
      <c r="B199" s="8">
        <v>44879</v>
      </c>
      <c r="C199" s="15" t="s">
        <v>270</v>
      </c>
      <c r="D199" s="10" t="s">
        <v>223</v>
      </c>
      <c r="E199">
        <v>1</v>
      </c>
      <c r="F199">
        <v>65000</v>
      </c>
      <c r="G199">
        <v>65000</v>
      </c>
      <c r="H199">
        <v>13</v>
      </c>
      <c r="I199">
        <v>65000</v>
      </c>
      <c r="J199" s="10" t="s">
        <v>279</v>
      </c>
      <c r="K199" s="10">
        <v>65000</v>
      </c>
      <c r="L199" s="10">
        <v>65000</v>
      </c>
      <c r="M199" s="12" t="s">
        <v>262</v>
      </c>
    </row>
    <row r="200" spans="1:13" ht="16.8" x14ac:dyDescent="0.3">
      <c r="A200" s="7" t="s">
        <v>219</v>
      </c>
      <c r="B200" s="8">
        <v>44917</v>
      </c>
      <c r="C200" s="15" t="s">
        <v>274</v>
      </c>
      <c r="D200" s="10" t="s">
        <v>223</v>
      </c>
      <c r="E200">
        <v>2</v>
      </c>
      <c r="F200">
        <v>55000</v>
      </c>
      <c r="G200">
        <v>65000</v>
      </c>
      <c r="H200">
        <v>10</v>
      </c>
      <c r="I200">
        <v>49500</v>
      </c>
      <c r="J200" s="10" t="s">
        <v>278</v>
      </c>
      <c r="K200" s="10">
        <v>49500</v>
      </c>
      <c r="L200" s="10">
        <v>99000</v>
      </c>
      <c r="M200" s="12" t="s">
        <v>241</v>
      </c>
    </row>
    <row r="201" spans="1:13" ht="16.8" x14ac:dyDescent="0.3">
      <c r="A201" s="7" t="s">
        <v>220</v>
      </c>
      <c r="B201" s="8">
        <v>45182</v>
      </c>
      <c r="C201" s="15" t="s">
        <v>274</v>
      </c>
      <c r="D201" s="10" t="s">
        <v>223</v>
      </c>
      <c r="E201">
        <v>1</v>
      </c>
      <c r="F201">
        <v>35000</v>
      </c>
      <c r="G201">
        <v>49000</v>
      </c>
      <c r="H201">
        <v>11</v>
      </c>
      <c r="I201">
        <v>49000</v>
      </c>
      <c r="J201" s="10" t="s">
        <v>279</v>
      </c>
      <c r="K201" s="10">
        <v>49000</v>
      </c>
      <c r="L201" s="10">
        <v>49000</v>
      </c>
      <c r="M201" s="12" t="s">
        <v>20</v>
      </c>
    </row>
    <row r="202" spans="1:13" ht="16.8" x14ac:dyDescent="0.3">
      <c r="A202" s="7" t="s">
        <v>280</v>
      </c>
      <c r="B202" s="8">
        <v>44908</v>
      </c>
      <c r="C202" s="15" t="s">
        <v>6</v>
      </c>
      <c r="D202" s="10" t="s">
        <v>223</v>
      </c>
      <c r="E202">
        <v>3</v>
      </c>
      <c r="F202">
        <v>49000</v>
      </c>
      <c r="G202">
        <v>49000</v>
      </c>
      <c r="H202">
        <v>14</v>
      </c>
      <c r="I202">
        <v>49000</v>
      </c>
      <c r="J202" s="10" t="s">
        <v>279</v>
      </c>
      <c r="K202" s="10">
        <v>49000</v>
      </c>
      <c r="L202" s="10">
        <v>147000</v>
      </c>
      <c r="M202" s="12" t="s">
        <v>15</v>
      </c>
    </row>
    <row r="203" spans="1:13" ht="16.8" x14ac:dyDescent="0.3">
      <c r="A203" s="7" t="s">
        <v>281</v>
      </c>
      <c r="B203" s="8">
        <v>44983</v>
      </c>
      <c r="C203" s="15" t="s">
        <v>270</v>
      </c>
      <c r="D203" s="10" t="s">
        <v>224</v>
      </c>
      <c r="E203">
        <v>4</v>
      </c>
      <c r="F203">
        <v>55000</v>
      </c>
      <c r="G203">
        <v>49000</v>
      </c>
      <c r="H203">
        <v>14</v>
      </c>
      <c r="I203">
        <v>49000</v>
      </c>
      <c r="J203" s="10" t="s">
        <v>279</v>
      </c>
      <c r="K203" s="10">
        <v>49000</v>
      </c>
      <c r="L203" s="10">
        <v>196000</v>
      </c>
      <c r="M203" s="12" t="s">
        <v>225</v>
      </c>
    </row>
    <row r="204" spans="1:13" ht="16.8" x14ac:dyDescent="0.3">
      <c r="A204" s="7" t="s">
        <v>282</v>
      </c>
      <c r="B204" s="8">
        <v>44436</v>
      </c>
      <c r="C204" s="15" t="s">
        <v>5</v>
      </c>
      <c r="D204" s="10" t="s">
        <v>224</v>
      </c>
      <c r="E204">
        <v>5</v>
      </c>
      <c r="F204">
        <v>69000</v>
      </c>
      <c r="G204">
        <v>59000</v>
      </c>
      <c r="H204">
        <v>7</v>
      </c>
      <c r="I204">
        <v>59000</v>
      </c>
      <c r="J204" s="10" t="s">
        <v>279</v>
      </c>
      <c r="K204" s="10">
        <v>59000</v>
      </c>
      <c r="L204" s="10">
        <v>295000</v>
      </c>
      <c r="M204" s="12" t="s">
        <v>247</v>
      </c>
    </row>
    <row r="205" spans="1:13" ht="16.8" x14ac:dyDescent="0.3">
      <c r="A205" s="7" t="s">
        <v>283</v>
      </c>
      <c r="B205" s="8">
        <v>44599</v>
      </c>
      <c r="C205" s="15" t="s">
        <v>271</v>
      </c>
      <c r="D205" s="10" t="s">
        <v>223</v>
      </c>
      <c r="E205">
        <v>2</v>
      </c>
      <c r="F205">
        <v>39000</v>
      </c>
      <c r="G205">
        <v>65000</v>
      </c>
      <c r="H205">
        <v>5</v>
      </c>
      <c r="I205">
        <v>65000</v>
      </c>
      <c r="J205" s="10" t="s">
        <v>279</v>
      </c>
      <c r="K205" s="10">
        <v>65000</v>
      </c>
      <c r="L205" s="10">
        <v>130000</v>
      </c>
      <c r="M205" s="12" t="s">
        <v>239</v>
      </c>
    </row>
    <row r="206" spans="1:13" ht="16.8" x14ac:dyDescent="0.3">
      <c r="A206" s="7" t="s">
        <v>284</v>
      </c>
      <c r="B206" s="8">
        <v>44581</v>
      </c>
      <c r="C206" s="15" t="s">
        <v>3</v>
      </c>
      <c r="D206" s="10" t="s">
        <v>222</v>
      </c>
      <c r="E206">
        <v>4</v>
      </c>
      <c r="F206">
        <v>65000</v>
      </c>
      <c r="G206">
        <v>65000</v>
      </c>
      <c r="H206">
        <v>14</v>
      </c>
      <c r="I206">
        <v>65000</v>
      </c>
      <c r="J206" s="10" t="s">
        <v>279</v>
      </c>
      <c r="K206" s="10">
        <v>65000</v>
      </c>
      <c r="L206" s="10">
        <v>260000</v>
      </c>
      <c r="M206" s="12" t="s">
        <v>260</v>
      </c>
    </row>
    <row r="207" spans="1:13" ht="16.8" x14ac:dyDescent="0.3">
      <c r="A207" s="7" t="s">
        <v>285</v>
      </c>
      <c r="B207" s="8">
        <v>44861</v>
      </c>
      <c r="C207" s="15" t="s">
        <v>3</v>
      </c>
      <c r="D207" s="10" t="s">
        <v>224</v>
      </c>
      <c r="E207">
        <v>3</v>
      </c>
      <c r="F207">
        <v>69000</v>
      </c>
      <c r="G207">
        <v>35000</v>
      </c>
      <c r="H207">
        <v>10</v>
      </c>
      <c r="I207">
        <v>35000</v>
      </c>
      <c r="J207" s="10" t="s">
        <v>279</v>
      </c>
      <c r="K207" s="10">
        <v>35000</v>
      </c>
      <c r="L207" s="10">
        <v>105000</v>
      </c>
      <c r="M207" s="12" t="s">
        <v>255</v>
      </c>
    </row>
    <row r="208" spans="1:13" ht="16.8" x14ac:dyDescent="0.3">
      <c r="A208" s="7" t="s">
        <v>286</v>
      </c>
      <c r="B208" s="8">
        <v>44940</v>
      </c>
      <c r="C208" s="15" t="s">
        <v>270</v>
      </c>
      <c r="D208" s="10" t="s">
        <v>223</v>
      </c>
      <c r="E208">
        <v>2</v>
      </c>
      <c r="F208">
        <v>65000</v>
      </c>
      <c r="G208">
        <v>69000</v>
      </c>
      <c r="H208">
        <v>10</v>
      </c>
      <c r="I208">
        <v>69000</v>
      </c>
      <c r="J208" s="10" t="s">
        <v>279</v>
      </c>
      <c r="K208" s="10">
        <v>69000</v>
      </c>
      <c r="L208" s="10">
        <v>138000</v>
      </c>
      <c r="M208" s="12" t="s">
        <v>244</v>
      </c>
    </row>
    <row r="209" spans="1:13" ht="16.8" x14ac:dyDescent="0.3">
      <c r="A209" s="7" t="s">
        <v>287</v>
      </c>
      <c r="B209" s="8">
        <v>44835</v>
      </c>
      <c r="C209" s="15" t="s">
        <v>4</v>
      </c>
      <c r="D209" s="10" t="s">
        <v>222</v>
      </c>
      <c r="E209">
        <v>1</v>
      </c>
      <c r="F209">
        <v>35000</v>
      </c>
      <c r="G209">
        <v>39000</v>
      </c>
      <c r="H209">
        <v>8</v>
      </c>
      <c r="I209">
        <v>32200</v>
      </c>
      <c r="J209" s="10" t="s">
        <v>278</v>
      </c>
      <c r="K209" s="10">
        <v>32200</v>
      </c>
      <c r="L209" s="10">
        <v>32200</v>
      </c>
      <c r="M209" s="12" t="s">
        <v>261</v>
      </c>
    </row>
    <row r="210" spans="1:13" ht="16.8" x14ac:dyDescent="0.3">
      <c r="A210" s="7" t="s">
        <v>288</v>
      </c>
      <c r="B210" s="8">
        <v>44288</v>
      </c>
      <c r="C210" s="15" t="s">
        <v>274</v>
      </c>
      <c r="D210" s="10" t="s">
        <v>222</v>
      </c>
      <c r="E210">
        <v>2</v>
      </c>
      <c r="F210">
        <v>49000</v>
      </c>
      <c r="G210">
        <v>65000</v>
      </c>
      <c r="H210">
        <v>6</v>
      </c>
      <c r="I210">
        <v>46060</v>
      </c>
      <c r="J210" s="10" t="s">
        <v>278</v>
      </c>
      <c r="K210" s="10">
        <v>46060</v>
      </c>
      <c r="L210" s="10">
        <v>92120</v>
      </c>
      <c r="M210" s="12" t="s">
        <v>254</v>
      </c>
    </row>
    <row r="211" spans="1:13" ht="16.8" x14ac:dyDescent="0.3">
      <c r="A211" s="7" t="s">
        <v>289</v>
      </c>
      <c r="B211" s="8">
        <v>45113</v>
      </c>
      <c r="C211" s="15" t="s">
        <v>272</v>
      </c>
      <c r="D211" s="10" t="s">
        <v>223</v>
      </c>
      <c r="E211">
        <v>2</v>
      </c>
      <c r="F211">
        <v>49000</v>
      </c>
      <c r="G211">
        <v>55000</v>
      </c>
      <c r="H211">
        <v>8</v>
      </c>
      <c r="I211">
        <v>45080</v>
      </c>
      <c r="J211" s="10" t="s">
        <v>278</v>
      </c>
      <c r="K211" s="10">
        <v>45080</v>
      </c>
      <c r="L211" s="10">
        <v>90160</v>
      </c>
      <c r="M211" s="12" t="s">
        <v>250</v>
      </c>
    </row>
    <row r="212" spans="1:13" ht="16.8" x14ac:dyDescent="0.3">
      <c r="A212" s="7" t="s">
        <v>290</v>
      </c>
      <c r="B212" s="8">
        <v>44736</v>
      </c>
      <c r="C212" s="15" t="s">
        <v>270</v>
      </c>
      <c r="D212" s="10" t="s">
        <v>224</v>
      </c>
      <c r="E212">
        <v>3</v>
      </c>
      <c r="F212">
        <v>65000</v>
      </c>
      <c r="G212">
        <v>65000</v>
      </c>
      <c r="H212">
        <v>10</v>
      </c>
      <c r="I212">
        <v>58500</v>
      </c>
      <c r="J212" s="10" t="s">
        <v>278</v>
      </c>
      <c r="K212" s="10">
        <v>58500</v>
      </c>
      <c r="L212" s="10">
        <v>175500</v>
      </c>
      <c r="M212" s="12" t="s">
        <v>228</v>
      </c>
    </row>
    <row r="213" spans="1:13" ht="16.8" x14ac:dyDescent="0.3">
      <c r="A213" s="7" t="s">
        <v>291</v>
      </c>
      <c r="B213" s="8">
        <v>44824</v>
      </c>
      <c r="C213" s="15" t="s">
        <v>271</v>
      </c>
      <c r="D213" s="10" t="s">
        <v>222</v>
      </c>
      <c r="E213">
        <v>5</v>
      </c>
      <c r="F213">
        <v>65000</v>
      </c>
      <c r="G213">
        <v>65000</v>
      </c>
      <c r="H213">
        <v>15</v>
      </c>
      <c r="I213">
        <v>65000</v>
      </c>
      <c r="J213" s="10" t="s">
        <v>279</v>
      </c>
      <c r="K213" s="10">
        <v>65000</v>
      </c>
      <c r="L213" s="10">
        <v>325000</v>
      </c>
      <c r="M213" s="12" t="s">
        <v>10</v>
      </c>
    </row>
    <row r="214" spans="1:13" ht="16.8" x14ac:dyDescent="0.3">
      <c r="A214" s="7" t="s">
        <v>292</v>
      </c>
      <c r="B214" s="8">
        <v>45151</v>
      </c>
      <c r="C214" s="15" t="s">
        <v>3</v>
      </c>
      <c r="D214" s="10" t="s">
        <v>222</v>
      </c>
      <c r="E214">
        <v>3</v>
      </c>
      <c r="F214">
        <v>55000</v>
      </c>
      <c r="G214">
        <v>59000</v>
      </c>
      <c r="H214">
        <v>6</v>
      </c>
      <c r="I214">
        <v>51700</v>
      </c>
      <c r="J214" s="10" t="s">
        <v>278</v>
      </c>
      <c r="K214" s="10">
        <v>51700</v>
      </c>
      <c r="L214" s="10">
        <v>155100</v>
      </c>
      <c r="M214" s="12" t="s">
        <v>11</v>
      </c>
    </row>
    <row r="215" spans="1:13" ht="16.8" x14ac:dyDescent="0.3">
      <c r="A215" s="7" t="s">
        <v>293</v>
      </c>
      <c r="B215" s="8">
        <v>45289</v>
      </c>
      <c r="C215" s="15" t="s">
        <v>4</v>
      </c>
      <c r="D215" s="10" t="s">
        <v>223</v>
      </c>
      <c r="E215">
        <v>1</v>
      </c>
      <c r="F215">
        <v>49000</v>
      </c>
      <c r="G215">
        <v>55000</v>
      </c>
      <c r="H215">
        <v>14</v>
      </c>
      <c r="I215">
        <v>55000</v>
      </c>
      <c r="J215" s="10" t="s">
        <v>279</v>
      </c>
      <c r="K215" s="10">
        <v>55000</v>
      </c>
      <c r="L215" s="10">
        <v>55000</v>
      </c>
      <c r="M215" s="12" t="s">
        <v>18</v>
      </c>
    </row>
    <row r="216" spans="1:13" ht="16.8" x14ac:dyDescent="0.3">
      <c r="A216" s="7" t="s">
        <v>294</v>
      </c>
      <c r="B216" s="8">
        <v>45203</v>
      </c>
      <c r="C216" s="15" t="s">
        <v>5</v>
      </c>
      <c r="D216" s="10" t="s">
        <v>222</v>
      </c>
      <c r="E216">
        <v>2</v>
      </c>
      <c r="F216">
        <v>35000</v>
      </c>
      <c r="G216">
        <v>35000</v>
      </c>
      <c r="H216">
        <v>14</v>
      </c>
      <c r="I216">
        <v>30100</v>
      </c>
      <c r="J216" s="10" t="s">
        <v>278</v>
      </c>
      <c r="K216" s="10">
        <v>30100</v>
      </c>
      <c r="L216" s="10">
        <v>60200</v>
      </c>
      <c r="M216" s="12" t="s">
        <v>245</v>
      </c>
    </row>
    <row r="217" spans="1:13" ht="16.8" x14ac:dyDescent="0.3">
      <c r="A217" s="7" t="s">
        <v>295</v>
      </c>
      <c r="B217" s="8">
        <v>44730</v>
      </c>
      <c r="C217" s="15" t="s">
        <v>5</v>
      </c>
      <c r="D217" s="10" t="s">
        <v>222</v>
      </c>
      <c r="E217">
        <v>3</v>
      </c>
      <c r="F217">
        <v>65000</v>
      </c>
      <c r="G217">
        <v>59000</v>
      </c>
      <c r="H217">
        <v>9</v>
      </c>
      <c r="I217">
        <v>59150</v>
      </c>
      <c r="J217" s="10" t="s">
        <v>278</v>
      </c>
      <c r="K217" s="10">
        <v>59150</v>
      </c>
      <c r="L217" s="10">
        <v>177450</v>
      </c>
      <c r="M217" s="12" t="s">
        <v>243</v>
      </c>
    </row>
    <row r="218" spans="1:13" ht="16.8" x14ac:dyDescent="0.3">
      <c r="A218" s="7" t="s">
        <v>296</v>
      </c>
      <c r="B218" s="8">
        <v>44323</v>
      </c>
      <c r="C218" s="15" t="s">
        <v>6</v>
      </c>
      <c r="D218" s="10" t="s">
        <v>223</v>
      </c>
      <c r="E218">
        <v>4</v>
      </c>
      <c r="F218">
        <v>65000</v>
      </c>
      <c r="G218">
        <v>59000</v>
      </c>
      <c r="H218">
        <v>10</v>
      </c>
      <c r="I218">
        <v>59000</v>
      </c>
      <c r="J218" s="10" t="s">
        <v>279</v>
      </c>
      <c r="K218" s="10">
        <v>59000</v>
      </c>
      <c r="L218" s="10">
        <v>236000</v>
      </c>
      <c r="M218" s="12" t="s">
        <v>226</v>
      </c>
    </row>
    <row r="219" spans="1:13" ht="16.8" x14ac:dyDescent="0.3">
      <c r="A219" s="7" t="s">
        <v>297</v>
      </c>
      <c r="B219" s="8">
        <v>45166</v>
      </c>
      <c r="C219" s="15" t="s">
        <v>3</v>
      </c>
      <c r="D219" s="10" t="s">
        <v>223</v>
      </c>
      <c r="E219">
        <v>4</v>
      </c>
      <c r="F219">
        <v>59000</v>
      </c>
      <c r="G219">
        <v>65000</v>
      </c>
      <c r="H219">
        <v>10</v>
      </c>
      <c r="I219">
        <v>53100</v>
      </c>
      <c r="J219" s="10" t="s">
        <v>278</v>
      </c>
      <c r="K219" s="10">
        <v>53100</v>
      </c>
      <c r="L219" s="10">
        <v>212400</v>
      </c>
      <c r="M219" s="12" t="s">
        <v>255</v>
      </c>
    </row>
    <row r="220" spans="1:13" ht="16.8" x14ac:dyDescent="0.3">
      <c r="A220" s="7" t="s">
        <v>298</v>
      </c>
      <c r="B220" s="8">
        <v>45076</v>
      </c>
      <c r="C220" s="15" t="s">
        <v>274</v>
      </c>
      <c r="D220" s="10" t="s">
        <v>222</v>
      </c>
      <c r="E220">
        <v>2</v>
      </c>
      <c r="F220">
        <v>49000</v>
      </c>
      <c r="G220">
        <v>65000</v>
      </c>
      <c r="H220">
        <v>15</v>
      </c>
      <c r="I220">
        <v>41650</v>
      </c>
      <c r="J220" s="10" t="s">
        <v>278</v>
      </c>
      <c r="K220" s="10">
        <v>41650</v>
      </c>
      <c r="L220" s="10">
        <v>83300</v>
      </c>
      <c r="M220" s="12" t="s">
        <v>247</v>
      </c>
    </row>
    <row r="221" spans="1:13" ht="16.8" x14ac:dyDescent="0.3">
      <c r="A221" s="7" t="s">
        <v>299</v>
      </c>
      <c r="B221" s="8">
        <v>45086</v>
      </c>
      <c r="C221" s="15" t="s">
        <v>271</v>
      </c>
      <c r="D221" s="10" t="s">
        <v>223</v>
      </c>
      <c r="E221">
        <v>4</v>
      </c>
      <c r="F221">
        <v>35000</v>
      </c>
      <c r="G221">
        <v>69000</v>
      </c>
      <c r="H221">
        <v>8</v>
      </c>
      <c r="I221">
        <v>32200</v>
      </c>
      <c r="J221" s="10" t="s">
        <v>278</v>
      </c>
      <c r="K221" s="10">
        <v>32200</v>
      </c>
      <c r="L221" s="10">
        <v>128800</v>
      </c>
      <c r="M221" s="12" t="s">
        <v>242</v>
      </c>
    </row>
    <row r="222" spans="1:13" ht="16.8" x14ac:dyDescent="0.3">
      <c r="A222" s="7" t="s">
        <v>300</v>
      </c>
      <c r="B222" s="8">
        <v>44414</v>
      </c>
      <c r="C222" s="15" t="s">
        <v>275</v>
      </c>
      <c r="D222" s="10" t="s">
        <v>224</v>
      </c>
      <c r="E222">
        <v>5</v>
      </c>
      <c r="F222">
        <v>59000</v>
      </c>
      <c r="G222">
        <v>65000</v>
      </c>
      <c r="H222">
        <v>7</v>
      </c>
      <c r="I222">
        <v>54869.999999999993</v>
      </c>
      <c r="J222" s="10" t="s">
        <v>278</v>
      </c>
      <c r="K222" s="10">
        <v>54869.999999999993</v>
      </c>
      <c r="L222" s="10">
        <v>274349.99999999994</v>
      </c>
      <c r="M222" s="12" t="s">
        <v>262</v>
      </c>
    </row>
    <row r="223" spans="1:13" ht="16.8" x14ac:dyDescent="0.3">
      <c r="A223" s="7" t="s">
        <v>301</v>
      </c>
      <c r="B223" s="8">
        <v>44579</v>
      </c>
      <c r="C223" s="15" t="s">
        <v>4</v>
      </c>
      <c r="D223" s="10" t="s">
        <v>222</v>
      </c>
      <c r="E223">
        <v>2</v>
      </c>
      <c r="F223">
        <v>69000</v>
      </c>
      <c r="G223">
        <v>29000</v>
      </c>
      <c r="H223">
        <v>13</v>
      </c>
      <c r="I223">
        <v>29000</v>
      </c>
      <c r="J223" s="10" t="s">
        <v>279</v>
      </c>
      <c r="K223" s="10">
        <v>29000</v>
      </c>
      <c r="L223" s="10">
        <v>58000</v>
      </c>
      <c r="M223" s="12" t="s">
        <v>16</v>
      </c>
    </row>
    <row r="224" spans="1:13" ht="16.8" x14ac:dyDescent="0.3">
      <c r="A224" s="7" t="s">
        <v>302</v>
      </c>
      <c r="B224" s="8">
        <v>44771</v>
      </c>
      <c r="C224" s="15" t="s">
        <v>272</v>
      </c>
      <c r="D224" s="10" t="s">
        <v>224</v>
      </c>
      <c r="E224">
        <v>5</v>
      </c>
      <c r="F224">
        <v>59000</v>
      </c>
      <c r="G224">
        <v>35000</v>
      </c>
      <c r="H224">
        <v>10</v>
      </c>
      <c r="I224">
        <v>53100</v>
      </c>
      <c r="J224" s="10" t="s">
        <v>278</v>
      </c>
      <c r="K224" s="10">
        <v>53100</v>
      </c>
      <c r="L224" s="10">
        <v>265500</v>
      </c>
      <c r="M224" s="12" t="s">
        <v>12</v>
      </c>
    </row>
    <row r="225" spans="1:13" ht="16.8" x14ac:dyDescent="0.3">
      <c r="A225" s="7" t="s">
        <v>303</v>
      </c>
      <c r="B225" s="8">
        <v>45109</v>
      </c>
      <c r="C225" s="15" t="s">
        <v>274</v>
      </c>
      <c r="D225" s="10" t="s">
        <v>222</v>
      </c>
      <c r="E225">
        <v>4</v>
      </c>
      <c r="F225">
        <v>75000</v>
      </c>
      <c r="G225">
        <v>35000</v>
      </c>
      <c r="H225">
        <v>15</v>
      </c>
      <c r="I225">
        <v>35000</v>
      </c>
      <c r="J225" s="10" t="s">
        <v>279</v>
      </c>
      <c r="K225" s="10">
        <v>35000</v>
      </c>
      <c r="L225" s="10">
        <v>140000</v>
      </c>
      <c r="M225" s="12" t="s">
        <v>253</v>
      </c>
    </row>
    <row r="226" spans="1:13" ht="16.8" x14ac:dyDescent="0.3">
      <c r="A226" s="7" t="s">
        <v>304</v>
      </c>
      <c r="B226" s="8">
        <v>44904</v>
      </c>
      <c r="C226" s="15" t="s">
        <v>5</v>
      </c>
      <c r="D226" s="10" t="s">
        <v>223</v>
      </c>
      <c r="E226">
        <v>3</v>
      </c>
      <c r="F226">
        <v>69000</v>
      </c>
      <c r="G226">
        <v>59000</v>
      </c>
      <c r="H226">
        <v>12</v>
      </c>
      <c r="I226">
        <v>59000</v>
      </c>
      <c r="J226" s="10" t="s">
        <v>279</v>
      </c>
      <c r="K226" s="10">
        <v>59000</v>
      </c>
      <c r="L226" s="10">
        <v>177000</v>
      </c>
      <c r="M226" s="12" t="s">
        <v>237</v>
      </c>
    </row>
    <row r="227" spans="1:13" ht="16.8" x14ac:dyDescent="0.3">
      <c r="A227" s="7" t="s">
        <v>305</v>
      </c>
      <c r="B227" s="8">
        <v>45234</v>
      </c>
      <c r="C227" s="15" t="s">
        <v>4</v>
      </c>
      <c r="D227" s="10" t="s">
        <v>224</v>
      </c>
      <c r="E227">
        <v>5</v>
      </c>
      <c r="F227">
        <v>59000</v>
      </c>
      <c r="G227">
        <v>29000</v>
      </c>
      <c r="H227">
        <v>5</v>
      </c>
      <c r="I227">
        <v>56050</v>
      </c>
      <c r="J227" s="10" t="s">
        <v>278</v>
      </c>
      <c r="K227" s="10">
        <v>56050</v>
      </c>
      <c r="L227" s="10">
        <v>280250</v>
      </c>
      <c r="M227" s="12" t="s">
        <v>253</v>
      </c>
    </row>
    <row r="228" spans="1:13" ht="16.8" x14ac:dyDescent="0.3">
      <c r="A228" s="7" t="s">
        <v>306</v>
      </c>
      <c r="B228" s="8">
        <v>44937</v>
      </c>
      <c r="C228" s="15" t="s">
        <v>6</v>
      </c>
      <c r="D228" s="10" t="s">
        <v>222</v>
      </c>
      <c r="E228">
        <v>4</v>
      </c>
      <c r="F228">
        <v>65000</v>
      </c>
      <c r="G228">
        <v>65000</v>
      </c>
      <c r="H228">
        <v>9</v>
      </c>
      <c r="I228">
        <v>59150</v>
      </c>
      <c r="J228" s="10" t="s">
        <v>278</v>
      </c>
      <c r="K228" s="10">
        <v>59150</v>
      </c>
      <c r="L228" s="10">
        <v>236600</v>
      </c>
      <c r="M228" s="12" t="s">
        <v>235</v>
      </c>
    </row>
    <row r="229" spans="1:13" ht="16.8" x14ac:dyDescent="0.3">
      <c r="A229" s="7" t="s">
        <v>307</v>
      </c>
      <c r="B229" s="8">
        <v>45180</v>
      </c>
      <c r="C229" s="15" t="s">
        <v>4</v>
      </c>
      <c r="D229" s="10" t="s">
        <v>224</v>
      </c>
      <c r="E229">
        <v>1</v>
      </c>
      <c r="F229">
        <v>65000</v>
      </c>
      <c r="G229">
        <v>59000</v>
      </c>
      <c r="H229">
        <v>11</v>
      </c>
      <c r="I229">
        <v>57850</v>
      </c>
      <c r="J229" s="10" t="s">
        <v>278</v>
      </c>
      <c r="K229" s="10">
        <v>57850</v>
      </c>
      <c r="L229" s="10">
        <v>57850</v>
      </c>
      <c r="M229" s="12" t="s">
        <v>13</v>
      </c>
    </row>
    <row r="230" spans="1:13" ht="16.8" x14ac:dyDescent="0.3">
      <c r="A230" s="7" t="s">
        <v>308</v>
      </c>
      <c r="B230" s="8">
        <v>44532</v>
      </c>
      <c r="C230" s="15" t="s">
        <v>273</v>
      </c>
      <c r="D230" s="10" t="s">
        <v>223</v>
      </c>
      <c r="E230">
        <v>5</v>
      </c>
      <c r="F230">
        <v>69000</v>
      </c>
      <c r="G230">
        <v>69000</v>
      </c>
      <c r="H230">
        <v>10</v>
      </c>
      <c r="I230">
        <v>69000</v>
      </c>
      <c r="J230" s="10" t="s">
        <v>279</v>
      </c>
      <c r="K230" s="10">
        <v>69000</v>
      </c>
      <c r="L230" s="10">
        <v>345000</v>
      </c>
      <c r="M230" s="12" t="s">
        <v>10</v>
      </c>
    </row>
    <row r="231" spans="1:13" ht="16.8" x14ac:dyDescent="0.3">
      <c r="A231" s="7" t="s">
        <v>309</v>
      </c>
      <c r="B231" s="8">
        <v>45064</v>
      </c>
      <c r="C231" s="15" t="s">
        <v>6</v>
      </c>
      <c r="D231" s="10" t="s">
        <v>223</v>
      </c>
      <c r="E231">
        <v>3</v>
      </c>
      <c r="F231">
        <v>49000</v>
      </c>
      <c r="G231">
        <v>49000</v>
      </c>
      <c r="H231">
        <v>6</v>
      </c>
      <c r="I231">
        <v>49000</v>
      </c>
      <c r="J231" s="10" t="s">
        <v>279</v>
      </c>
      <c r="K231" s="10">
        <v>49000</v>
      </c>
      <c r="L231" s="10">
        <v>147000</v>
      </c>
      <c r="M231" s="12" t="s">
        <v>247</v>
      </c>
    </row>
    <row r="232" spans="1:13" ht="16.8" x14ac:dyDescent="0.3">
      <c r="A232" s="7" t="s">
        <v>310</v>
      </c>
      <c r="B232" s="8">
        <v>44561</v>
      </c>
      <c r="C232" s="15" t="s">
        <v>5</v>
      </c>
      <c r="D232" s="10" t="s">
        <v>224</v>
      </c>
      <c r="E232">
        <v>1</v>
      </c>
      <c r="F232">
        <v>69000</v>
      </c>
      <c r="G232">
        <v>55000</v>
      </c>
      <c r="H232">
        <v>14</v>
      </c>
      <c r="I232">
        <v>55000</v>
      </c>
      <c r="J232" s="10" t="s">
        <v>279</v>
      </c>
      <c r="K232" s="10">
        <v>55000</v>
      </c>
      <c r="L232" s="10">
        <v>55000</v>
      </c>
      <c r="M232" s="12" t="s">
        <v>10</v>
      </c>
    </row>
    <row r="233" spans="1:13" ht="16.8" x14ac:dyDescent="0.3">
      <c r="A233" s="7" t="s">
        <v>311</v>
      </c>
      <c r="B233" s="8">
        <v>45117</v>
      </c>
      <c r="C233" s="15" t="s">
        <v>273</v>
      </c>
      <c r="D233" s="10" t="s">
        <v>222</v>
      </c>
      <c r="E233">
        <v>5</v>
      </c>
      <c r="F233">
        <v>69000</v>
      </c>
      <c r="G233">
        <v>35000</v>
      </c>
      <c r="H233">
        <v>10</v>
      </c>
      <c r="I233">
        <v>35000</v>
      </c>
      <c r="J233" s="10" t="s">
        <v>279</v>
      </c>
      <c r="K233" s="10">
        <v>35000</v>
      </c>
      <c r="L233" s="10">
        <v>175000</v>
      </c>
      <c r="M233" s="12" t="s">
        <v>225</v>
      </c>
    </row>
    <row r="234" spans="1:13" ht="16.8" x14ac:dyDescent="0.3">
      <c r="A234" s="7" t="s">
        <v>312</v>
      </c>
      <c r="B234" s="8">
        <v>44727</v>
      </c>
      <c r="C234" s="15" t="s">
        <v>5</v>
      </c>
      <c r="D234" s="10" t="s">
        <v>222</v>
      </c>
      <c r="E234">
        <v>4</v>
      </c>
      <c r="F234">
        <v>59000</v>
      </c>
      <c r="G234">
        <v>35000</v>
      </c>
      <c r="H234">
        <v>10</v>
      </c>
      <c r="I234">
        <v>53100</v>
      </c>
      <c r="J234" s="10" t="s">
        <v>278</v>
      </c>
      <c r="K234" s="10">
        <v>53100</v>
      </c>
      <c r="L234" s="10">
        <v>212400</v>
      </c>
      <c r="M234" s="12" t="s">
        <v>15</v>
      </c>
    </row>
    <row r="235" spans="1:13" ht="16.8" x14ac:dyDescent="0.3">
      <c r="A235" s="7" t="s">
        <v>313</v>
      </c>
      <c r="B235" s="8">
        <v>44612</v>
      </c>
      <c r="C235" s="15" t="s">
        <v>6</v>
      </c>
      <c r="D235" s="10" t="s">
        <v>222</v>
      </c>
      <c r="E235">
        <v>5</v>
      </c>
      <c r="F235">
        <v>59000</v>
      </c>
      <c r="G235">
        <v>69000</v>
      </c>
      <c r="H235">
        <v>8</v>
      </c>
      <c r="I235">
        <v>54280</v>
      </c>
      <c r="J235" s="10" t="s">
        <v>278</v>
      </c>
      <c r="K235" s="10">
        <v>54280</v>
      </c>
      <c r="L235" s="10">
        <v>271400</v>
      </c>
      <c r="M235" s="12" t="s">
        <v>12</v>
      </c>
    </row>
    <row r="236" spans="1:13" ht="16.8" x14ac:dyDescent="0.3">
      <c r="A236" s="7" t="s">
        <v>314</v>
      </c>
      <c r="B236" s="8">
        <v>44942</v>
      </c>
      <c r="C236" s="15" t="s">
        <v>4</v>
      </c>
      <c r="D236" s="10" t="s">
        <v>222</v>
      </c>
      <c r="E236">
        <v>4</v>
      </c>
      <c r="F236">
        <v>59000</v>
      </c>
      <c r="G236">
        <v>29000</v>
      </c>
      <c r="H236">
        <v>6</v>
      </c>
      <c r="I236">
        <v>55460</v>
      </c>
      <c r="J236" s="10" t="s">
        <v>278</v>
      </c>
      <c r="K236" s="10">
        <v>55460</v>
      </c>
      <c r="L236" s="10">
        <v>221840</v>
      </c>
      <c r="M236" s="12" t="s">
        <v>250</v>
      </c>
    </row>
    <row r="237" spans="1:13" ht="16.8" x14ac:dyDescent="0.3">
      <c r="A237" s="7" t="s">
        <v>315</v>
      </c>
      <c r="B237" s="8">
        <v>44773</v>
      </c>
      <c r="C237" s="15" t="s">
        <v>271</v>
      </c>
      <c r="D237" s="10" t="s">
        <v>222</v>
      </c>
      <c r="E237">
        <v>2</v>
      </c>
      <c r="F237">
        <v>65000</v>
      </c>
      <c r="G237">
        <v>69000</v>
      </c>
      <c r="H237">
        <v>13</v>
      </c>
      <c r="I237">
        <v>56550</v>
      </c>
      <c r="J237" s="10" t="s">
        <v>278</v>
      </c>
      <c r="K237" s="10">
        <v>56550</v>
      </c>
      <c r="L237" s="10">
        <v>113100</v>
      </c>
      <c r="M237" s="12" t="s">
        <v>11</v>
      </c>
    </row>
    <row r="238" spans="1:13" ht="16.8" x14ac:dyDescent="0.3">
      <c r="A238" s="7" t="s">
        <v>316</v>
      </c>
      <c r="B238" s="8">
        <v>45223</v>
      </c>
      <c r="C238" s="15" t="s">
        <v>4</v>
      </c>
      <c r="D238" s="10" t="s">
        <v>222</v>
      </c>
      <c r="E238">
        <v>3</v>
      </c>
      <c r="F238">
        <v>65000</v>
      </c>
      <c r="G238">
        <v>59000</v>
      </c>
      <c r="H238">
        <v>15</v>
      </c>
      <c r="I238">
        <v>55250</v>
      </c>
      <c r="J238" s="10" t="s">
        <v>278</v>
      </c>
      <c r="K238" s="10">
        <v>55250</v>
      </c>
      <c r="L238" s="10">
        <v>165750</v>
      </c>
      <c r="M238" s="12" t="s">
        <v>16</v>
      </c>
    </row>
    <row r="239" spans="1:13" ht="16.8" x14ac:dyDescent="0.3">
      <c r="A239" s="7" t="s">
        <v>317</v>
      </c>
      <c r="B239" s="8">
        <v>44960</v>
      </c>
      <c r="C239" s="15" t="s">
        <v>274</v>
      </c>
      <c r="D239" s="10" t="s">
        <v>223</v>
      </c>
      <c r="E239">
        <v>4</v>
      </c>
      <c r="F239">
        <v>39000</v>
      </c>
      <c r="G239">
        <v>49000</v>
      </c>
      <c r="H239">
        <v>9</v>
      </c>
      <c r="I239">
        <v>35490</v>
      </c>
      <c r="J239" s="10" t="s">
        <v>278</v>
      </c>
      <c r="K239" s="10">
        <v>35490</v>
      </c>
      <c r="L239" s="10">
        <v>141960</v>
      </c>
      <c r="M239" s="12" t="s">
        <v>256</v>
      </c>
    </row>
    <row r="240" spans="1:13" ht="16.8" x14ac:dyDescent="0.3">
      <c r="A240" s="7" t="s">
        <v>318</v>
      </c>
      <c r="B240" s="8">
        <v>44464</v>
      </c>
      <c r="C240" s="15" t="s">
        <v>273</v>
      </c>
      <c r="D240" s="10" t="s">
        <v>223</v>
      </c>
      <c r="E240">
        <v>4</v>
      </c>
      <c r="F240">
        <v>55000</v>
      </c>
      <c r="G240">
        <v>35000</v>
      </c>
      <c r="H240">
        <v>15</v>
      </c>
      <c r="I240">
        <v>35000</v>
      </c>
      <c r="J240" s="10" t="s">
        <v>279</v>
      </c>
      <c r="K240" s="10">
        <v>35000</v>
      </c>
      <c r="L240" s="10">
        <v>140000</v>
      </c>
      <c r="M240" s="12" t="s">
        <v>230</v>
      </c>
    </row>
    <row r="241" spans="1:13" ht="16.8" x14ac:dyDescent="0.3">
      <c r="A241" s="7" t="s">
        <v>319</v>
      </c>
      <c r="B241" s="8">
        <v>44335</v>
      </c>
      <c r="C241" s="15" t="s">
        <v>271</v>
      </c>
      <c r="D241" s="10" t="s">
        <v>222</v>
      </c>
      <c r="E241">
        <v>2</v>
      </c>
      <c r="F241">
        <v>49000</v>
      </c>
      <c r="G241">
        <v>55000</v>
      </c>
      <c r="H241">
        <v>13</v>
      </c>
      <c r="I241">
        <v>55000</v>
      </c>
      <c r="J241" s="10" t="s">
        <v>279</v>
      </c>
      <c r="K241" s="10">
        <v>55000</v>
      </c>
      <c r="L241" s="10">
        <v>110000</v>
      </c>
      <c r="M241" s="12" t="s">
        <v>233</v>
      </c>
    </row>
    <row r="242" spans="1:13" ht="16.8" x14ac:dyDescent="0.3">
      <c r="A242" s="7" t="s">
        <v>320</v>
      </c>
      <c r="B242" s="8">
        <v>45071</v>
      </c>
      <c r="C242" s="15" t="s">
        <v>274</v>
      </c>
      <c r="D242" s="10" t="s">
        <v>223</v>
      </c>
      <c r="E242">
        <v>5</v>
      </c>
      <c r="F242">
        <v>39000</v>
      </c>
      <c r="G242">
        <v>69000</v>
      </c>
      <c r="H242">
        <v>7</v>
      </c>
      <c r="I242">
        <v>69000</v>
      </c>
      <c r="J242" s="10" t="s">
        <v>279</v>
      </c>
      <c r="K242" s="10">
        <v>69000</v>
      </c>
      <c r="L242" s="10">
        <v>345000</v>
      </c>
      <c r="M242" s="12" t="s">
        <v>257</v>
      </c>
    </row>
    <row r="243" spans="1:13" ht="16.8" x14ac:dyDescent="0.3">
      <c r="A243" s="7" t="s">
        <v>321</v>
      </c>
      <c r="B243" s="8">
        <v>45058</v>
      </c>
      <c r="C243" s="15" t="s">
        <v>272</v>
      </c>
      <c r="D243" s="10" t="s">
        <v>223</v>
      </c>
      <c r="E243">
        <v>5</v>
      </c>
      <c r="F243">
        <v>65000</v>
      </c>
      <c r="G243">
        <v>59000</v>
      </c>
      <c r="H243">
        <v>8</v>
      </c>
      <c r="I243">
        <v>59000</v>
      </c>
      <c r="J243" s="10" t="s">
        <v>279</v>
      </c>
      <c r="K243" s="10">
        <v>59000</v>
      </c>
      <c r="L243" s="10">
        <v>295000</v>
      </c>
      <c r="M243" s="12" t="s">
        <v>234</v>
      </c>
    </row>
    <row r="244" spans="1:13" ht="16.8" x14ac:dyDescent="0.3">
      <c r="A244" s="7" t="s">
        <v>322</v>
      </c>
      <c r="B244" s="8">
        <v>44715</v>
      </c>
      <c r="C244" s="15" t="s">
        <v>271</v>
      </c>
      <c r="D244" s="10" t="s">
        <v>222</v>
      </c>
      <c r="E244">
        <v>3</v>
      </c>
      <c r="F244">
        <v>59000</v>
      </c>
      <c r="G244">
        <v>65000</v>
      </c>
      <c r="H244">
        <v>13</v>
      </c>
      <c r="I244">
        <v>51330</v>
      </c>
      <c r="J244" s="10" t="s">
        <v>278</v>
      </c>
      <c r="K244" s="10">
        <v>51330</v>
      </c>
      <c r="L244" s="10">
        <v>153990</v>
      </c>
      <c r="M244" s="12" t="s">
        <v>252</v>
      </c>
    </row>
    <row r="245" spans="1:13" ht="16.8" x14ac:dyDescent="0.3">
      <c r="A245" s="7" t="s">
        <v>323</v>
      </c>
      <c r="B245" s="8">
        <v>44660</v>
      </c>
      <c r="C245" s="15" t="s">
        <v>5</v>
      </c>
      <c r="D245" s="10" t="s">
        <v>224</v>
      </c>
      <c r="E245">
        <v>5</v>
      </c>
      <c r="F245">
        <v>75000</v>
      </c>
      <c r="G245">
        <v>59000</v>
      </c>
      <c r="H245">
        <v>14</v>
      </c>
      <c r="I245">
        <v>59000</v>
      </c>
      <c r="J245" s="10" t="s">
        <v>279</v>
      </c>
      <c r="K245" s="10">
        <v>59000</v>
      </c>
      <c r="L245" s="10">
        <v>295000</v>
      </c>
      <c r="M245" s="12" t="s">
        <v>249</v>
      </c>
    </row>
    <row r="246" spans="1:13" ht="16.8" x14ac:dyDescent="0.3">
      <c r="A246" s="7" t="s">
        <v>324</v>
      </c>
      <c r="B246" s="8">
        <v>44951</v>
      </c>
      <c r="C246" s="15" t="s">
        <v>4</v>
      </c>
      <c r="D246" s="10" t="s">
        <v>222</v>
      </c>
      <c r="E246">
        <v>4</v>
      </c>
      <c r="F246">
        <v>39000</v>
      </c>
      <c r="G246">
        <v>69000</v>
      </c>
      <c r="H246">
        <v>13</v>
      </c>
      <c r="I246">
        <v>33930</v>
      </c>
      <c r="J246" s="10" t="s">
        <v>278</v>
      </c>
      <c r="K246" s="10">
        <v>33930</v>
      </c>
      <c r="L246" s="10">
        <v>135720</v>
      </c>
      <c r="M246" s="12" t="s">
        <v>232</v>
      </c>
    </row>
    <row r="247" spans="1:13" ht="16.8" x14ac:dyDescent="0.3">
      <c r="A247" s="7" t="s">
        <v>325</v>
      </c>
      <c r="B247" s="8">
        <v>44365</v>
      </c>
      <c r="C247" s="15" t="s">
        <v>6</v>
      </c>
      <c r="D247" s="10" t="s">
        <v>222</v>
      </c>
      <c r="E247">
        <v>4</v>
      </c>
      <c r="F247">
        <v>69000</v>
      </c>
      <c r="G247">
        <v>59000</v>
      </c>
      <c r="H247">
        <v>11</v>
      </c>
      <c r="I247">
        <v>59000</v>
      </c>
      <c r="J247" s="10" t="s">
        <v>279</v>
      </c>
      <c r="K247" s="10">
        <v>59000</v>
      </c>
      <c r="L247" s="10">
        <v>236000</v>
      </c>
      <c r="M247" s="12" t="s">
        <v>21</v>
      </c>
    </row>
    <row r="248" spans="1:13" ht="16.8" x14ac:dyDescent="0.3">
      <c r="A248" s="7" t="s">
        <v>326</v>
      </c>
      <c r="B248" s="8">
        <v>44259</v>
      </c>
      <c r="C248" s="15" t="s">
        <v>273</v>
      </c>
      <c r="D248" s="10" t="s">
        <v>222</v>
      </c>
      <c r="E248">
        <v>2</v>
      </c>
      <c r="F248">
        <v>65000</v>
      </c>
      <c r="G248">
        <v>65000</v>
      </c>
      <c r="H248">
        <v>10</v>
      </c>
      <c r="I248">
        <v>58500</v>
      </c>
      <c r="J248" s="10" t="s">
        <v>278</v>
      </c>
      <c r="K248" s="10">
        <v>58500</v>
      </c>
      <c r="L248" s="10">
        <v>117000</v>
      </c>
      <c r="M248" s="12" t="s">
        <v>13</v>
      </c>
    </row>
    <row r="249" spans="1:13" ht="16.8" x14ac:dyDescent="0.3">
      <c r="A249" s="7" t="s">
        <v>327</v>
      </c>
      <c r="B249" s="8">
        <v>45115</v>
      </c>
      <c r="C249" s="15" t="s">
        <v>274</v>
      </c>
      <c r="D249" s="10" t="s">
        <v>224</v>
      </c>
      <c r="E249">
        <v>5</v>
      </c>
      <c r="F249">
        <v>35000</v>
      </c>
      <c r="G249">
        <v>69000</v>
      </c>
      <c r="H249">
        <v>8</v>
      </c>
      <c r="I249">
        <v>69000</v>
      </c>
      <c r="J249" s="10" t="s">
        <v>279</v>
      </c>
      <c r="K249" s="10">
        <v>69000</v>
      </c>
      <c r="L249" s="10">
        <v>345000</v>
      </c>
      <c r="M249" s="12" t="s">
        <v>259</v>
      </c>
    </row>
    <row r="250" spans="1:13" ht="16.8" x14ac:dyDescent="0.3">
      <c r="A250" s="7" t="s">
        <v>328</v>
      </c>
      <c r="B250" s="8">
        <v>44350</v>
      </c>
      <c r="C250" s="15" t="s">
        <v>5</v>
      </c>
      <c r="D250" s="10" t="s">
        <v>224</v>
      </c>
      <c r="E250">
        <v>2</v>
      </c>
      <c r="F250">
        <v>65000</v>
      </c>
      <c r="G250">
        <v>59000</v>
      </c>
      <c r="H250">
        <v>7</v>
      </c>
      <c r="I250">
        <v>59000</v>
      </c>
      <c r="J250" s="10" t="s">
        <v>279</v>
      </c>
      <c r="K250" s="10">
        <v>59000</v>
      </c>
      <c r="L250" s="10">
        <v>118000</v>
      </c>
      <c r="M250" s="12" t="s">
        <v>245</v>
      </c>
    </row>
    <row r="251" spans="1:13" ht="16.8" x14ac:dyDescent="0.3">
      <c r="A251" s="7" t="s">
        <v>329</v>
      </c>
      <c r="B251" s="8">
        <v>44849</v>
      </c>
      <c r="C251" s="15" t="s">
        <v>274</v>
      </c>
      <c r="D251" s="10" t="s">
        <v>223</v>
      </c>
      <c r="E251">
        <v>1</v>
      </c>
      <c r="F251">
        <v>49000</v>
      </c>
      <c r="G251">
        <v>69000</v>
      </c>
      <c r="H251">
        <v>5</v>
      </c>
      <c r="I251">
        <v>46550</v>
      </c>
      <c r="J251" s="10" t="s">
        <v>278</v>
      </c>
      <c r="K251" s="10">
        <v>46550</v>
      </c>
      <c r="L251" s="10">
        <v>46550</v>
      </c>
      <c r="M251" s="12" t="s">
        <v>229</v>
      </c>
    </row>
    <row r="252" spans="1:13" ht="16.8" x14ac:dyDescent="0.3">
      <c r="A252" s="7" t="s">
        <v>330</v>
      </c>
      <c r="B252" s="8">
        <v>44616</v>
      </c>
      <c r="C252" s="15" t="s">
        <v>3</v>
      </c>
      <c r="D252" s="10" t="s">
        <v>224</v>
      </c>
      <c r="E252">
        <v>2</v>
      </c>
      <c r="F252">
        <v>65000</v>
      </c>
      <c r="G252">
        <v>65000</v>
      </c>
      <c r="H252">
        <v>9</v>
      </c>
      <c r="I252">
        <v>65000</v>
      </c>
      <c r="J252" s="10" t="s">
        <v>279</v>
      </c>
      <c r="K252" s="10">
        <v>65000</v>
      </c>
      <c r="L252" s="10">
        <v>130000</v>
      </c>
      <c r="M252" s="12" t="s">
        <v>239</v>
      </c>
    </row>
    <row r="253" spans="1:13" ht="16.8" x14ac:dyDescent="0.3">
      <c r="A253" s="7" t="s">
        <v>331</v>
      </c>
      <c r="B253" s="8">
        <v>44704</v>
      </c>
      <c r="C253" s="15" t="s">
        <v>273</v>
      </c>
      <c r="D253" s="10" t="s">
        <v>223</v>
      </c>
      <c r="E253">
        <v>4</v>
      </c>
      <c r="F253">
        <v>39000</v>
      </c>
      <c r="G253">
        <v>35000</v>
      </c>
      <c r="H253">
        <v>10</v>
      </c>
      <c r="I253">
        <v>35000</v>
      </c>
      <c r="J253" s="10" t="s">
        <v>279</v>
      </c>
      <c r="K253" s="10">
        <v>35000</v>
      </c>
      <c r="L253" s="10">
        <v>140000</v>
      </c>
      <c r="M253" s="12" t="s">
        <v>255</v>
      </c>
    </row>
    <row r="254" spans="1:13" ht="16.8" x14ac:dyDescent="0.3">
      <c r="A254" s="7" t="s">
        <v>332</v>
      </c>
      <c r="B254" s="8">
        <v>44581</v>
      </c>
      <c r="C254" s="15" t="s">
        <v>6</v>
      </c>
      <c r="D254" s="10" t="s">
        <v>224</v>
      </c>
      <c r="E254">
        <v>3</v>
      </c>
      <c r="F254">
        <v>35000</v>
      </c>
      <c r="G254">
        <v>55000</v>
      </c>
      <c r="H254">
        <v>6</v>
      </c>
      <c r="I254">
        <v>32900</v>
      </c>
      <c r="J254" s="10" t="s">
        <v>278</v>
      </c>
      <c r="K254" s="10">
        <v>32900</v>
      </c>
      <c r="L254" s="10">
        <v>98700</v>
      </c>
      <c r="M254" s="12" t="s">
        <v>15</v>
      </c>
    </row>
    <row r="255" spans="1:13" ht="16.8" x14ac:dyDescent="0.3">
      <c r="A255" s="7" t="s">
        <v>333</v>
      </c>
      <c r="B255" s="8">
        <v>44218</v>
      </c>
      <c r="C255" s="15" t="s">
        <v>3</v>
      </c>
      <c r="D255" s="10" t="s">
        <v>223</v>
      </c>
      <c r="E255">
        <v>5</v>
      </c>
      <c r="F255">
        <v>55000</v>
      </c>
      <c r="G255">
        <v>65000</v>
      </c>
      <c r="H255">
        <v>10</v>
      </c>
      <c r="I255">
        <v>49500</v>
      </c>
      <c r="J255" s="10" t="s">
        <v>278</v>
      </c>
      <c r="K255" s="10">
        <v>49500</v>
      </c>
      <c r="L255" s="10">
        <v>247500</v>
      </c>
      <c r="M255" s="12" t="s">
        <v>229</v>
      </c>
    </row>
    <row r="256" spans="1:13" ht="16.8" x14ac:dyDescent="0.3">
      <c r="A256" s="7" t="s">
        <v>334</v>
      </c>
      <c r="B256" s="8">
        <v>44445</v>
      </c>
      <c r="C256" s="15" t="s">
        <v>273</v>
      </c>
      <c r="D256" s="10" t="s">
        <v>224</v>
      </c>
      <c r="E256">
        <v>4</v>
      </c>
      <c r="F256">
        <v>45000</v>
      </c>
      <c r="G256">
        <v>35000</v>
      </c>
      <c r="H256">
        <v>13</v>
      </c>
      <c r="I256">
        <v>35000</v>
      </c>
      <c r="J256" s="10" t="s">
        <v>279</v>
      </c>
      <c r="K256" s="10">
        <v>35000</v>
      </c>
      <c r="L256" s="10">
        <v>140000</v>
      </c>
      <c r="M256" s="12" t="s">
        <v>260</v>
      </c>
    </row>
    <row r="257" spans="1:13" ht="16.8" x14ac:dyDescent="0.3">
      <c r="A257" s="7" t="s">
        <v>335</v>
      </c>
      <c r="B257" s="8">
        <v>44792</v>
      </c>
      <c r="C257" s="15" t="s">
        <v>4</v>
      </c>
      <c r="D257" s="10" t="s">
        <v>223</v>
      </c>
      <c r="E257">
        <v>3</v>
      </c>
      <c r="F257">
        <v>65000</v>
      </c>
      <c r="G257">
        <v>49000</v>
      </c>
      <c r="H257">
        <v>12</v>
      </c>
      <c r="I257">
        <v>49000</v>
      </c>
      <c r="J257" s="10" t="s">
        <v>279</v>
      </c>
      <c r="K257" s="10">
        <v>49000</v>
      </c>
      <c r="L257" s="10">
        <v>147000</v>
      </c>
      <c r="M257" s="12" t="s">
        <v>17</v>
      </c>
    </row>
    <row r="258" spans="1:13" ht="16.8" x14ac:dyDescent="0.3">
      <c r="A258" s="7" t="s">
        <v>336</v>
      </c>
      <c r="B258" s="8">
        <v>44923</v>
      </c>
      <c r="C258" s="15" t="s">
        <v>3</v>
      </c>
      <c r="D258" s="10" t="s">
        <v>223</v>
      </c>
      <c r="E258">
        <v>4</v>
      </c>
      <c r="F258">
        <v>39000</v>
      </c>
      <c r="G258">
        <v>65000</v>
      </c>
      <c r="H258">
        <v>11</v>
      </c>
      <c r="I258">
        <v>65000</v>
      </c>
      <c r="J258" s="10" t="s">
        <v>279</v>
      </c>
      <c r="K258" s="10">
        <v>65000</v>
      </c>
      <c r="L258" s="10">
        <v>260000</v>
      </c>
      <c r="M258" s="12" t="s">
        <v>12</v>
      </c>
    </row>
    <row r="259" spans="1:13" ht="16.8" x14ac:dyDescent="0.3">
      <c r="A259" s="7" t="s">
        <v>337</v>
      </c>
      <c r="B259" s="8">
        <v>44863</v>
      </c>
      <c r="C259" s="15" t="s">
        <v>4</v>
      </c>
      <c r="D259" s="10" t="s">
        <v>224</v>
      </c>
      <c r="E259">
        <v>2</v>
      </c>
      <c r="F259">
        <v>55000</v>
      </c>
      <c r="G259">
        <v>59000</v>
      </c>
      <c r="H259">
        <v>15</v>
      </c>
      <c r="I259">
        <v>59000</v>
      </c>
      <c r="J259" s="10" t="s">
        <v>279</v>
      </c>
      <c r="K259" s="10">
        <v>59000</v>
      </c>
      <c r="L259" s="10">
        <v>118000</v>
      </c>
      <c r="M259" s="12" t="s">
        <v>245</v>
      </c>
    </row>
    <row r="260" spans="1:13" ht="16.8" x14ac:dyDescent="0.3">
      <c r="A260" s="7" t="s">
        <v>338</v>
      </c>
      <c r="B260" s="8">
        <v>45292</v>
      </c>
      <c r="C260" s="15" t="s">
        <v>5</v>
      </c>
      <c r="D260" s="10" t="s">
        <v>224</v>
      </c>
      <c r="E260">
        <v>5</v>
      </c>
      <c r="F260">
        <v>59000</v>
      </c>
      <c r="G260">
        <v>75000</v>
      </c>
      <c r="H260">
        <v>7</v>
      </c>
      <c r="I260">
        <v>75000</v>
      </c>
      <c r="J260" s="10" t="s">
        <v>279</v>
      </c>
      <c r="K260" s="10">
        <v>75000</v>
      </c>
      <c r="L260" s="10">
        <v>375000</v>
      </c>
      <c r="M260" s="12" t="s">
        <v>228</v>
      </c>
    </row>
    <row r="261" spans="1:13" ht="16.8" x14ac:dyDescent="0.3">
      <c r="A261" s="7" t="s">
        <v>339</v>
      </c>
      <c r="B261" s="8">
        <v>45290</v>
      </c>
      <c r="C261" s="15" t="s">
        <v>274</v>
      </c>
      <c r="D261" s="10" t="s">
        <v>222</v>
      </c>
      <c r="E261">
        <v>4</v>
      </c>
      <c r="F261">
        <v>65000</v>
      </c>
      <c r="G261">
        <v>49000</v>
      </c>
      <c r="H261">
        <v>9</v>
      </c>
      <c r="I261">
        <v>49000</v>
      </c>
      <c r="J261" s="10" t="s">
        <v>279</v>
      </c>
      <c r="K261" s="10">
        <v>49000</v>
      </c>
      <c r="L261" s="10">
        <v>196000</v>
      </c>
      <c r="M261" s="12" t="s">
        <v>228</v>
      </c>
    </row>
    <row r="262" spans="1:13" ht="16.8" x14ac:dyDescent="0.3">
      <c r="A262" s="7" t="s">
        <v>340</v>
      </c>
      <c r="B262" s="8">
        <v>44642</v>
      </c>
      <c r="C262" s="15" t="s">
        <v>5</v>
      </c>
      <c r="D262" s="10" t="s">
        <v>222</v>
      </c>
      <c r="E262">
        <v>4</v>
      </c>
      <c r="F262">
        <v>65000</v>
      </c>
      <c r="G262">
        <v>69000</v>
      </c>
      <c r="H262">
        <v>14</v>
      </c>
      <c r="I262">
        <v>69000</v>
      </c>
      <c r="J262" s="10" t="s">
        <v>279</v>
      </c>
      <c r="K262" s="10">
        <v>69000</v>
      </c>
      <c r="L262" s="10">
        <v>276000</v>
      </c>
      <c r="M262" s="12" t="s">
        <v>13</v>
      </c>
    </row>
    <row r="263" spans="1:13" ht="16.8" x14ac:dyDescent="0.3">
      <c r="A263" s="7" t="s">
        <v>341</v>
      </c>
      <c r="B263" s="8">
        <v>44476</v>
      </c>
      <c r="C263" s="15" t="s">
        <v>274</v>
      </c>
      <c r="D263" s="10" t="s">
        <v>224</v>
      </c>
      <c r="E263">
        <v>1</v>
      </c>
      <c r="F263">
        <v>75000</v>
      </c>
      <c r="G263">
        <v>35000</v>
      </c>
      <c r="H263">
        <v>7</v>
      </c>
      <c r="I263">
        <v>69750</v>
      </c>
      <c r="J263" s="10" t="s">
        <v>278</v>
      </c>
      <c r="K263" s="10">
        <v>69750</v>
      </c>
      <c r="L263" s="10">
        <v>69750</v>
      </c>
      <c r="M263" s="12" t="s">
        <v>259</v>
      </c>
    </row>
    <row r="264" spans="1:13" ht="16.8" x14ac:dyDescent="0.3">
      <c r="A264" s="7" t="s">
        <v>342</v>
      </c>
      <c r="B264" s="8">
        <v>44617</v>
      </c>
      <c r="C264" s="15" t="s">
        <v>5</v>
      </c>
      <c r="D264" s="10" t="s">
        <v>224</v>
      </c>
      <c r="E264">
        <v>3</v>
      </c>
      <c r="F264">
        <v>65000</v>
      </c>
      <c r="G264">
        <v>65000</v>
      </c>
      <c r="H264">
        <v>9</v>
      </c>
      <c r="I264">
        <v>65000</v>
      </c>
      <c r="J264" s="10" t="s">
        <v>279</v>
      </c>
      <c r="K264" s="10">
        <v>65000</v>
      </c>
      <c r="L264" s="10">
        <v>195000</v>
      </c>
      <c r="M264" s="12" t="s">
        <v>262</v>
      </c>
    </row>
    <row r="265" spans="1:13" ht="16.8" x14ac:dyDescent="0.3">
      <c r="A265" s="7" t="s">
        <v>343</v>
      </c>
      <c r="B265" s="8">
        <v>44257</v>
      </c>
      <c r="C265" s="15" t="s">
        <v>272</v>
      </c>
      <c r="D265" s="10" t="s">
        <v>223</v>
      </c>
      <c r="E265">
        <v>5</v>
      </c>
      <c r="F265">
        <v>65000</v>
      </c>
      <c r="G265">
        <v>35000</v>
      </c>
      <c r="H265">
        <v>7</v>
      </c>
      <c r="I265">
        <v>35000</v>
      </c>
      <c r="J265" s="10" t="s">
        <v>279</v>
      </c>
      <c r="K265" s="10">
        <v>35000</v>
      </c>
      <c r="L265" s="10">
        <v>175000</v>
      </c>
      <c r="M265" s="12" t="s">
        <v>225</v>
      </c>
    </row>
    <row r="266" spans="1:13" ht="16.8" x14ac:dyDescent="0.3">
      <c r="A266" s="7" t="s">
        <v>344</v>
      </c>
      <c r="B266" s="8">
        <v>44250</v>
      </c>
      <c r="C266" s="15" t="s">
        <v>274</v>
      </c>
      <c r="D266" s="10" t="s">
        <v>222</v>
      </c>
      <c r="E266">
        <v>3</v>
      </c>
      <c r="F266">
        <v>65000</v>
      </c>
      <c r="G266">
        <v>39000</v>
      </c>
      <c r="H266">
        <v>9</v>
      </c>
      <c r="I266">
        <v>59150</v>
      </c>
      <c r="J266" s="10" t="s">
        <v>278</v>
      </c>
      <c r="K266" s="10">
        <v>59150</v>
      </c>
      <c r="L266" s="10">
        <v>177450</v>
      </c>
      <c r="M266" s="12" t="s">
        <v>21</v>
      </c>
    </row>
    <row r="267" spans="1:13" ht="16.8" x14ac:dyDescent="0.3">
      <c r="A267" s="7" t="s">
        <v>345</v>
      </c>
      <c r="B267" s="8">
        <v>45080</v>
      </c>
      <c r="C267" s="15" t="s">
        <v>270</v>
      </c>
      <c r="D267" s="10" t="s">
        <v>223</v>
      </c>
      <c r="E267">
        <v>3</v>
      </c>
      <c r="F267">
        <v>49000</v>
      </c>
      <c r="G267">
        <v>65000</v>
      </c>
      <c r="H267">
        <v>5</v>
      </c>
      <c r="I267">
        <v>46550</v>
      </c>
      <c r="J267" s="10" t="s">
        <v>278</v>
      </c>
      <c r="K267" s="10">
        <v>46550</v>
      </c>
      <c r="L267" s="10">
        <v>139650</v>
      </c>
      <c r="M267" s="12" t="s">
        <v>19</v>
      </c>
    </row>
    <row r="268" spans="1:13" ht="16.8" x14ac:dyDescent="0.3">
      <c r="A268" s="7" t="s">
        <v>346</v>
      </c>
      <c r="B268" s="8">
        <v>45142</v>
      </c>
      <c r="C268" s="15" t="s">
        <v>272</v>
      </c>
      <c r="D268" s="10" t="s">
        <v>223</v>
      </c>
      <c r="E268">
        <v>1</v>
      </c>
      <c r="F268">
        <v>69000</v>
      </c>
      <c r="G268">
        <v>65000</v>
      </c>
      <c r="H268">
        <v>7</v>
      </c>
      <c r="I268">
        <v>65000</v>
      </c>
      <c r="J268" s="10" t="s">
        <v>279</v>
      </c>
      <c r="K268" s="10">
        <v>65000</v>
      </c>
      <c r="L268" s="10">
        <v>65000</v>
      </c>
      <c r="M268" s="12" t="s">
        <v>12</v>
      </c>
    </row>
    <row r="269" spans="1:13" ht="16.8" x14ac:dyDescent="0.3">
      <c r="A269" s="7" t="s">
        <v>347</v>
      </c>
      <c r="B269" s="8">
        <v>44861</v>
      </c>
      <c r="C269" s="15" t="s">
        <v>5</v>
      </c>
      <c r="D269" s="10" t="s">
        <v>223</v>
      </c>
      <c r="E269">
        <v>3</v>
      </c>
      <c r="F269">
        <v>59000</v>
      </c>
      <c r="G269">
        <v>69000</v>
      </c>
      <c r="H269">
        <v>10</v>
      </c>
      <c r="I269">
        <v>53100</v>
      </c>
      <c r="J269" s="10" t="s">
        <v>278</v>
      </c>
      <c r="K269" s="10">
        <v>53100</v>
      </c>
      <c r="L269" s="10">
        <v>159300</v>
      </c>
      <c r="M269" s="12" t="s">
        <v>14</v>
      </c>
    </row>
    <row r="270" spans="1:13" ht="16.8" x14ac:dyDescent="0.3">
      <c r="A270" s="7" t="s">
        <v>348</v>
      </c>
      <c r="B270" s="8">
        <v>44245</v>
      </c>
      <c r="C270" s="15" t="s">
        <v>5</v>
      </c>
      <c r="D270" s="10" t="s">
        <v>223</v>
      </c>
      <c r="E270">
        <v>4</v>
      </c>
      <c r="F270">
        <v>75000</v>
      </c>
      <c r="G270">
        <v>65000</v>
      </c>
      <c r="H270">
        <v>14</v>
      </c>
      <c r="I270">
        <v>65000</v>
      </c>
      <c r="J270" s="10" t="s">
        <v>279</v>
      </c>
      <c r="K270" s="10">
        <v>65000</v>
      </c>
      <c r="L270" s="10">
        <v>260000</v>
      </c>
      <c r="M270" s="12" t="s">
        <v>252</v>
      </c>
    </row>
    <row r="271" spans="1:13" ht="16.8" x14ac:dyDescent="0.3">
      <c r="A271" s="7" t="s">
        <v>349</v>
      </c>
      <c r="B271" s="8">
        <v>45055</v>
      </c>
      <c r="C271" s="15" t="s">
        <v>271</v>
      </c>
      <c r="D271" s="10" t="s">
        <v>224</v>
      </c>
      <c r="E271">
        <v>1</v>
      </c>
      <c r="F271">
        <v>59000</v>
      </c>
      <c r="G271">
        <v>39000</v>
      </c>
      <c r="H271">
        <v>8</v>
      </c>
      <c r="I271">
        <v>54280</v>
      </c>
      <c r="J271" s="10" t="s">
        <v>278</v>
      </c>
      <c r="K271" s="10">
        <v>54280</v>
      </c>
      <c r="L271" s="10">
        <v>54280</v>
      </c>
      <c r="M271" s="12" t="s">
        <v>241</v>
      </c>
    </row>
    <row r="272" spans="1:13" ht="16.8" x14ac:dyDescent="0.3">
      <c r="A272" s="7" t="s">
        <v>350</v>
      </c>
      <c r="B272" s="8">
        <v>44202</v>
      </c>
      <c r="C272" s="15" t="s">
        <v>4</v>
      </c>
      <c r="D272" s="10" t="s">
        <v>222</v>
      </c>
      <c r="E272">
        <v>2</v>
      </c>
      <c r="F272">
        <v>65000</v>
      </c>
      <c r="G272">
        <v>35000</v>
      </c>
      <c r="H272">
        <v>5</v>
      </c>
      <c r="I272">
        <v>35000</v>
      </c>
      <c r="J272" s="10" t="s">
        <v>279</v>
      </c>
      <c r="K272" s="10">
        <v>35000</v>
      </c>
      <c r="L272" s="10">
        <v>70000</v>
      </c>
      <c r="M272" s="12" t="s">
        <v>10</v>
      </c>
    </row>
    <row r="273" spans="1:13" ht="16.8" x14ac:dyDescent="0.3">
      <c r="A273" s="7" t="s">
        <v>351</v>
      </c>
      <c r="B273" s="8">
        <v>44215</v>
      </c>
      <c r="C273" s="15" t="s">
        <v>4</v>
      </c>
      <c r="D273" s="10" t="s">
        <v>222</v>
      </c>
      <c r="E273">
        <v>2</v>
      </c>
      <c r="F273">
        <v>75000</v>
      </c>
      <c r="G273">
        <v>49000</v>
      </c>
      <c r="H273">
        <v>14</v>
      </c>
      <c r="I273">
        <v>64500</v>
      </c>
      <c r="J273" s="10" t="s">
        <v>278</v>
      </c>
      <c r="K273" s="10">
        <v>64500</v>
      </c>
      <c r="L273" s="10">
        <v>129000</v>
      </c>
      <c r="M273" s="12" t="s">
        <v>247</v>
      </c>
    </row>
    <row r="274" spans="1:13" ht="16.8" x14ac:dyDescent="0.3">
      <c r="A274" s="7" t="s">
        <v>352</v>
      </c>
      <c r="B274" s="8">
        <v>45169</v>
      </c>
      <c r="C274" s="15" t="s">
        <v>271</v>
      </c>
      <c r="D274" s="10" t="s">
        <v>224</v>
      </c>
      <c r="E274">
        <v>5</v>
      </c>
      <c r="F274">
        <v>39000</v>
      </c>
      <c r="G274">
        <v>59000</v>
      </c>
      <c r="H274">
        <v>5</v>
      </c>
      <c r="I274">
        <v>59000</v>
      </c>
      <c r="J274" s="10" t="s">
        <v>279</v>
      </c>
      <c r="K274" s="10">
        <v>59000</v>
      </c>
      <c r="L274" s="10">
        <v>295000</v>
      </c>
      <c r="M274" s="12" t="s">
        <v>246</v>
      </c>
    </row>
    <row r="275" spans="1:13" ht="16.8" x14ac:dyDescent="0.3">
      <c r="A275" s="7" t="s">
        <v>353</v>
      </c>
      <c r="B275" s="8">
        <v>44854</v>
      </c>
      <c r="C275" s="15" t="s">
        <v>274</v>
      </c>
      <c r="D275" s="10" t="s">
        <v>223</v>
      </c>
      <c r="E275">
        <v>5</v>
      </c>
      <c r="F275">
        <v>49000</v>
      </c>
      <c r="G275">
        <v>65000</v>
      </c>
      <c r="H275">
        <v>9</v>
      </c>
      <c r="I275">
        <v>65000</v>
      </c>
      <c r="J275" s="10" t="s">
        <v>279</v>
      </c>
      <c r="K275" s="10">
        <v>65000</v>
      </c>
      <c r="L275" s="10">
        <v>325000</v>
      </c>
      <c r="M275" s="12" t="s">
        <v>16</v>
      </c>
    </row>
    <row r="276" spans="1:13" ht="16.8" x14ac:dyDescent="0.3">
      <c r="A276" s="7" t="s">
        <v>354</v>
      </c>
      <c r="B276" s="8">
        <v>44363</v>
      </c>
      <c r="C276" s="15" t="s">
        <v>275</v>
      </c>
      <c r="D276" s="10" t="s">
        <v>222</v>
      </c>
      <c r="E276">
        <v>5</v>
      </c>
      <c r="F276">
        <v>69000</v>
      </c>
      <c r="G276">
        <v>39000</v>
      </c>
      <c r="H276">
        <v>14</v>
      </c>
      <c r="I276">
        <v>39000</v>
      </c>
      <c r="J276" s="10" t="s">
        <v>279</v>
      </c>
      <c r="K276" s="10">
        <v>39000</v>
      </c>
      <c r="L276" s="10">
        <v>195000</v>
      </c>
      <c r="M276" s="12" t="s">
        <v>230</v>
      </c>
    </row>
    <row r="277" spans="1:13" ht="16.8" x14ac:dyDescent="0.3">
      <c r="A277" s="7" t="s">
        <v>355</v>
      </c>
      <c r="B277" s="8">
        <v>44613</v>
      </c>
      <c r="C277" s="15" t="s">
        <v>270</v>
      </c>
      <c r="D277" s="10" t="s">
        <v>222</v>
      </c>
      <c r="E277">
        <v>3</v>
      </c>
      <c r="F277">
        <v>49000</v>
      </c>
      <c r="G277">
        <v>35000</v>
      </c>
      <c r="H277">
        <v>9</v>
      </c>
      <c r="I277">
        <v>35000</v>
      </c>
      <c r="J277" s="10" t="s">
        <v>279</v>
      </c>
      <c r="K277" s="10">
        <v>35000</v>
      </c>
      <c r="L277" s="10">
        <v>105000</v>
      </c>
      <c r="M277" s="12" t="s">
        <v>227</v>
      </c>
    </row>
    <row r="278" spans="1:13" ht="16.8" x14ac:dyDescent="0.3">
      <c r="A278" s="7" t="s">
        <v>356</v>
      </c>
      <c r="B278" s="8">
        <v>44960</v>
      </c>
      <c r="C278" s="15" t="s">
        <v>271</v>
      </c>
      <c r="D278" s="10" t="s">
        <v>224</v>
      </c>
      <c r="E278">
        <v>1</v>
      </c>
      <c r="F278">
        <v>59000</v>
      </c>
      <c r="G278">
        <v>65000</v>
      </c>
      <c r="H278">
        <v>8</v>
      </c>
      <c r="I278">
        <v>54280</v>
      </c>
      <c r="J278" s="10" t="s">
        <v>278</v>
      </c>
      <c r="K278" s="10">
        <v>54280</v>
      </c>
      <c r="L278" s="10">
        <v>54280</v>
      </c>
      <c r="M278" s="12" t="s">
        <v>246</v>
      </c>
    </row>
    <row r="279" spans="1:13" ht="16.8" x14ac:dyDescent="0.3">
      <c r="A279" s="7" t="s">
        <v>357</v>
      </c>
      <c r="B279" s="8">
        <v>44479</v>
      </c>
      <c r="C279" s="15" t="s">
        <v>275</v>
      </c>
      <c r="D279" s="10" t="s">
        <v>222</v>
      </c>
      <c r="E279">
        <v>4</v>
      </c>
      <c r="F279">
        <v>69000</v>
      </c>
      <c r="G279">
        <v>49000</v>
      </c>
      <c r="H279">
        <v>14</v>
      </c>
      <c r="I279">
        <v>49000</v>
      </c>
      <c r="J279" s="10" t="s">
        <v>279</v>
      </c>
      <c r="K279" s="10">
        <v>49000</v>
      </c>
      <c r="L279" s="10">
        <v>196000</v>
      </c>
      <c r="M279" s="12" t="s">
        <v>260</v>
      </c>
    </row>
    <row r="280" spans="1:13" ht="16.8" x14ac:dyDescent="0.3">
      <c r="A280" s="7" t="s">
        <v>358</v>
      </c>
      <c r="B280" s="8">
        <v>44631</v>
      </c>
      <c r="C280" s="15" t="s">
        <v>5</v>
      </c>
      <c r="D280" s="10" t="s">
        <v>224</v>
      </c>
      <c r="E280">
        <v>5</v>
      </c>
      <c r="F280">
        <v>59000</v>
      </c>
      <c r="G280">
        <v>49000</v>
      </c>
      <c r="H280">
        <v>12</v>
      </c>
      <c r="I280">
        <v>51920</v>
      </c>
      <c r="J280" s="10" t="s">
        <v>278</v>
      </c>
      <c r="K280" s="10">
        <v>51920</v>
      </c>
      <c r="L280" s="10">
        <v>259600</v>
      </c>
      <c r="M280" s="12" t="s">
        <v>246</v>
      </c>
    </row>
    <row r="281" spans="1:13" ht="16.8" x14ac:dyDescent="0.3">
      <c r="A281" s="7" t="s">
        <v>359</v>
      </c>
      <c r="B281" s="8">
        <v>45049</v>
      </c>
      <c r="C281" s="15" t="s">
        <v>275</v>
      </c>
      <c r="D281" s="10" t="s">
        <v>224</v>
      </c>
      <c r="E281">
        <v>4</v>
      </c>
      <c r="F281">
        <v>65000</v>
      </c>
      <c r="G281">
        <v>49000</v>
      </c>
      <c r="H281">
        <v>6</v>
      </c>
      <c r="I281">
        <v>49000</v>
      </c>
      <c r="J281" s="10" t="s">
        <v>279</v>
      </c>
      <c r="K281" s="10">
        <v>49000</v>
      </c>
      <c r="L281" s="10">
        <v>196000</v>
      </c>
      <c r="M281" s="12" t="s">
        <v>231</v>
      </c>
    </row>
    <row r="282" spans="1:13" ht="16.8" x14ac:dyDescent="0.3">
      <c r="A282" s="7" t="s">
        <v>360</v>
      </c>
      <c r="B282" s="8">
        <v>45017</v>
      </c>
      <c r="C282" s="15" t="s">
        <v>271</v>
      </c>
      <c r="D282" s="10" t="s">
        <v>224</v>
      </c>
      <c r="E282">
        <v>2</v>
      </c>
      <c r="F282">
        <v>49000</v>
      </c>
      <c r="G282">
        <v>65000</v>
      </c>
      <c r="H282">
        <v>10</v>
      </c>
      <c r="I282">
        <v>44100</v>
      </c>
      <c r="J282" s="10" t="s">
        <v>278</v>
      </c>
      <c r="K282" s="10">
        <v>44100</v>
      </c>
      <c r="L282" s="10">
        <v>88200</v>
      </c>
      <c r="M282" s="12" t="s">
        <v>248</v>
      </c>
    </row>
    <row r="283" spans="1:13" ht="16.8" x14ac:dyDescent="0.3">
      <c r="A283" s="7" t="s">
        <v>361</v>
      </c>
      <c r="B283" s="8">
        <v>45018</v>
      </c>
      <c r="C283" s="15" t="s">
        <v>3</v>
      </c>
      <c r="D283" s="10" t="s">
        <v>223</v>
      </c>
      <c r="E283">
        <v>5</v>
      </c>
      <c r="F283">
        <v>49000</v>
      </c>
      <c r="G283">
        <v>35000</v>
      </c>
      <c r="H283">
        <v>5</v>
      </c>
      <c r="I283">
        <v>35000</v>
      </c>
      <c r="J283" s="10" t="s">
        <v>279</v>
      </c>
      <c r="K283" s="10">
        <v>35000</v>
      </c>
      <c r="L283" s="10">
        <v>175000</v>
      </c>
      <c r="M283" s="12" t="s">
        <v>11</v>
      </c>
    </row>
    <row r="284" spans="1:13" ht="16.8" x14ac:dyDescent="0.3">
      <c r="A284" s="7" t="s">
        <v>362</v>
      </c>
      <c r="B284" s="8">
        <v>45270</v>
      </c>
      <c r="C284" s="15" t="s">
        <v>273</v>
      </c>
      <c r="D284" s="10" t="s">
        <v>223</v>
      </c>
      <c r="E284">
        <v>3</v>
      </c>
      <c r="F284">
        <v>65000</v>
      </c>
      <c r="G284">
        <v>59000</v>
      </c>
      <c r="H284">
        <v>5</v>
      </c>
      <c r="I284">
        <v>61750</v>
      </c>
      <c r="J284" s="10" t="s">
        <v>278</v>
      </c>
      <c r="K284" s="10">
        <v>61750</v>
      </c>
      <c r="L284" s="10">
        <v>185250</v>
      </c>
      <c r="M284" s="12" t="s">
        <v>233</v>
      </c>
    </row>
    <row r="285" spans="1:13" ht="16.8" x14ac:dyDescent="0.3">
      <c r="A285" s="7" t="s">
        <v>363</v>
      </c>
      <c r="B285" s="8">
        <v>44650</v>
      </c>
      <c r="C285" s="15" t="s">
        <v>271</v>
      </c>
      <c r="D285" s="10" t="s">
        <v>224</v>
      </c>
      <c r="E285">
        <v>5</v>
      </c>
      <c r="F285">
        <v>39000</v>
      </c>
      <c r="G285">
        <v>65000</v>
      </c>
      <c r="H285">
        <v>10</v>
      </c>
      <c r="I285">
        <v>65000</v>
      </c>
      <c r="J285" s="10" t="s">
        <v>279</v>
      </c>
      <c r="K285" s="10">
        <v>65000</v>
      </c>
      <c r="L285" s="10">
        <v>325000</v>
      </c>
      <c r="M285" s="12" t="s">
        <v>234</v>
      </c>
    </row>
    <row r="286" spans="1:13" ht="16.8" x14ac:dyDescent="0.3">
      <c r="A286" s="7" t="s">
        <v>364</v>
      </c>
      <c r="B286" s="8">
        <v>44967</v>
      </c>
      <c r="C286" s="15" t="s">
        <v>275</v>
      </c>
      <c r="D286" s="10" t="s">
        <v>223</v>
      </c>
      <c r="E286">
        <v>3</v>
      </c>
      <c r="F286">
        <v>49000</v>
      </c>
      <c r="G286">
        <v>65000</v>
      </c>
      <c r="H286">
        <v>11</v>
      </c>
      <c r="I286">
        <v>65000</v>
      </c>
      <c r="J286" s="10" t="s">
        <v>279</v>
      </c>
      <c r="K286" s="10">
        <v>65000</v>
      </c>
      <c r="L286" s="10">
        <v>195000</v>
      </c>
      <c r="M286" s="12" t="s">
        <v>20</v>
      </c>
    </row>
    <row r="287" spans="1:13" ht="16.8" x14ac:dyDescent="0.3">
      <c r="A287" s="7" t="s">
        <v>365</v>
      </c>
      <c r="B287" s="8">
        <v>44893</v>
      </c>
      <c r="C287" s="15" t="s">
        <v>3</v>
      </c>
      <c r="D287" s="10" t="s">
        <v>222</v>
      </c>
      <c r="E287">
        <v>5</v>
      </c>
      <c r="F287">
        <v>49000</v>
      </c>
      <c r="G287">
        <v>65000</v>
      </c>
      <c r="H287">
        <v>8</v>
      </c>
      <c r="I287">
        <v>45080</v>
      </c>
      <c r="J287" s="10" t="s">
        <v>278</v>
      </c>
      <c r="K287" s="10">
        <v>45080</v>
      </c>
      <c r="L287" s="10">
        <v>225400</v>
      </c>
      <c r="M287" s="12" t="s">
        <v>226</v>
      </c>
    </row>
    <row r="288" spans="1:13" ht="16.8" x14ac:dyDescent="0.3">
      <c r="A288" s="7" t="s">
        <v>366</v>
      </c>
      <c r="B288" s="8">
        <v>44773</v>
      </c>
      <c r="C288" s="15" t="s">
        <v>5</v>
      </c>
      <c r="D288" s="10" t="s">
        <v>222</v>
      </c>
      <c r="E288">
        <v>3</v>
      </c>
      <c r="F288">
        <v>35000</v>
      </c>
      <c r="G288">
        <v>49000</v>
      </c>
      <c r="H288">
        <v>13</v>
      </c>
      <c r="I288">
        <v>49000</v>
      </c>
      <c r="J288" s="10" t="s">
        <v>279</v>
      </c>
      <c r="K288" s="10">
        <v>49000</v>
      </c>
      <c r="L288" s="10">
        <v>147000</v>
      </c>
      <c r="M288" s="12" t="s">
        <v>13</v>
      </c>
    </row>
    <row r="289" spans="1:13" ht="16.8" x14ac:dyDescent="0.3">
      <c r="A289" s="7" t="s">
        <v>367</v>
      </c>
      <c r="B289" s="8">
        <v>45227</v>
      </c>
      <c r="C289" s="15" t="s">
        <v>272</v>
      </c>
      <c r="D289" s="10" t="s">
        <v>223</v>
      </c>
      <c r="E289">
        <v>2</v>
      </c>
      <c r="F289">
        <v>55000</v>
      </c>
      <c r="G289">
        <v>59000</v>
      </c>
      <c r="H289">
        <v>5</v>
      </c>
      <c r="I289">
        <v>59000</v>
      </c>
      <c r="J289" s="10" t="s">
        <v>279</v>
      </c>
      <c r="K289" s="10">
        <v>59000</v>
      </c>
      <c r="L289" s="10">
        <v>118000</v>
      </c>
      <c r="M289" s="12" t="s">
        <v>14</v>
      </c>
    </row>
    <row r="290" spans="1:13" ht="16.8" x14ac:dyDescent="0.3">
      <c r="A290" s="7" t="s">
        <v>368</v>
      </c>
      <c r="B290" s="8">
        <v>44911</v>
      </c>
      <c r="C290" s="15" t="s">
        <v>6</v>
      </c>
      <c r="D290" s="10" t="s">
        <v>222</v>
      </c>
      <c r="E290">
        <v>2</v>
      </c>
      <c r="F290">
        <v>59000</v>
      </c>
      <c r="G290">
        <v>75000</v>
      </c>
      <c r="H290">
        <v>8</v>
      </c>
      <c r="I290">
        <v>54280</v>
      </c>
      <c r="J290" s="10" t="s">
        <v>278</v>
      </c>
      <c r="K290" s="10">
        <v>54280</v>
      </c>
      <c r="L290" s="10">
        <v>108560</v>
      </c>
      <c r="M290" s="12" t="s">
        <v>225</v>
      </c>
    </row>
    <row r="291" spans="1:13" ht="16.8" x14ac:dyDescent="0.3">
      <c r="A291" s="7" t="s">
        <v>369</v>
      </c>
      <c r="B291" s="8">
        <v>44725</v>
      </c>
      <c r="C291" s="15" t="s">
        <v>5</v>
      </c>
      <c r="D291" s="10" t="s">
        <v>222</v>
      </c>
      <c r="E291">
        <v>1</v>
      </c>
      <c r="F291">
        <v>65000</v>
      </c>
      <c r="G291">
        <v>45000</v>
      </c>
      <c r="H291">
        <v>12</v>
      </c>
      <c r="I291">
        <v>57200</v>
      </c>
      <c r="J291" s="10" t="s">
        <v>278</v>
      </c>
      <c r="K291" s="10">
        <v>57200</v>
      </c>
      <c r="L291" s="10">
        <v>57200</v>
      </c>
      <c r="M291" s="12" t="s">
        <v>21</v>
      </c>
    </row>
    <row r="292" spans="1:13" ht="16.8" x14ac:dyDescent="0.3">
      <c r="A292" s="7" t="s">
        <v>370</v>
      </c>
      <c r="B292" s="8">
        <v>44315</v>
      </c>
      <c r="C292" s="15" t="s">
        <v>275</v>
      </c>
      <c r="D292" s="10" t="s">
        <v>222</v>
      </c>
      <c r="E292">
        <v>3</v>
      </c>
      <c r="F292">
        <v>59000</v>
      </c>
      <c r="G292">
        <v>59000</v>
      </c>
      <c r="H292">
        <v>9</v>
      </c>
      <c r="I292">
        <v>53690</v>
      </c>
      <c r="J292" s="10" t="s">
        <v>278</v>
      </c>
      <c r="K292" s="10">
        <v>53690</v>
      </c>
      <c r="L292" s="10">
        <v>161070</v>
      </c>
      <c r="M292" s="12" t="s">
        <v>262</v>
      </c>
    </row>
    <row r="293" spans="1:13" ht="16.8" x14ac:dyDescent="0.3">
      <c r="A293" s="7" t="s">
        <v>371</v>
      </c>
      <c r="B293" s="8">
        <v>44847</v>
      </c>
      <c r="C293" s="15" t="s">
        <v>4</v>
      </c>
      <c r="D293" s="10" t="s">
        <v>224</v>
      </c>
      <c r="E293">
        <v>2</v>
      </c>
      <c r="F293">
        <v>59000</v>
      </c>
      <c r="G293">
        <v>35000</v>
      </c>
      <c r="H293">
        <v>10</v>
      </c>
      <c r="I293">
        <v>53100</v>
      </c>
      <c r="J293" s="10" t="s">
        <v>278</v>
      </c>
      <c r="K293" s="10">
        <v>53100</v>
      </c>
      <c r="L293" s="10">
        <v>106200</v>
      </c>
      <c r="M293" s="12" t="s">
        <v>12</v>
      </c>
    </row>
    <row r="294" spans="1:13" ht="16.8" x14ac:dyDescent="0.3">
      <c r="A294" s="7" t="s">
        <v>372</v>
      </c>
      <c r="B294" s="8">
        <v>45025</v>
      </c>
      <c r="C294" s="15" t="s">
        <v>271</v>
      </c>
      <c r="D294" s="10" t="s">
        <v>224</v>
      </c>
      <c r="E294">
        <v>1</v>
      </c>
      <c r="F294">
        <v>49000</v>
      </c>
      <c r="G294">
        <v>39000</v>
      </c>
      <c r="H294">
        <v>9</v>
      </c>
      <c r="I294">
        <v>44590</v>
      </c>
      <c r="J294" s="10" t="s">
        <v>278</v>
      </c>
      <c r="K294" s="10">
        <v>44590</v>
      </c>
      <c r="L294" s="10">
        <v>44590</v>
      </c>
      <c r="M294" s="12" t="s">
        <v>16</v>
      </c>
    </row>
    <row r="295" spans="1:13" ht="16.8" x14ac:dyDescent="0.3">
      <c r="A295" s="7" t="s">
        <v>373</v>
      </c>
      <c r="B295" s="8">
        <v>44253</v>
      </c>
      <c r="C295" s="15" t="s">
        <v>271</v>
      </c>
      <c r="D295" s="10" t="s">
        <v>224</v>
      </c>
      <c r="E295">
        <v>1</v>
      </c>
      <c r="F295">
        <v>65000</v>
      </c>
      <c r="G295">
        <v>69000</v>
      </c>
      <c r="H295">
        <v>9</v>
      </c>
      <c r="I295">
        <v>59150</v>
      </c>
      <c r="J295" s="10" t="s">
        <v>278</v>
      </c>
      <c r="K295" s="10">
        <v>59150</v>
      </c>
      <c r="L295" s="10">
        <v>59150</v>
      </c>
      <c r="M295" s="12" t="s">
        <v>242</v>
      </c>
    </row>
    <row r="296" spans="1:13" ht="16.8" x14ac:dyDescent="0.3">
      <c r="A296" s="7" t="s">
        <v>374</v>
      </c>
      <c r="B296" s="8">
        <v>44923</v>
      </c>
      <c r="C296" s="15" t="s">
        <v>270</v>
      </c>
      <c r="D296" s="10" t="s">
        <v>222</v>
      </c>
      <c r="E296">
        <v>5</v>
      </c>
      <c r="F296">
        <v>35000</v>
      </c>
      <c r="G296">
        <v>65000</v>
      </c>
      <c r="H296">
        <v>10</v>
      </c>
      <c r="I296">
        <v>31500</v>
      </c>
      <c r="J296" s="10" t="s">
        <v>278</v>
      </c>
      <c r="K296" s="10">
        <v>31500</v>
      </c>
      <c r="L296" s="10">
        <v>157500</v>
      </c>
      <c r="M296" s="12" t="s">
        <v>21</v>
      </c>
    </row>
    <row r="297" spans="1:13" ht="16.8" x14ac:dyDescent="0.3">
      <c r="A297" s="7" t="s">
        <v>375</v>
      </c>
      <c r="B297" s="8">
        <v>44522</v>
      </c>
      <c r="C297" s="15" t="s">
        <v>271</v>
      </c>
      <c r="D297" s="10" t="s">
        <v>222</v>
      </c>
      <c r="E297">
        <v>2</v>
      </c>
      <c r="F297">
        <v>59000</v>
      </c>
      <c r="G297">
        <v>65000</v>
      </c>
      <c r="H297">
        <v>6</v>
      </c>
      <c r="I297">
        <v>65000</v>
      </c>
      <c r="J297" s="10" t="s">
        <v>279</v>
      </c>
      <c r="K297" s="10">
        <v>65000</v>
      </c>
      <c r="L297" s="10">
        <v>130000</v>
      </c>
      <c r="M297" s="12" t="s">
        <v>248</v>
      </c>
    </row>
    <row r="298" spans="1:13" ht="16.8" x14ac:dyDescent="0.3">
      <c r="A298" s="7" t="s">
        <v>376</v>
      </c>
      <c r="B298" s="8">
        <v>44913</v>
      </c>
      <c r="C298" s="15" t="s">
        <v>5</v>
      </c>
      <c r="D298" s="10" t="s">
        <v>223</v>
      </c>
      <c r="E298">
        <v>2</v>
      </c>
      <c r="F298">
        <v>65000</v>
      </c>
      <c r="G298">
        <v>65000</v>
      </c>
      <c r="H298">
        <v>6</v>
      </c>
      <c r="I298">
        <v>65000</v>
      </c>
      <c r="J298" s="10" t="s">
        <v>279</v>
      </c>
      <c r="K298" s="10">
        <v>65000</v>
      </c>
      <c r="L298" s="10">
        <v>130000</v>
      </c>
      <c r="M298" s="12" t="s">
        <v>13</v>
      </c>
    </row>
    <row r="299" spans="1:13" ht="16.8" x14ac:dyDescent="0.3">
      <c r="A299" s="7" t="s">
        <v>377</v>
      </c>
      <c r="B299" s="8">
        <v>44424</v>
      </c>
      <c r="C299" s="15" t="s">
        <v>3</v>
      </c>
      <c r="D299" s="10" t="s">
        <v>224</v>
      </c>
      <c r="E299">
        <v>4</v>
      </c>
      <c r="F299">
        <v>59000</v>
      </c>
      <c r="G299">
        <v>29000</v>
      </c>
      <c r="H299">
        <v>7</v>
      </c>
      <c r="I299">
        <v>29000</v>
      </c>
      <c r="J299" s="10" t="s">
        <v>279</v>
      </c>
      <c r="K299" s="10">
        <v>29000</v>
      </c>
      <c r="L299" s="10">
        <v>116000</v>
      </c>
      <c r="M299" s="12" t="s">
        <v>246</v>
      </c>
    </row>
    <row r="300" spans="1:13" ht="16.8" x14ac:dyDescent="0.3">
      <c r="A300" s="7" t="s">
        <v>378</v>
      </c>
      <c r="B300" s="8">
        <v>44579</v>
      </c>
      <c r="C300" s="15" t="s">
        <v>275</v>
      </c>
      <c r="D300" s="10" t="s">
        <v>223</v>
      </c>
      <c r="E300">
        <v>1</v>
      </c>
      <c r="F300">
        <v>49000</v>
      </c>
      <c r="G300">
        <v>49000</v>
      </c>
      <c r="H300">
        <v>8</v>
      </c>
      <c r="I300">
        <v>45080</v>
      </c>
      <c r="J300" s="10" t="s">
        <v>278</v>
      </c>
      <c r="K300" s="10">
        <v>45080</v>
      </c>
      <c r="L300" s="10">
        <v>45080</v>
      </c>
      <c r="M300" s="12" t="s">
        <v>238</v>
      </c>
    </row>
    <row r="301" spans="1:13" ht="16.8" x14ac:dyDescent="0.3">
      <c r="A301" s="7" t="s">
        <v>379</v>
      </c>
      <c r="B301" s="8">
        <v>44946</v>
      </c>
      <c r="C301" s="15" t="s">
        <v>4</v>
      </c>
      <c r="D301" s="10" t="s">
        <v>224</v>
      </c>
      <c r="E301">
        <v>4</v>
      </c>
      <c r="F301">
        <v>55000</v>
      </c>
      <c r="G301">
        <v>65000</v>
      </c>
      <c r="H301">
        <v>15</v>
      </c>
      <c r="I301">
        <v>46750</v>
      </c>
      <c r="J301" s="10" t="s">
        <v>278</v>
      </c>
      <c r="K301" s="10">
        <v>46750</v>
      </c>
      <c r="L301" s="10">
        <v>187000</v>
      </c>
      <c r="M301" s="12" t="s">
        <v>242</v>
      </c>
    </row>
    <row r="302" spans="1:13" ht="16.8" x14ac:dyDescent="0.3">
      <c r="A302" s="7" t="s">
        <v>380</v>
      </c>
      <c r="B302" s="8">
        <v>44336</v>
      </c>
      <c r="C302" s="15" t="s">
        <v>271</v>
      </c>
      <c r="D302" s="10" t="s">
        <v>224</v>
      </c>
      <c r="E302">
        <v>5</v>
      </c>
      <c r="F302">
        <v>35000</v>
      </c>
      <c r="G302">
        <v>59000</v>
      </c>
      <c r="H302">
        <v>8</v>
      </c>
      <c r="I302">
        <v>32200</v>
      </c>
      <c r="J302" s="10" t="s">
        <v>278</v>
      </c>
      <c r="K302" s="10">
        <v>32200</v>
      </c>
      <c r="L302" s="10">
        <v>161000</v>
      </c>
      <c r="M302" s="12" t="s">
        <v>254</v>
      </c>
    </row>
    <row r="303" spans="1:13" ht="16.8" x14ac:dyDescent="0.3">
      <c r="A303" s="7" t="s">
        <v>381</v>
      </c>
      <c r="B303" s="8">
        <v>44773</v>
      </c>
      <c r="C303" s="15" t="s">
        <v>272</v>
      </c>
      <c r="D303" s="10" t="s">
        <v>224</v>
      </c>
      <c r="E303">
        <v>4</v>
      </c>
      <c r="F303">
        <v>69000</v>
      </c>
      <c r="G303">
        <v>59000</v>
      </c>
      <c r="H303">
        <v>14</v>
      </c>
      <c r="I303">
        <v>59340</v>
      </c>
      <c r="J303" s="10" t="s">
        <v>278</v>
      </c>
      <c r="K303" s="10">
        <v>59340</v>
      </c>
      <c r="L303" s="10">
        <v>237360</v>
      </c>
      <c r="M303" s="12" t="s">
        <v>259</v>
      </c>
    </row>
    <row r="304" spans="1:13" ht="16.8" x14ac:dyDescent="0.3">
      <c r="A304" s="7" t="s">
        <v>382</v>
      </c>
      <c r="B304" s="8">
        <v>44963</v>
      </c>
      <c r="C304" s="15" t="s">
        <v>271</v>
      </c>
      <c r="D304" s="10" t="s">
        <v>223</v>
      </c>
      <c r="E304">
        <v>4</v>
      </c>
      <c r="F304">
        <v>69000</v>
      </c>
      <c r="G304">
        <v>49000</v>
      </c>
      <c r="H304">
        <v>12</v>
      </c>
      <c r="I304">
        <v>49000</v>
      </c>
      <c r="J304" s="10" t="s">
        <v>279</v>
      </c>
      <c r="K304" s="10">
        <v>49000</v>
      </c>
      <c r="L304" s="10">
        <v>196000</v>
      </c>
      <c r="M304" s="12" t="s">
        <v>227</v>
      </c>
    </row>
    <row r="305" spans="1:13" ht="16.8" x14ac:dyDescent="0.3">
      <c r="A305" s="7" t="s">
        <v>383</v>
      </c>
      <c r="B305" s="8">
        <v>44830</v>
      </c>
      <c r="C305" s="15" t="s">
        <v>274</v>
      </c>
      <c r="D305" s="10" t="s">
        <v>223</v>
      </c>
      <c r="E305">
        <v>5</v>
      </c>
      <c r="F305">
        <v>65000</v>
      </c>
      <c r="G305">
        <v>55000</v>
      </c>
      <c r="H305">
        <v>5</v>
      </c>
      <c r="I305">
        <v>55000</v>
      </c>
      <c r="J305" s="10" t="s">
        <v>279</v>
      </c>
      <c r="K305" s="10">
        <v>55000</v>
      </c>
      <c r="L305" s="10">
        <v>275000</v>
      </c>
      <c r="M305" s="12" t="s">
        <v>262</v>
      </c>
    </row>
    <row r="306" spans="1:13" ht="16.8" x14ac:dyDescent="0.3">
      <c r="A306" s="7" t="s">
        <v>384</v>
      </c>
      <c r="B306" s="8">
        <v>44890</v>
      </c>
      <c r="C306" s="15" t="s">
        <v>6</v>
      </c>
      <c r="D306" s="10" t="s">
        <v>223</v>
      </c>
      <c r="E306">
        <v>4</v>
      </c>
      <c r="F306">
        <v>55000</v>
      </c>
      <c r="G306">
        <v>49000</v>
      </c>
      <c r="H306">
        <v>15</v>
      </c>
      <c r="I306">
        <v>46750</v>
      </c>
      <c r="J306" s="10" t="s">
        <v>278</v>
      </c>
      <c r="K306" s="10">
        <v>46750</v>
      </c>
      <c r="L306" s="10">
        <v>187000</v>
      </c>
      <c r="M306" s="12" t="s">
        <v>232</v>
      </c>
    </row>
    <row r="307" spans="1:13" ht="16.8" x14ac:dyDescent="0.3">
      <c r="A307" s="7" t="s">
        <v>385</v>
      </c>
      <c r="B307" s="8">
        <v>45267</v>
      </c>
      <c r="C307" s="15" t="s">
        <v>271</v>
      </c>
      <c r="D307" s="10" t="s">
        <v>223</v>
      </c>
      <c r="E307">
        <v>3</v>
      </c>
      <c r="F307">
        <v>65000</v>
      </c>
      <c r="G307">
        <v>35000</v>
      </c>
      <c r="H307">
        <v>13</v>
      </c>
      <c r="I307">
        <v>35000</v>
      </c>
      <c r="J307" s="10" t="s">
        <v>279</v>
      </c>
      <c r="K307" s="10">
        <v>35000</v>
      </c>
      <c r="L307" s="10">
        <v>105000</v>
      </c>
      <c r="M307" s="12" t="s">
        <v>242</v>
      </c>
    </row>
    <row r="308" spans="1:13" ht="16.8" x14ac:dyDescent="0.3">
      <c r="A308" s="7" t="s">
        <v>386</v>
      </c>
      <c r="B308" s="8">
        <v>45126</v>
      </c>
      <c r="C308" s="15" t="s">
        <v>6</v>
      </c>
      <c r="D308" s="10" t="s">
        <v>224</v>
      </c>
      <c r="E308">
        <v>5</v>
      </c>
      <c r="F308">
        <v>49000</v>
      </c>
      <c r="G308">
        <v>65000</v>
      </c>
      <c r="H308">
        <v>6</v>
      </c>
      <c r="I308">
        <v>46060</v>
      </c>
      <c r="J308" s="10" t="s">
        <v>278</v>
      </c>
      <c r="K308" s="10">
        <v>46060</v>
      </c>
      <c r="L308" s="10">
        <v>230300</v>
      </c>
      <c r="M308" s="12" t="s">
        <v>228</v>
      </c>
    </row>
    <row r="309" spans="1:13" ht="16.8" x14ac:dyDescent="0.3">
      <c r="A309" s="7" t="s">
        <v>387</v>
      </c>
      <c r="B309" s="8">
        <v>44399</v>
      </c>
      <c r="C309" s="15" t="s">
        <v>274</v>
      </c>
      <c r="D309" s="10" t="s">
        <v>223</v>
      </c>
      <c r="E309">
        <v>5</v>
      </c>
      <c r="F309">
        <v>49000</v>
      </c>
      <c r="G309">
        <v>49000</v>
      </c>
      <c r="H309">
        <v>7</v>
      </c>
      <c r="I309">
        <v>45570</v>
      </c>
      <c r="J309" s="10" t="s">
        <v>278</v>
      </c>
      <c r="K309" s="10">
        <v>45570</v>
      </c>
      <c r="L309" s="10">
        <v>227850</v>
      </c>
      <c r="M309" s="12" t="s">
        <v>253</v>
      </c>
    </row>
    <row r="310" spans="1:13" ht="16.8" x14ac:dyDescent="0.3">
      <c r="A310" s="7" t="s">
        <v>388</v>
      </c>
      <c r="B310" s="8">
        <v>44851</v>
      </c>
      <c r="C310" s="15" t="s">
        <v>274</v>
      </c>
      <c r="D310" s="10" t="s">
        <v>222</v>
      </c>
      <c r="E310">
        <v>2</v>
      </c>
      <c r="F310">
        <v>59000</v>
      </c>
      <c r="G310">
        <v>65000</v>
      </c>
      <c r="H310">
        <v>9</v>
      </c>
      <c r="I310">
        <v>53690</v>
      </c>
      <c r="J310" s="10" t="s">
        <v>278</v>
      </c>
      <c r="K310" s="10">
        <v>53690</v>
      </c>
      <c r="L310" s="10">
        <v>107380</v>
      </c>
      <c r="M310" s="12" t="s">
        <v>15</v>
      </c>
    </row>
    <row r="311" spans="1:13" ht="16.8" x14ac:dyDescent="0.3">
      <c r="A311" s="7" t="s">
        <v>389</v>
      </c>
      <c r="B311" s="8">
        <v>44644</v>
      </c>
      <c r="C311" s="15" t="s">
        <v>270</v>
      </c>
      <c r="D311" s="10" t="s">
        <v>223</v>
      </c>
      <c r="E311">
        <v>1</v>
      </c>
      <c r="F311">
        <v>29000</v>
      </c>
      <c r="G311">
        <v>65000</v>
      </c>
      <c r="H311">
        <v>8</v>
      </c>
      <c r="I311">
        <v>26680</v>
      </c>
      <c r="J311" s="10" t="s">
        <v>278</v>
      </c>
      <c r="K311" s="10">
        <v>26680</v>
      </c>
      <c r="L311" s="10">
        <v>26680</v>
      </c>
      <c r="M311" s="12" t="s">
        <v>249</v>
      </c>
    </row>
    <row r="312" spans="1:13" ht="16.8" x14ac:dyDescent="0.3">
      <c r="A312" s="7" t="s">
        <v>390</v>
      </c>
      <c r="B312" s="8">
        <v>45078</v>
      </c>
      <c r="C312" s="15" t="s">
        <v>6</v>
      </c>
      <c r="D312" s="10" t="s">
        <v>222</v>
      </c>
      <c r="E312">
        <v>1</v>
      </c>
      <c r="F312">
        <v>69000</v>
      </c>
      <c r="G312">
        <v>65000</v>
      </c>
      <c r="H312">
        <v>7</v>
      </c>
      <c r="I312">
        <v>65000</v>
      </c>
      <c r="J312" s="10" t="s">
        <v>279</v>
      </c>
      <c r="K312" s="10">
        <v>65000</v>
      </c>
      <c r="L312" s="10">
        <v>65000</v>
      </c>
      <c r="M312" s="12" t="s">
        <v>226</v>
      </c>
    </row>
    <row r="313" spans="1:13" ht="16.8" x14ac:dyDescent="0.3">
      <c r="A313" s="7" t="s">
        <v>391</v>
      </c>
      <c r="B313" s="8">
        <v>44721</v>
      </c>
      <c r="C313" s="15" t="s">
        <v>275</v>
      </c>
      <c r="D313" s="10" t="s">
        <v>222</v>
      </c>
      <c r="E313">
        <v>4</v>
      </c>
      <c r="F313">
        <v>65000</v>
      </c>
      <c r="G313">
        <v>69000</v>
      </c>
      <c r="H313">
        <v>6</v>
      </c>
      <c r="I313">
        <v>61100</v>
      </c>
      <c r="J313" s="10" t="s">
        <v>278</v>
      </c>
      <c r="K313" s="10">
        <v>61100</v>
      </c>
      <c r="L313" s="10">
        <v>244400</v>
      </c>
      <c r="M313" s="12" t="s">
        <v>228</v>
      </c>
    </row>
    <row r="314" spans="1:13" ht="16.8" x14ac:dyDescent="0.3">
      <c r="A314" s="7" t="s">
        <v>392</v>
      </c>
      <c r="B314" s="8">
        <v>44278</v>
      </c>
      <c r="C314" s="15" t="s">
        <v>3</v>
      </c>
      <c r="D314" s="10" t="s">
        <v>224</v>
      </c>
      <c r="E314">
        <v>2</v>
      </c>
      <c r="F314">
        <v>75000</v>
      </c>
      <c r="G314">
        <v>49000</v>
      </c>
      <c r="H314">
        <v>11</v>
      </c>
      <c r="I314">
        <v>49000</v>
      </c>
      <c r="J314" s="10" t="s">
        <v>279</v>
      </c>
      <c r="K314" s="10">
        <v>49000</v>
      </c>
      <c r="L314" s="10">
        <v>98000</v>
      </c>
      <c r="M314" s="12" t="s">
        <v>225</v>
      </c>
    </row>
    <row r="315" spans="1:13" ht="16.8" x14ac:dyDescent="0.3">
      <c r="A315" s="7" t="s">
        <v>393</v>
      </c>
      <c r="B315" s="8">
        <v>45242</v>
      </c>
      <c r="C315" s="15" t="s">
        <v>4</v>
      </c>
      <c r="D315" s="10" t="s">
        <v>222</v>
      </c>
      <c r="E315">
        <v>2</v>
      </c>
      <c r="F315">
        <v>65000</v>
      </c>
      <c r="G315">
        <v>65000</v>
      </c>
      <c r="H315">
        <v>13</v>
      </c>
      <c r="I315">
        <v>65000</v>
      </c>
      <c r="J315" s="10" t="s">
        <v>279</v>
      </c>
      <c r="K315" s="10">
        <v>65000</v>
      </c>
      <c r="L315" s="10">
        <v>130000</v>
      </c>
      <c r="M315" s="12" t="s">
        <v>251</v>
      </c>
    </row>
    <row r="316" spans="1:13" ht="16.8" x14ac:dyDescent="0.3">
      <c r="A316" s="7" t="s">
        <v>394</v>
      </c>
      <c r="B316" s="8">
        <v>44433</v>
      </c>
      <c r="C316" s="15" t="s">
        <v>4</v>
      </c>
      <c r="D316" s="10" t="s">
        <v>223</v>
      </c>
      <c r="E316">
        <v>5</v>
      </c>
      <c r="F316">
        <v>65000</v>
      </c>
      <c r="G316">
        <v>75000</v>
      </c>
      <c r="H316">
        <v>14</v>
      </c>
      <c r="I316">
        <v>75000</v>
      </c>
      <c r="J316" s="10" t="s">
        <v>279</v>
      </c>
      <c r="K316" s="10">
        <v>75000</v>
      </c>
      <c r="L316" s="10">
        <v>375000</v>
      </c>
      <c r="M316" s="12" t="s">
        <v>19</v>
      </c>
    </row>
    <row r="317" spans="1:13" ht="16.8" x14ac:dyDescent="0.3">
      <c r="A317" s="7" t="s">
        <v>395</v>
      </c>
      <c r="B317" s="8">
        <v>44942</v>
      </c>
      <c r="C317" s="15" t="s">
        <v>5</v>
      </c>
      <c r="D317" s="10" t="s">
        <v>224</v>
      </c>
      <c r="E317">
        <v>1</v>
      </c>
      <c r="F317">
        <v>59000</v>
      </c>
      <c r="G317">
        <v>35000</v>
      </c>
      <c r="H317">
        <v>5</v>
      </c>
      <c r="I317">
        <v>35000</v>
      </c>
      <c r="J317" s="10" t="s">
        <v>279</v>
      </c>
      <c r="K317" s="10">
        <v>35000</v>
      </c>
      <c r="L317" s="10">
        <v>35000</v>
      </c>
      <c r="M317" s="12" t="s">
        <v>254</v>
      </c>
    </row>
    <row r="318" spans="1:13" ht="16.8" x14ac:dyDescent="0.3">
      <c r="A318" s="7" t="s">
        <v>396</v>
      </c>
      <c r="B318" s="8">
        <v>44868</v>
      </c>
      <c r="C318" s="15" t="s">
        <v>4</v>
      </c>
      <c r="D318" s="10" t="s">
        <v>222</v>
      </c>
      <c r="E318">
        <v>3</v>
      </c>
      <c r="F318">
        <v>59000</v>
      </c>
      <c r="G318">
        <v>65000</v>
      </c>
      <c r="H318">
        <v>7</v>
      </c>
      <c r="I318">
        <v>65000</v>
      </c>
      <c r="J318" s="10" t="s">
        <v>279</v>
      </c>
      <c r="K318" s="10">
        <v>65000</v>
      </c>
      <c r="L318" s="10">
        <v>195000</v>
      </c>
      <c r="M318" s="12" t="s">
        <v>236</v>
      </c>
    </row>
    <row r="319" spans="1:13" ht="16.8" x14ac:dyDescent="0.3">
      <c r="A319" s="7" t="s">
        <v>397</v>
      </c>
      <c r="B319" s="8">
        <v>45101</v>
      </c>
      <c r="C319" s="15" t="s">
        <v>270</v>
      </c>
      <c r="D319" s="10" t="s">
        <v>223</v>
      </c>
      <c r="E319">
        <v>3</v>
      </c>
      <c r="F319">
        <v>49000</v>
      </c>
      <c r="G319">
        <v>65000</v>
      </c>
      <c r="H319">
        <v>5</v>
      </c>
      <c r="I319">
        <v>65000</v>
      </c>
      <c r="J319" s="10" t="s">
        <v>279</v>
      </c>
      <c r="K319" s="10">
        <v>65000</v>
      </c>
      <c r="L319" s="10">
        <v>195000</v>
      </c>
      <c r="M319" s="12" t="s">
        <v>257</v>
      </c>
    </row>
    <row r="320" spans="1:13" ht="16.8" x14ac:dyDescent="0.3">
      <c r="A320" s="7" t="s">
        <v>398</v>
      </c>
      <c r="B320" s="8">
        <v>44872</v>
      </c>
      <c r="C320" s="15" t="s">
        <v>4</v>
      </c>
      <c r="D320" s="10" t="s">
        <v>224</v>
      </c>
      <c r="E320">
        <v>3</v>
      </c>
      <c r="F320">
        <v>29000</v>
      </c>
      <c r="G320">
        <v>59000</v>
      </c>
      <c r="H320">
        <v>14</v>
      </c>
      <c r="I320">
        <v>24940</v>
      </c>
      <c r="J320" s="10" t="s">
        <v>278</v>
      </c>
      <c r="K320" s="10">
        <v>24940</v>
      </c>
      <c r="L320" s="10">
        <v>74820</v>
      </c>
      <c r="M320" s="12" t="s">
        <v>241</v>
      </c>
    </row>
    <row r="321" spans="1:13" ht="16.8" x14ac:dyDescent="0.3">
      <c r="A321" s="7" t="s">
        <v>399</v>
      </c>
      <c r="B321" s="8">
        <v>44522</v>
      </c>
      <c r="C321" s="15" t="s">
        <v>274</v>
      </c>
      <c r="D321" s="10" t="s">
        <v>222</v>
      </c>
      <c r="E321">
        <v>4</v>
      </c>
      <c r="F321">
        <v>35000</v>
      </c>
      <c r="G321">
        <v>45000</v>
      </c>
      <c r="H321">
        <v>9</v>
      </c>
      <c r="I321">
        <v>31850</v>
      </c>
      <c r="J321" s="10" t="s">
        <v>278</v>
      </c>
      <c r="K321" s="10">
        <v>31850</v>
      </c>
      <c r="L321" s="10">
        <v>127400</v>
      </c>
      <c r="M321" s="12" t="s">
        <v>242</v>
      </c>
    </row>
    <row r="322" spans="1:13" ht="16.8" x14ac:dyDescent="0.3">
      <c r="A322" s="7" t="s">
        <v>400</v>
      </c>
      <c r="B322" s="8">
        <v>44948</v>
      </c>
      <c r="C322" s="15" t="s">
        <v>270</v>
      </c>
      <c r="D322" s="10" t="s">
        <v>223</v>
      </c>
      <c r="E322">
        <v>1</v>
      </c>
      <c r="F322">
        <v>75000</v>
      </c>
      <c r="G322">
        <v>69000</v>
      </c>
      <c r="H322">
        <v>10</v>
      </c>
      <c r="I322">
        <v>69000</v>
      </c>
      <c r="J322" s="10" t="s">
        <v>279</v>
      </c>
      <c r="K322" s="10">
        <v>69000</v>
      </c>
      <c r="L322" s="10">
        <v>69000</v>
      </c>
      <c r="M322" s="12" t="s">
        <v>18</v>
      </c>
    </row>
    <row r="323" spans="1:13" ht="16.8" x14ac:dyDescent="0.3">
      <c r="A323" s="7" t="s">
        <v>401</v>
      </c>
      <c r="B323" s="8">
        <v>44318</v>
      </c>
      <c r="C323" s="15" t="s">
        <v>273</v>
      </c>
      <c r="D323" s="10" t="s">
        <v>224</v>
      </c>
      <c r="E323">
        <v>1</v>
      </c>
      <c r="F323">
        <v>55000</v>
      </c>
      <c r="G323">
        <v>65000</v>
      </c>
      <c r="H323">
        <v>6</v>
      </c>
      <c r="I323">
        <v>65000</v>
      </c>
      <c r="J323" s="10" t="s">
        <v>279</v>
      </c>
      <c r="K323" s="10">
        <v>65000</v>
      </c>
      <c r="L323" s="10">
        <v>65000</v>
      </c>
      <c r="M323" s="12" t="s">
        <v>225</v>
      </c>
    </row>
    <row r="324" spans="1:13" ht="16.8" x14ac:dyDescent="0.3">
      <c r="A324" s="7" t="s">
        <v>402</v>
      </c>
      <c r="B324" s="8">
        <v>44763</v>
      </c>
      <c r="C324" s="15" t="s">
        <v>274</v>
      </c>
      <c r="D324" s="10" t="s">
        <v>223</v>
      </c>
      <c r="E324">
        <v>3</v>
      </c>
      <c r="F324">
        <v>39000</v>
      </c>
      <c r="G324">
        <v>49000</v>
      </c>
      <c r="H324">
        <v>6</v>
      </c>
      <c r="I324">
        <v>49000</v>
      </c>
      <c r="J324" s="10" t="s">
        <v>279</v>
      </c>
      <c r="K324" s="10">
        <v>49000</v>
      </c>
      <c r="L324" s="10">
        <v>147000</v>
      </c>
      <c r="M324" s="12" t="s">
        <v>16</v>
      </c>
    </row>
    <row r="325" spans="1:13" ht="16.8" x14ac:dyDescent="0.3">
      <c r="A325" s="7" t="s">
        <v>403</v>
      </c>
      <c r="B325" s="8">
        <v>44459</v>
      </c>
      <c r="C325" s="15" t="s">
        <v>4</v>
      </c>
      <c r="D325" s="10" t="s">
        <v>224</v>
      </c>
      <c r="E325">
        <v>1</v>
      </c>
      <c r="F325">
        <v>39000</v>
      </c>
      <c r="G325">
        <v>59000</v>
      </c>
      <c r="H325">
        <v>5</v>
      </c>
      <c r="I325">
        <v>37050</v>
      </c>
      <c r="J325" s="10" t="s">
        <v>278</v>
      </c>
      <c r="K325" s="10">
        <v>37050</v>
      </c>
      <c r="L325" s="10">
        <v>37050</v>
      </c>
      <c r="M325" s="12" t="s">
        <v>244</v>
      </c>
    </row>
    <row r="326" spans="1:13" ht="16.8" x14ac:dyDescent="0.3">
      <c r="A326" s="7" t="s">
        <v>404</v>
      </c>
      <c r="B326" s="8">
        <v>45133</v>
      </c>
      <c r="C326" s="15" t="s">
        <v>271</v>
      </c>
      <c r="D326" s="10" t="s">
        <v>223</v>
      </c>
      <c r="E326">
        <v>5</v>
      </c>
      <c r="F326">
        <v>65000</v>
      </c>
      <c r="G326">
        <v>65000</v>
      </c>
      <c r="H326">
        <v>11</v>
      </c>
      <c r="I326">
        <v>65000</v>
      </c>
      <c r="J326" s="10" t="s">
        <v>279</v>
      </c>
      <c r="K326" s="10">
        <v>65000</v>
      </c>
      <c r="L326" s="10">
        <v>325000</v>
      </c>
      <c r="M326" s="12" t="s">
        <v>18</v>
      </c>
    </row>
    <row r="327" spans="1:13" ht="16.8" x14ac:dyDescent="0.3">
      <c r="A327" s="7" t="s">
        <v>405</v>
      </c>
      <c r="B327" s="8">
        <v>44803</v>
      </c>
      <c r="C327" s="15" t="s">
        <v>5</v>
      </c>
      <c r="D327" s="10" t="s">
        <v>224</v>
      </c>
      <c r="E327">
        <v>5</v>
      </c>
      <c r="F327">
        <v>49000</v>
      </c>
      <c r="G327">
        <v>59000</v>
      </c>
      <c r="H327">
        <v>8</v>
      </c>
      <c r="I327">
        <v>59000</v>
      </c>
      <c r="J327" s="10" t="s">
        <v>279</v>
      </c>
      <c r="K327" s="10">
        <v>59000</v>
      </c>
      <c r="L327" s="10">
        <v>295000</v>
      </c>
      <c r="M327" s="12" t="s">
        <v>14</v>
      </c>
    </row>
    <row r="328" spans="1:13" ht="16.8" x14ac:dyDescent="0.3">
      <c r="A328" s="7" t="s">
        <v>406</v>
      </c>
      <c r="B328" s="8">
        <v>45068</v>
      </c>
      <c r="C328" s="15" t="s">
        <v>5</v>
      </c>
      <c r="D328" s="10" t="s">
        <v>223</v>
      </c>
      <c r="E328">
        <v>4</v>
      </c>
      <c r="F328">
        <v>39000</v>
      </c>
      <c r="G328">
        <v>49000</v>
      </c>
      <c r="H328">
        <v>8</v>
      </c>
      <c r="I328">
        <v>35880</v>
      </c>
      <c r="J328" s="10" t="s">
        <v>278</v>
      </c>
      <c r="K328" s="10">
        <v>35880</v>
      </c>
      <c r="L328" s="10">
        <v>143520</v>
      </c>
      <c r="M328" s="12" t="s">
        <v>17</v>
      </c>
    </row>
    <row r="329" spans="1:13" ht="16.8" x14ac:dyDescent="0.3">
      <c r="A329" s="7" t="s">
        <v>407</v>
      </c>
      <c r="B329" s="8">
        <v>45216</v>
      </c>
      <c r="C329" s="15" t="s">
        <v>3</v>
      </c>
      <c r="D329" s="10" t="s">
        <v>222</v>
      </c>
      <c r="E329">
        <v>5</v>
      </c>
      <c r="F329">
        <v>59000</v>
      </c>
      <c r="G329">
        <v>75000</v>
      </c>
      <c r="H329">
        <v>5</v>
      </c>
      <c r="I329">
        <v>75000</v>
      </c>
      <c r="J329" s="10" t="s">
        <v>279</v>
      </c>
      <c r="K329" s="10">
        <v>75000</v>
      </c>
      <c r="L329" s="10">
        <v>375000</v>
      </c>
      <c r="M329" s="12" t="s">
        <v>262</v>
      </c>
    </row>
    <row r="330" spans="1:13" ht="16.8" x14ac:dyDescent="0.3">
      <c r="A330" s="7" t="s">
        <v>408</v>
      </c>
      <c r="B330" s="8">
        <v>45104</v>
      </c>
      <c r="C330" s="15" t="s">
        <v>6</v>
      </c>
      <c r="D330" s="10" t="s">
        <v>223</v>
      </c>
      <c r="E330">
        <v>3</v>
      </c>
      <c r="F330">
        <v>65000</v>
      </c>
      <c r="G330">
        <v>49000</v>
      </c>
      <c r="H330">
        <v>7</v>
      </c>
      <c r="I330">
        <v>60449.999999999993</v>
      </c>
      <c r="J330" s="10" t="s">
        <v>278</v>
      </c>
      <c r="K330" s="10">
        <v>60449.999999999993</v>
      </c>
      <c r="L330" s="10">
        <v>181349.99999999997</v>
      </c>
      <c r="M330" s="12" t="s">
        <v>244</v>
      </c>
    </row>
    <row r="331" spans="1:13" ht="16.8" x14ac:dyDescent="0.3">
      <c r="A331" s="7" t="s">
        <v>409</v>
      </c>
      <c r="B331" s="8">
        <v>44809</v>
      </c>
      <c r="C331" s="15" t="s">
        <v>3</v>
      </c>
      <c r="D331" s="10" t="s">
        <v>222</v>
      </c>
      <c r="E331">
        <v>2</v>
      </c>
      <c r="F331">
        <v>49000</v>
      </c>
      <c r="G331">
        <v>45000</v>
      </c>
      <c r="H331">
        <v>6</v>
      </c>
      <c r="I331">
        <v>46060</v>
      </c>
      <c r="J331" s="10" t="s">
        <v>278</v>
      </c>
      <c r="K331" s="10">
        <v>46060</v>
      </c>
      <c r="L331" s="10">
        <v>92120</v>
      </c>
      <c r="M331" s="12" t="s">
        <v>241</v>
      </c>
    </row>
    <row r="332" spans="1:13" ht="16.8" x14ac:dyDescent="0.3">
      <c r="A332" s="7" t="s">
        <v>410</v>
      </c>
      <c r="B332" s="8">
        <v>44992</v>
      </c>
      <c r="C332" s="15" t="s">
        <v>3</v>
      </c>
      <c r="D332" s="10" t="s">
        <v>224</v>
      </c>
      <c r="E332">
        <v>5</v>
      </c>
      <c r="F332">
        <v>65000</v>
      </c>
      <c r="G332">
        <v>69000</v>
      </c>
      <c r="H332">
        <v>12</v>
      </c>
      <c r="I332">
        <v>69000</v>
      </c>
      <c r="J332" s="10" t="s">
        <v>279</v>
      </c>
      <c r="K332" s="10">
        <v>69000</v>
      </c>
      <c r="L332" s="10">
        <v>345000</v>
      </c>
      <c r="M332" s="12" t="s">
        <v>259</v>
      </c>
    </row>
    <row r="333" spans="1:13" ht="16.8" x14ac:dyDescent="0.3">
      <c r="A333" s="7" t="s">
        <v>411</v>
      </c>
      <c r="B333" s="8">
        <v>44216</v>
      </c>
      <c r="C333" s="15" t="s">
        <v>275</v>
      </c>
      <c r="D333" s="10" t="s">
        <v>224</v>
      </c>
      <c r="E333">
        <v>2</v>
      </c>
      <c r="F333">
        <v>49000</v>
      </c>
      <c r="G333">
        <v>69000</v>
      </c>
      <c r="H333">
        <v>14</v>
      </c>
      <c r="I333">
        <v>69000</v>
      </c>
      <c r="J333" s="10" t="s">
        <v>279</v>
      </c>
      <c r="K333" s="10">
        <v>69000</v>
      </c>
      <c r="L333" s="10">
        <v>138000</v>
      </c>
      <c r="M333" s="12" t="s">
        <v>14</v>
      </c>
    </row>
    <row r="334" spans="1:13" ht="16.8" x14ac:dyDescent="0.3">
      <c r="A334" s="7" t="s">
        <v>412</v>
      </c>
      <c r="B334" s="8">
        <v>45092</v>
      </c>
      <c r="C334" s="15" t="s">
        <v>274</v>
      </c>
      <c r="D334" s="10" t="s">
        <v>222</v>
      </c>
      <c r="E334">
        <v>3</v>
      </c>
      <c r="F334">
        <v>59000</v>
      </c>
      <c r="G334">
        <v>69000</v>
      </c>
      <c r="H334">
        <v>9</v>
      </c>
      <c r="I334">
        <v>53690</v>
      </c>
      <c r="J334" s="10" t="s">
        <v>278</v>
      </c>
      <c r="K334" s="10">
        <v>53690</v>
      </c>
      <c r="L334" s="10">
        <v>161070</v>
      </c>
      <c r="M334" s="12" t="s">
        <v>232</v>
      </c>
    </row>
    <row r="335" spans="1:13" ht="16.8" x14ac:dyDescent="0.3">
      <c r="A335" s="7" t="s">
        <v>413</v>
      </c>
      <c r="B335" s="8">
        <v>44437</v>
      </c>
      <c r="C335" s="15" t="s">
        <v>273</v>
      </c>
      <c r="D335" s="10" t="s">
        <v>222</v>
      </c>
      <c r="E335">
        <v>2</v>
      </c>
      <c r="F335">
        <v>65000</v>
      </c>
      <c r="G335">
        <v>45000</v>
      </c>
      <c r="H335">
        <v>11</v>
      </c>
      <c r="I335">
        <v>57850</v>
      </c>
      <c r="J335" s="10" t="s">
        <v>278</v>
      </c>
      <c r="K335" s="10">
        <v>57850</v>
      </c>
      <c r="L335" s="10">
        <v>115700</v>
      </c>
      <c r="M335" s="12" t="s">
        <v>18</v>
      </c>
    </row>
    <row r="336" spans="1:13" ht="16.8" x14ac:dyDescent="0.3">
      <c r="A336" s="7" t="s">
        <v>414</v>
      </c>
      <c r="B336" s="8">
        <v>44388</v>
      </c>
      <c r="C336" s="15" t="s">
        <v>272</v>
      </c>
      <c r="D336" s="10" t="s">
        <v>222</v>
      </c>
      <c r="E336">
        <v>3</v>
      </c>
      <c r="F336">
        <v>29000</v>
      </c>
      <c r="G336">
        <v>69000</v>
      </c>
      <c r="H336">
        <v>9</v>
      </c>
      <c r="I336">
        <v>69000</v>
      </c>
      <c r="J336" s="10" t="s">
        <v>279</v>
      </c>
      <c r="K336" s="10">
        <v>69000</v>
      </c>
      <c r="L336" s="10">
        <v>207000</v>
      </c>
      <c r="M336" s="12" t="s">
        <v>249</v>
      </c>
    </row>
    <row r="337" spans="1:13" ht="16.8" x14ac:dyDescent="0.3">
      <c r="A337" s="7" t="s">
        <v>415</v>
      </c>
      <c r="B337" s="8">
        <v>45216</v>
      </c>
      <c r="C337" s="15" t="s">
        <v>271</v>
      </c>
      <c r="D337" s="10" t="s">
        <v>222</v>
      </c>
      <c r="E337">
        <v>4</v>
      </c>
      <c r="F337">
        <v>65000</v>
      </c>
      <c r="G337">
        <v>59000</v>
      </c>
      <c r="H337">
        <v>12</v>
      </c>
      <c r="I337">
        <v>57200</v>
      </c>
      <c r="J337" s="10" t="s">
        <v>278</v>
      </c>
      <c r="K337" s="10">
        <v>57200</v>
      </c>
      <c r="L337" s="10">
        <v>228800</v>
      </c>
      <c r="M337" s="12" t="s">
        <v>14</v>
      </c>
    </row>
    <row r="338" spans="1:13" ht="16.8" x14ac:dyDescent="0.3">
      <c r="A338" s="7" t="s">
        <v>416</v>
      </c>
      <c r="B338" s="8">
        <v>45194</v>
      </c>
      <c r="C338" s="15" t="s">
        <v>270</v>
      </c>
      <c r="D338" s="10" t="s">
        <v>223</v>
      </c>
      <c r="E338">
        <v>4</v>
      </c>
      <c r="F338">
        <v>69000</v>
      </c>
      <c r="G338">
        <v>65000</v>
      </c>
      <c r="H338">
        <v>11</v>
      </c>
      <c r="I338">
        <v>65000</v>
      </c>
      <c r="J338" s="10" t="s">
        <v>279</v>
      </c>
      <c r="K338" s="10">
        <v>65000</v>
      </c>
      <c r="L338" s="10">
        <v>260000</v>
      </c>
      <c r="M338" s="12" t="s">
        <v>229</v>
      </c>
    </row>
    <row r="339" spans="1:13" ht="16.8" x14ac:dyDescent="0.3">
      <c r="A339" s="7" t="s">
        <v>417</v>
      </c>
      <c r="B339" s="8">
        <v>44410</v>
      </c>
      <c r="C339" s="15" t="s">
        <v>271</v>
      </c>
      <c r="D339" s="10" t="s">
        <v>224</v>
      </c>
      <c r="E339">
        <v>1</v>
      </c>
      <c r="F339">
        <v>65000</v>
      </c>
      <c r="G339">
        <v>65000</v>
      </c>
      <c r="H339">
        <v>15</v>
      </c>
      <c r="I339">
        <v>55250</v>
      </c>
      <c r="J339" s="10" t="s">
        <v>278</v>
      </c>
      <c r="K339" s="10">
        <v>55250</v>
      </c>
      <c r="L339" s="10">
        <v>55250</v>
      </c>
      <c r="M339" s="12" t="s">
        <v>246</v>
      </c>
    </row>
    <row r="340" spans="1:13" ht="16.8" x14ac:dyDescent="0.3">
      <c r="A340" s="7" t="s">
        <v>418</v>
      </c>
      <c r="B340" s="8">
        <v>45224</v>
      </c>
      <c r="C340" s="15" t="s">
        <v>273</v>
      </c>
      <c r="D340" s="10" t="s">
        <v>222</v>
      </c>
      <c r="E340">
        <v>1</v>
      </c>
      <c r="F340">
        <v>65000</v>
      </c>
      <c r="G340">
        <v>65000</v>
      </c>
      <c r="H340">
        <v>5</v>
      </c>
      <c r="I340">
        <v>61750</v>
      </c>
      <c r="J340" s="10" t="s">
        <v>278</v>
      </c>
      <c r="K340" s="10">
        <v>61750</v>
      </c>
      <c r="L340" s="10">
        <v>61750</v>
      </c>
      <c r="M340" s="12" t="s">
        <v>254</v>
      </c>
    </row>
    <row r="341" spans="1:13" ht="16.8" x14ac:dyDescent="0.3">
      <c r="A341" s="7" t="s">
        <v>419</v>
      </c>
      <c r="B341" s="8">
        <v>44794</v>
      </c>
      <c r="C341" s="15" t="s">
        <v>270</v>
      </c>
      <c r="D341" s="10" t="s">
        <v>222</v>
      </c>
      <c r="E341">
        <v>5</v>
      </c>
      <c r="F341">
        <v>59000</v>
      </c>
      <c r="G341">
        <v>35000</v>
      </c>
      <c r="H341">
        <v>14</v>
      </c>
      <c r="I341">
        <v>35000</v>
      </c>
      <c r="J341" s="10" t="s">
        <v>279</v>
      </c>
      <c r="K341" s="10">
        <v>35000</v>
      </c>
      <c r="L341" s="10">
        <v>175000</v>
      </c>
      <c r="M341" s="12" t="s">
        <v>233</v>
      </c>
    </row>
    <row r="342" spans="1:13" ht="16.8" x14ac:dyDescent="0.3">
      <c r="A342" s="7" t="s">
        <v>420</v>
      </c>
      <c r="B342" s="8">
        <v>44312</v>
      </c>
      <c r="C342" s="15" t="s">
        <v>270</v>
      </c>
      <c r="D342" s="10" t="s">
        <v>223</v>
      </c>
      <c r="E342">
        <v>4</v>
      </c>
      <c r="F342">
        <v>59000</v>
      </c>
      <c r="G342">
        <v>59000</v>
      </c>
      <c r="H342">
        <v>12</v>
      </c>
      <c r="I342">
        <v>59000</v>
      </c>
      <c r="J342" s="10" t="s">
        <v>279</v>
      </c>
      <c r="K342" s="10">
        <v>59000</v>
      </c>
      <c r="L342" s="10">
        <v>236000</v>
      </c>
      <c r="M342" s="12" t="s">
        <v>12</v>
      </c>
    </row>
    <row r="343" spans="1:13" ht="16.8" x14ac:dyDescent="0.3">
      <c r="A343" s="7" t="s">
        <v>421</v>
      </c>
      <c r="B343" s="8">
        <v>44224</v>
      </c>
      <c r="C343" s="15" t="s">
        <v>3</v>
      </c>
      <c r="D343" s="10" t="s">
        <v>223</v>
      </c>
      <c r="E343">
        <v>1</v>
      </c>
      <c r="F343">
        <v>69000</v>
      </c>
      <c r="G343">
        <v>59000</v>
      </c>
      <c r="H343">
        <v>15</v>
      </c>
      <c r="I343">
        <v>58650</v>
      </c>
      <c r="J343" s="10" t="s">
        <v>278</v>
      </c>
      <c r="K343" s="10">
        <v>58650</v>
      </c>
      <c r="L343" s="10">
        <v>58650</v>
      </c>
      <c r="M343" s="12" t="s">
        <v>235</v>
      </c>
    </row>
    <row r="344" spans="1:13" ht="16.8" x14ac:dyDescent="0.3">
      <c r="A344" s="7" t="s">
        <v>422</v>
      </c>
      <c r="B344" s="8">
        <v>45084</v>
      </c>
      <c r="C344" s="15" t="s">
        <v>3</v>
      </c>
      <c r="D344" s="10" t="s">
        <v>223</v>
      </c>
      <c r="E344">
        <v>5</v>
      </c>
      <c r="F344">
        <v>49000</v>
      </c>
      <c r="G344">
        <v>65000</v>
      </c>
      <c r="H344">
        <v>14</v>
      </c>
      <c r="I344">
        <v>42140</v>
      </c>
      <c r="J344" s="10" t="s">
        <v>278</v>
      </c>
      <c r="K344" s="10">
        <v>42140</v>
      </c>
      <c r="L344" s="10">
        <v>210700</v>
      </c>
      <c r="M344" s="12" t="s">
        <v>238</v>
      </c>
    </row>
    <row r="345" spans="1:13" ht="16.8" x14ac:dyDescent="0.3">
      <c r="A345" s="7" t="s">
        <v>423</v>
      </c>
      <c r="B345" s="8">
        <v>44543</v>
      </c>
      <c r="C345" s="15" t="s">
        <v>275</v>
      </c>
      <c r="D345" s="10" t="s">
        <v>224</v>
      </c>
      <c r="E345">
        <v>1</v>
      </c>
      <c r="F345">
        <v>59000</v>
      </c>
      <c r="G345">
        <v>29000</v>
      </c>
      <c r="H345">
        <v>12</v>
      </c>
      <c r="I345">
        <v>29000</v>
      </c>
      <c r="J345" s="10" t="s">
        <v>279</v>
      </c>
      <c r="K345" s="10">
        <v>29000</v>
      </c>
      <c r="L345" s="10">
        <v>29000</v>
      </c>
      <c r="M345" s="12" t="s">
        <v>235</v>
      </c>
    </row>
    <row r="346" spans="1:13" ht="16.8" x14ac:dyDescent="0.3">
      <c r="A346" s="7" t="s">
        <v>424</v>
      </c>
      <c r="B346" s="8">
        <v>44856</v>
      </c>
      <c r="C346" s="15" t="s">
        <v>272</v>
      </c>
      <c r="D346" s="10" t="s">
        <v>222</v>
      </c>
      <c r="E346">
        <v>4</v>
      </c>
      <c r="F346">
        <v>39000</v>
      </c>
      <c r="G346">
        <v>55000</v>
      </c>
      <c r="H346">
        <v>14</v>
      </c>
      <c r="I346">
        <v>55000</v>
      </c>
      <c r="J346" s="10" t="s">
        <v>279</v>
      </c>
      <c r="K346" s="10">
        <v>55000</v>
      </c>
      <c r="L346" s="10">
        <v>220000</v>
      </c>
      <c r="M346" s="12" t="s">
        <v>260</v>
      </c>
    </row>
    <row r="347" spans="1:13" ht="16.8" x14ac:dyDescent="0.3">
      <c r="A347" s="7" t="s">
        <v>425</v>
      </c>
      <c r="B347" s="8">
        <v>44881</v>
      </c>
      <c r="C347" s="15" t="s">
        <v>270</v>
      </c>
      <c r="D347" s="10" t="s">
        <v>224</v>
      </c>
      <c r="E347">
        <v>4</v>
      </c>
      <c r="F347">
        <v>59000</v>
      </c>
      <c r="G347">
        <v>69000</v>
      </c>
      <c r="H347">
        <v>13</v>
      </c>
      <c r="I347">
        <v>69000</v>
      </c>
      <c r="J347" s="10" t="s">
        <v>279</v>
      </c>
      <c r="K347" s="10">
        <v>69000</v>
      </c>
      <c r="L347" s="10">
        <v>276000</v>
      </c>
      <c r="M347" s="12" t="s">
        <v>256</v>
      </c>
    </row>
    <row r="348" spans="1:13" ht="16.8" x14ac:dyDescent="0.3">
      <c r="A348" s="7" t="s">
        <v>426</v>
      </c>
      <c r="B348" s="8">
        <v>44496</v>
      </c>
      <c r="C348" s="15" t="s">
        <v>273</v>
      </c>
      <c r="D348" s="10" t="s">
        <v>224</v>
      </c>
      <c r="E348">
        <v>2</v>
      </c>
      <c r="F348">
        <v>39000</v>
      </c>
      <c r="G348">
        <v>39000</v>
      </c>
      <c r="H348">
        <v>9</v>
      </c>
      <c r="I348">
        <v>39000</v>
      </c>
      <c r="J348" s="10" t="s">
        <v>279</v>
      </c>
      <c r="K348" s="10">
        <v>39000</v>
      </c>
      <c r="L348" s="10">
        <v>78000</v>
      </c>
      <c r="M348" s="12" t="s">
        <v>229</v>
      </c>
    </row>
    <row r="349" spans="1:13" ht="16.8" x14ac:dyDescent="0.3">
      <c r="A349" s="7" t="s">
        <v>427</v>
      </c>
      <c r="B349" s="8">
        <v>44310</v>
      </c>
      <c r="C349" s="15" t="s">
        <v>271</v>
      </c>
      <c r="D349" s="10" t="s">
        <v>223</v>
      </c>
      <c r="E349">
        <v>3</v>
      </c>
      <c r="F349">
        <v>49000</v>
      </c>
      <c r="G349">
        <v>69000</v>
      </c>
      <c r="H349">
        <v>11</v>
      </c>
      <c r="I349">
        <v>69000</v>
      </c>
      <c r="J349" s="10" t="s">
        <v>279</v>
      </c>
      <c r="K349" s="10">
        <v>69000</v>
      </c>
      <c r="L349" s="10">
        <v>207000</v>
      </c>
      <c r="M349" s="12" t="s">
        <v>247</v>
      </c>
    </row>
    <row r="350" spans="1:13" ht="16.8" x14ac:dyDescent="0.3">
      <c r="A350" s="7" t="s">
        <v>428</v>
      </c>
      <c r="B350" s="8">
        <v>44486</v>
      </c>
      <c r="C350" s="15" t="s">
        <v>274</v>
      </c>
      <c r="D350" s="10" t="s">
        <v>224</v>
      </c>
      <c r="E350">
        <v>4</v>
      </c>
      <c r="F350">
        <v>69000</v>
      </c>
      <c r="G350">
        <v>39000</v>
      </c>
      <c r="H350">
        <v>9</v>
      </c>
      <c r="I350">
        <v>62790</v>
      </c>
      <c r="J350" s="10" t="s">
        <v>278</v>
      </c>
      <c r="K350" s="10">
        <v>62790</v>
      </c>
      <c r="L350" s="10">
        <v>251160</v>
      </c>
      <c r="M350" s="12" t="s">
        <v>250</v>
      </c>
    </row>
    <row r="351" spans="1:13" ht="16.8" x14ac:dyDescent="0.3">
      <c r="A351" s="7" t="s">
        <v>429</v>
      </c>
      <c r="B351" s="8">
        <v>45246</v>
      </c>
      <c r="C351" s="15" t="s">
        <v>273</v>
      </c>
      <c r="D351" s="10" t="s">
        <v>223</v>
      </c>
      <c r="E351">
        <v>2</v>
      </c>
      <c r="F351">
        <v>29000</v>
      </c>
      <c r="G351">
        <v>65000</v>
      </c>
      <c r="H351">
        <v>15</v>
      </c>
      <c r="I351">
        <v>24650</v>
      </c>
      <c r="J351" s="10" t="s">
        <v>278</v>
      </c>
      <c r="K351" s="10">
        <v>24650</v>
      </c>
      <c r="L351" s="10">
        <v>49300</v>
      </c>
      <c r="M351" s="12" t="s">
        <v>239</v>
      </c>
    </row>
    <row r="352" spans="1:13" ht="16.8" x14ac:dyDescent="0.3">
      <c r="A352" s="7" t="s">
        <v>430</v>
      </c>
      <c r="B352" s="8">
        <v>44961</v>
      </c>
      <c r="C352" s="15" t="s">
        <v>270</v>
      </c>
      <c r="D352" s="10" t="s">
        <v>223</v>
      </c>
      <c r="E352">
        <v>3</v>
      </c>
      <c r="F352">
        <v>75000</v>
      </c>
      <c r="G352">
        <v>49000</v>
      </c>
      <c r="H352">
        <v>15</v>
      </c>
      <c r="I352">
        <v>63750</v>
      </c>
      <c r="J352" s="10" t="s">
        <v>278</v>
      </c>
      <c r="K352" s="10">
        <v>63750</v>
      </c>
      <c r="L352" s="10">
        <v>191250</v>
      </c>
      <c r="M352" s="12" t="s">
        <v>258</v>
      </c>
    </row>
    <row r="353" spans="1:13" ht="16.8" x14ac:dyDescent="0.3">
      <c r="A353" s="7" t="s">
        <v>431</v>
      </c>
      <c r="B353" s="8">
        <v>44804</v>
      </c>
      <c r="C353" s="15" t="s">
        <v>3</v>
      </c>
      <c r="D353" s="10" t="s">
        <v>222</v>
      </c>
      <c r="E353">
        <v>3</v>
      </c>
      <c r="F353">
        <v>59000</v>
      </c>
      <c r="G353">
        <v>69000</v>
      </c>
      <c r="H353">
        <v>8</v>
      </c>
      <c r="I353">
        <v>54280</v>
      </c>
      <c r="J353" s="10" t="s">
        <v>278</v>
      </c>
      <c r="K353" s="10">
        <v>54280</v>
      </c>
      <c r="L353" s="10">
        <v>162840</v>
      </c>
      <c r="M353" s="12" t="s">
        <v>248</v>
      </c>
    </row>
    <row r="354" spans="1:13" ht="16.8" x14ac:dyDescent="0.3">
      <c r="A354" s="7" t="s">
        <v>432</v>
      </c>
      <c r="B354" s="8">
        <v>44601</v>
      </c>
      <c r="C354" s="15" t="s">
        <v>4</v>
      </c>
      <c r="D354" s="10" t="s">
        <v>223</v>
      </c>
      <c r="E354">
        <v>3</v>
      </c>
      <c r="F354">
        <v>59000</v>
      </c>
      <c r="G354">
        <v>39000</v>
      </c>
      <c r="H354">
        <v>6</v>
      </c>
      <c r="I354">
        <v>39000</v>
      </c>
      <c r="J354" s="10" t="s">
        <v>279</v>
      </c>
      <c r="K354" s="10">
        <v>39000</v>
      </c>
      <c r="L354" s="10">
        <v>117000</v>
      </c>
      <c r="M354" s="12" t="s">
        <v>261</v>
      </c>
    </row>
    <row r="355" spans="1:13" ht="16.8" x14ac:dyDescent="0.3">
      <c r="A355" s="7" t="s">
        <v>433</v>
      </c>
      <c r="B355" s="8">
        <v>45141</v>
      </c>
      <c r="C355" s="15" t="s">
        <v>3</v>
      </c>
      <c r="D355" s="10" t="s">
        <v>222</v>
      </c>
      <c r="E355">
        <v>2</v>
      </c>
      <c r="F355">
        <v>75000</v>
      </c>
      <c r="G355">
        <v>75000</v>
      </c>
      <c r="H355">
        <v>15</v>
      </c>
      <c r="I355">
        <v>75000</v>
      </c>
      <c r="J355" s="10" t="s">
        <v>279</v>
      </c>
      <c r="K355" s="10">
        <v>75000</v>
      </c>
      <c r="L355" s="10">
        <v>150000</v>
      </c>
      <c r="M355" s="12" t="s">
        <v>250</v>
      </c>
    </row>
    <row r="356" spans="1:13" ht="16.8" x14ac:dyDescent="0.3">
      <c r="A356" s="7" t="s">
        <v>434</v>
      </c>
      <c r="B356" s="8">
        <v>44541</v>
      </c>
      <c r="C356" s="15" t="s">
        <v>275</v>
      </c>
      <c r="D356" s="10" t="s">
        <v>223</v>
      </c>
      <c r="E356">
        <v>5</v>
      </c>
      <c r="F356">
        <v>29000</v>
      </c>
      <c r="G356">
        <v>39000</v>
      </c>
      <c r="H356">
        <v>12</v>
      </c>
      <c r="I356">
        <v>39000</v>
      </c>
      <c r="J356" s="10" t="s">
        <v>279</v>
      </c>
      <c r="K356" s="10">
        <v>39000</v>
      </c>
      <c r="L356" s="10">
        <v>195000</v>
      </c>
      <c r="M356" s="12" t="s">
        <v>247</v>
      </c>
    </row>
    <row r="357" spans="1:13" ht="16.8" x14ac:dyDescent="0.3">
      <c r="A357" s="7" t="s">
        <v>435</v>
      </c>
      <c r="B357" s="8">
        <v>44701</v>
      </c>
      <c r="C357" s="15" t="s">
        <v>274</v>
      </c>
      <c r="D357" s="10" t="s">
        <v>222</v>
      </c>
      <c r="E357">
        <v>3</v>
      </c>
      <c r="F357">
        <v>45000</v>
      </c>
      <c r="G357">
        <v>59000</v>
      </c>
      <c r="H357">
        <v>5</v>
      </c>
      <c r="I357">
        <v>42750</v>
      </c>
      <c r="J357" s="10" t="s">
        <v>278</v>
      </c>
      <c r="K357" s="10">
        <v>42750</v>
      </c>
      <c r="L357" s="10">
        <v>128250</v>
      </c>
      <c r="M357" s="12" t="s">
        <v>227</v>
      </c>
    </row>
    <row r="358" spans="1:13" ht="16.8" x14ac:dyDescent="0.3">
      <c r="A358" s="7" t="s">
        <v>436</v>
      </c>
      <c r="B358" s="8">
        <v>45029</v>
      </c>
      <c r="C358" s="15" t="s">
        <v>271</v>
      </c>
      <c r="D358" s="10" t="s">
        <v>222</v>
      </c>
      <c r="E358">
        <v>4</v>
      </c>
      <c r="F358">
        <v>65000</v>
      </c>
      <c r="G358">
        <v>39000</v>
      </c>
      <c r="H358">
        <v>11</v>
      </c>
      <c r="I358">
        <v>57850</v>
      </c>
      <c r="J358" s="10" t="s">
        <v>278</v>
      </c>
      <c r="K358" s="10">
        <v>57850</v>
      </c>
      <c r="L358" s="10">
        <v>231400</v>
      </c>
      <c r="M358" s="12" t="s">
        <v>261</v>
      </c>
    </row>
    <row r="359" spans="1:13" ht="16.8" x14ac:dyDescent="0.3">
      <c r="A359" s="7" t="s">
        <v>437</v>
      </c>
      <c r="B359" s="8">
        <v>44305</v>
      </c>
      <c r="C359" s="15" t="s">
        <v>273</v>
      </c>
      <c r="D359" s="10" t="s">
        <v>222</v>
      </c>
      <c r="E359">
        <v>3</v>
      </c>
      <c r="F359">
        <v>65000</v>
      </c>
      <c r="G359">
        <v>65000</v>
      </c>
      <c r="H359">
        <v>14</v>
      </c>
      <c r="I359">
        <v>55900</v>
      </c>
      <c r="J359" s="10" t="s">
        <v>278</v>
      </c>
      <c r="K359" s="10">
        <v>55900</v>
      </c>
      <c r="L359" s="10">
        <v>167700</v>
      </c>
      <c r="M359" s="12" t="s">
        <v>251</v>
      </c>
    </row>
    <row r="360" spans="1:13" ht="16.8" x14ac:dyDescent="0.3">
      <c r="A360" s="7" t="s">
        <v>438</v>
      </c>
      <c r="B360" s="8">
        <v>44998</v>
      </c>
      <c r="C360" s="15" t="s">
        <v>4</v>
      </c>
      <c r="D360" s="10" t="s">
        <v>223</v>
      </c>
      <c r="E360">
        <v>5</v>
      </c>
      <c r="F360">
        <v>65000</v>
      </c>
      <c r="G360">
        <v>65000</v>
      </c>
      <c r="H360">
        <v>14</v>
      </c>
      <c r="I360">
        <v>55900</v>
      </c>
      <c r="J360" s="10" t="s">
        <v>278</v>
      </c>
      <c r="K360" s="10">
        <v>55900</v>
      </c>
      <c r="L360" s="10">
        <v>279500</v>
      </c>
      <c r="M360" s="12" t="s">
        <v>16</v>
      </c>
    </row>
    <row r="361" spans="1:13" ht="16.8" x14ac:dyDescent="0.3">
      <c r="A361" s="7" t="s">
        <v>439</v>
      </c>
      <c r="B361" s="8">
        <v>44346</v>
      </c>
      <c r="C361" s="15" t="s">
        <v>273</v>
      </c>
      <c r="D361" s="10" t="s">
        <v>222</v>
      </c>
      <c r="E361">
        <v>2</v>
      </c>
      <c r="F361">
        <v>65000</v>
      </c>
      <c r="G361">
        <v>59000</v>
      </c>
      <c r="H361">
        <v>14</v>
      </c>
      <c r="I361">
        <v>59000</v>
      </c>
      <c r="J361" s="10" t="s">
        <v>279</v>
      </c>
      <c r="K361" s="10">
        <v>59000</v>
      </c>
      <c r="L361" s="10">
        <v>118000</v>
      </c>
      <c r="M361" s="12" t="s">
        <v>12</v>
      </c>
    </row>
    <row r="362" spans="1:13" ht="16.8" x14ac:dyDescent="0.3">
      <c r="A362" s="7" t="s">
        <v>440</v>
      </c>
      <c r="B362" s="8">
        <v>44975</v>
      </c>
      <c r="C362" s="15" t="s">
        <v>273</v>
      </c>
      <c r="D362" s="10" t="s">
        <v>222</v>
      </c>
      <c r="E362">
        <v>3</v>
      </c>
      <c r="F362">
        <v>59000</v>
      </c>
      <c r="G362">
        <v>55000</v>
      </c>
      <c r="H362">
        <v>6</v>
      </c>
      <c r="I362">
        <v>55000</v>
      </c>
      <c r="J362" s="10" t="s">
        <v>279</v>
      </c>
      <c r="K362" s="10">
        <v>55000</v>
      </c>
      <c r="L362" s="10">
        <v>165000</v>
      </c>
      <c r="M362" s="12" t="s">
        <v>231</v>
      </c>
    </row>
    <row r="363" spans="1:13" ht="16.8" x14ac:dyDescent="0.3">
      <c r="A363" s="7" t="s">
        <v>441</v>
      </c>
      <c r="B363" s="8">
        <v>44669</v>
      </c>
      <c r="C363" s="15" t="s">
        <v>271</v>
      </c>
      <c r="D363" s="10" t="s">
        <v>223</v>
      </c>
      <c r="E363">
        <v>1</v>
      </c>
      <c r="F363">
        <v>65000</v>
      </c>
      <c r="G363">
        <v>49000</v>
      </c>
      <c r="H363">
        <v>11</v>
      </c>
      <c r="I363">
        <v>49000</v>
      </c>
      <c r="J363" s="10" t="s">
        <v>279</v>
      </c>
      <c r="K363" s="10">
        <v>49000</v>
      </c>
      <c r="L363" s="10">
        <v>49000</v>
      </c>
      <c r="M363" s="12" t="s">
        <v>255</v>
      </c>
    </row>
    <row r="364" spans="1:13" ht="16.8" x14ac:dyDescent="0.3">
      <c r="A364" s="7" t="s">
        <v>442</v>
      </c>
      <c r="B364" s="8">
        <v>45133</v>
      </c>
      <c r="C364" s="15" t="s">
        <v>274</v>
      </c>
      <c r="D364" s="10" t="s">
        <v>223</v>
      </c>
      <c r="E364">
        <v>3</v>
      </c>
      <c r="F364">
        <v>75000</v>
      </c>
      <c r="G364">
        <v>59000</v>
      </c>
      <c r="H364">
        <v>7</v>
      </c>
      <c r="I364">
        <v>69750</v>
      </c>
      <c r="J364" s="10" t="s">
        <v>278</v>
      </c>
      <c r="K364" s="10">
        <v>69750</v>
      </c>
      <c r="L364" s="10">
        <v>209250</v>
      </c>
      <c r="M364" s="12" t="s">
        <v>247</v>
      </c>
    </row>
    <row r="365" spans="1:13" ht="16.8" x14ac:dyDescent="0.3">
      <c r="A365" s="7" t="s">
        <v>443</v>
      </c>
      <c r="B365" s="8">
        <v>44269</v>
      </c>
      <c r="C365" s="15" t="s">
        <v>6</v>
      </c>
      <c r="D365" s="10" t="s">
        <v>223</v>
      </c>
      <c r="E365">
        <v>4</v>
      </c>
      <c r="F365">
        <v>59000</v>
      </c>
      <c r="G365">
        <v>65000</v>
      </c>
      <c r="H365">
        <v>14</v>
      </c>
      <c r="I365">
        <v>65000</v>
      </c>
      <c r="J365" s="10" t="s">
        <v>279</v>
      </c>
      <c r="K365" s="10">
        <v>65000</v>
      </c>
      <c r="L365" s="10">
        <v>260000</v>
      </c>
      <c r="M365" s="12" t="s">
        <v>234</v>
      </c>
    </row>
    <row r="366" spans="1:13" ht="16.8" x14ac:dyDescent="0.3">
      <c r="A366" s="7" t="s">
        <v>444</v>
      </c>
      <c r="B366" s="8">
        <v>44774</v>
      </c>
      <c r="C366" s="15" t="s">
        <v>273</v>
      </c>
      <c r="D366" s="10" t="s">
        <v>224</v>
      </c>
      <c r="E366">
        <v>5</v>
      </c>
      <c r="F366">
        <v>65000</v>
      </c>
      <c r="G366">
        <v>39000</v>
      </c>
      <c r="H366">
        <v>12</v>
      </c>
      <c r="I366">
        <v>57200</v>
      </c>
      <c r="J366" s="10" t="s">
        <v>278</v>
      </c>
      <c r="K366" s="10">
        <v>57200</v>
      </c>
      <c r="L366" s="10">
        <v>286000</v>
      </c>
      <c r="M366" s="12" t="s">
        <v>240</v>
      </c>
    </row>
    <row r="367" spans="1:13" ht="16.8" x14ac:dyDescent="0.3">
      <c r="A367" s="7" t="s">
        <v>445</v>
      </c>
      <c r="B367" s="8">
        <v>44411</v>
      </c>
      <c r="C367" s="15" t="s">
        <v>6</v>
      </c>
      <c r="D367" s="10" t="s">
        <v>223</v>
      </c>
      <c r="E367">
        <v>4</v>
      </c>
      <c r="F367">
        <v>59000</v>
      </c>
      <c r="G367">
        <v>49000</v>
      </c>
      <c r="H367">
        <v>11</v>
      </c>
      <c r="I367">
        <v>49000</v>
      </c>
      <c r="J367" s="10" t="s">
        <v>279</v>
      </c>
      <c r="K367" s="10">
        <v>49000</v>
      </c>
      <c r="L367" s="10">
        <v>196000</v>
      </c>
      <c r="M367" s="12" t="s">
        <v>226</v>
      </c>
    </row>
    <row r="368" spans="1:13" ht="16.8" x14ac:dyDescent="0.3">
      <c r="A368" s="7" t="s">
        <v>446</v>
      </c>
      <c r="B368" s="8">
        <v>45139</v>
      </c>
      <c r="C368" s="15" t="s">
        <v>273</v>
      </c>
      <c r="D368" s="10" t="s">
        <v>224</v>
      </c>
      <c r="E368">
        <v>4</v>
      </c>
      <c r="F368">
        <v>49000</v>
      </c>
      <c r="G368">
        <v>59000</v>
      </c>
      <c r="H368">
        <v>9</v>
      </c>
      <c r="I368">
        <v>44590</v>
      </c>
      <c r="J368" s="10" t="s">
        <v>278</v>
      </c>
      <c r="K368" s="10">
        <v>44590</v>
      </c>
      <c r="L368" s="10">
        <v>178360</v>
      </c>
      <c r="M368" s="12" t="s">
        <v>238</v>
      </c>
    </row>
    <row r="369" spans="1:13" ht="16.8" x14ac:dyDescent="0.3">
      <c r="A369" s="7" t="s">
        <v>447</v>
      </c>
      <c r="B369" s="8">
        <v>45228</v>
      </c>
      <c r="C369" s="15" t="s">
        <v>4</v>
      </c>
      <c r="D369" s="10" t="s">
        <v>224</v>
      </c>
      <c r="E369">
        <v>2</v>
      </c>
      <c r="F369">
        <v>59000</v>
      </c>
      <c r="G369">
        <v>49000</v>
      </c>
      <c r="H369">
        <v>7</v>
      </c>
      <c r="I369">
        <v>54869.999999999993</v>
      </c>
      <c r="J369" s="10" t="s">
        <v>278</v>
      </c>
      <c r="K369" s="10">
        <v>54869.999999999993</v>
      </c>
      <c r="L369" s="10">
        <v>109739.99999999999</v>
      </c>
      <c r="M369" s="12" t="s">
        <v>233</v>
      </c>
    </row>
    <row r="370" spans="1:13" ht="16.8" x14ac:dyDescent="0.3">
      <c r="A370" s="7" t="s">
        <v>448</v>
      </c>
      <c r="B370" s="8">
        <v>44218</v>
      </c>
      <c r="C370" s="15" t="s">
        <v>273</v>
      </c>
      <c r="D370" s="10" t="s">
        <v>224</v>
      </c>
      <c r="E370">
        <v>2</v>
      </c>
      <c r="F370">
        <v>59000</v>
      </c>
      <c r="G370">
        <v>59000</v>
      </c>
      <c r="H370">
        <v>5</v>
      </c>
      <c r="I370">
        <v>56050</v>
      </c>
      <c r="J370" s="10" t="s">
        <v>278</v>
      </c>
      <c r="K370" s="10">
        <v>56050</v>
      </c>
      <c r="L370" s="10">
        <v>112100</v>
      </c>
      <c r="M370" s="12" t="s">
        <v>258</v>
      </c>
    </row>
    <row r="371" spans="1:13" ht="16.8" x14ac:dyDescent="0.3">
      <c r="A371" s="7" t="s">
        <v>449</v>
      </c>
      <c r="B371" s="8">
        <v>44356</v>
      </c>
      <c r="C371" s="15" t="s">
        <v>275</v>
      </c>
      <c r="D371" s="10" t="s">
        <v>224</v>
      </c>
      <c r="E371">
        <v>5</v>
      </c>
      <c r="F371">
        <v>59000</v>
      </c>
      <c r="G371">
        <v>39000</v>
      </c>
      <c r="H371">
        <v>15</v>
      </c>
      <c r="I371">
        <v>39000</v>
      </c>
      <c r="J371" s="10" t="s">
        <v>279</v>
      </c>
      <c r="K371" s="10">
        <v>39000</v>
      </c>
      <c r="L371" s="10">
        <v>195000</v>
      </c>
      <c r="M371" s="12" t="s">
        <v>16</v>
      </c>
    </row>
    <row r="372" spans="1:13" ht="16.8" x14ac:dyDescent="0.3">
      <c r="A372" s="7" t="s">
        <v>450</v>
      </c>
      <c r="B372" s="8">
        <v>44796</v>
      </c>
      <c r="C372" s="15" t="s">
        <v>5</v>
      </c>
      <c r="D372" s="10" t="s">
        <v>224</v>
      </c>
      <c r="E372">
        <v>4</v>
      </c>
      <c r="F372">
        <v>65000</v>
      </c>
      <c r="G372">
        <v>49000</v>
      </c>
      <c r="H372">
        <v>6</v>
      </c>
      <c r="I372">
        <v>49000</v>
      </c>
      <c r="J372" s="10" t="s">
        <v>279</v>
      </c>
      <c r="K372" s="10">
        <v>49000</v>
      </c>
      <c r="L372" s="10">
        <v>196000</v>
      </c>
      <c r="M372" s="12" t="s">
        <v>228</v>
      </c>
    </row>
    <row r="373" spans="1:13" ht="16.8" x14ac:dyDescent="0.3">
      <c r="A373" s="7" t="s">
        <v>451</v>
      </c>
      <c r="B373" s="8">
        <v>45271</v>
      </c>
      <c r="C373" s="15" t="s">
        <v>270</v>
      </c>
      <c r="D373" s="10" t="s">
        <v>224</v>
      </c>
      <c r="E373">
        <v>1</v>
      </c>
      <c r="F373">
        <v>65000</v>
      </c>
      <c r="G373">
        <v>65000</v>
      </c>
      <c r="H373">
        <v>6</v>
      </c>
      <c r="I373">
        <v>65000</v>
      </c>
      <c r="J373" s="10" t="s">
        <v>279</v>
      </c>
      <c r="K373" s="10">
        <v>65000</v>
      </c>
      <c r="L373" s="10">
        <v>65000</v>
      </c>
      <c r="M373" s="12" t="s">
        <v>15</v>
      </c>
    </row>
    <row r="374" spans="1:13" ht="16.8" x14ac:dyDescent="0.3">
      <c r="A374" s="7" t="s">
        <v>452</v>
      </c>
      <c r="B374" s="8">
        <v>44413</v>
      </c>
      <c r="C374" s="15" t="s">
        <v>272</v>
      </c>
      <c r="D374" s="10" t="s">
        <v>224</v>
      </c>
      <c r="E374">
        <v>2</v>
      </c>
      <c r="F374">
        <v>59000</v>
      </c>
      <c r="G374">
        <v>55000</v>
      </c>
      <c r="H374">
        <v>5</v>
      </c>
      <c r="I374">
        <v>55000</v>
      </c>
      <c r="J374" s="10" t="s">
        <v>279</v>
      </c>
      <c r="K374" s="10">
        <v>55000</v>
      </c>
      <c r="L374" s="10">
        <v>110000</v>
      </c>
      <c r="M374" s="12" t="s">
        <v>235</v>
      </c>
    </row>
    <row r="375" spans="1:13" ht="16.8" x14ac:dyDescent="0.3">
      <c r="A375" s="7" t="s">
        <v>453</v>
      </c>
      <c r="B375" s="8">
        <v>44574</v>
      </c>
      <c r="C375" s="15" t="s">
        <v>271</v>
      </c>
      <c r="D375" s="10" t="s">
        <v>223</v>
      </c>
      <c r="E375">
        <v>1</v>
      </c>
      <c r="F375">
        <v>65000</v>
      </c>
      <c r="G375">
        <v>49000</v>
      </c>
      <c r="H375">
        <v>7</v>
      </c>
      <c r="I375">
        <v>49000</v>
      </c>
      <c r="J375" s="10" t="s">
        <v>279</v>
      </c>
      <c r="K375" s="10">
        <v>49000</v>
      </c>
      <c r="L375" s="10">
        <v>49000</v>
      </c>
      <c r="M375" s="12" t="s">
        <v>232</v>
      </c>
    </row>
    <row r="376" spans="1:13" ht="16.8" x14ac:dyDescent="0.3">
      <c r="A376" s="7" t="s">
        <v>454</v>
      </c>
      <c r="B376" s="8">
        <v>44845</v>
      </c>
      <c r="C376" s="15" t="s">
        <v>270</v>
      </c>
      <c r="D376" s="10" t="s">
        <v>224</v>
      </c>
      <c r="E376">
        <v>1</v>
      </c>
      <c r="F376">
        <v>65000</v>
      </c>
      <c r="G376">
        <v>59000</v>
      </c>
      <c r="H376">
        <v>11</v>
      </c>
      <c r="I376">
        <v>57850</v>
      </c>
      <c r="J376" s="10" t="s">
        <v>278</v>
      </c>
      <c r="K376" s="10">
        <v>57850</v>
      </c>
      <c r="L376" s="10">
        <v>57850</v>
      </c>
      <c r="M376" s="12" t="s">
        <v>247</v>
      </c>
    </row>
    <row r="377" spans="1:13" ht="16.8" x14ac:dyDescent="0.3">
      <c r="A377" s="7" t="s">
        <v>455</v>
      </c>
      <c r="B377" s="8">
        <v>45141</v>
      </c>
      <c r="C377" s="15" t="s">
        <v>274</v>
      </c>
      <c r="D377" s="10" t="s">
        <v>223</v>
      </c>
      <c r="E377">
        <v>3</v>
      </c>
      <c r="F377">
        <v>55000</v>
      </c>
      <c r="G377">
        <v>49000</v>
      </c>
      <c r="H377">
        <v>8</v>
      </c>
      <c r="I377">
        <v>49000</v>
      </c>
      <c r="J377" s="10" t="s">
        <v>279</v>
      </c>
      <c r="K377" s="10">
        <v>49000</v>
      </c>
      <c r="L377" s="10">
        <v>147000</v>
      </c>
      <c r="M377" s="12" t="s">
        <v>246</v>
      </c>
    </row>
    <row r="378" spans="1:13" ht="16.8" x14ac:dyDescent="0.3">
      <c r="A378" s="7" t="s">
        <v>456</v>
      </c>
      <c r="B378" s="8">
        <v>44993</v>
      </c>
      <c r="C378" s="15" t="s">
        <v>275</v>
      </c>
      <c r="D378" s="10" t="s">
        <v>224</v>
      </c>
      <c r="E378">
        <v>2</v>
      </c>
      <c r="F378">
        <v>49000</v>
      </c>
      <c r="G378">
        <v>35000</v>
      </c>
      <c r="H378">
        <v>6</v>
      </c>
      <c r="I378">
        <v>46060</v>
      </c>
      <c r="J378" s="10" t="s">
        <v>278</v>
      </c>
      <c r="K378" s="10">
        <v>46060</v>
      </c>
      <c r="L378" s="10">
        <v>92120</v>
      </c>
      <c r="M378" s="12" t="s">
        <v>236</v>
      </c>
    </row>
    <row r="379" spans="1:13" ht="16.8" x14ac:dyDescent="0.3">
      <c r="A379" s="7" t="s">
        <v>457</v>
      </c>
      <c r="B379" s="8">
        <v>44345</v>
      </c>
      <c r="C379" s="15" t="s">
        <v>273</v>
      </c>
      <c r="D379" s="10" t="s">
        <v>222</v>
      </c>
      <c r="E379">
        <v>1</v>
      </c>
      <c r="F379">
        <v>49000</v>
      </c>
      <c r="G379">
        <v>49000</v>
      </c>
      <c r="H379">
        <v>11</v>
      </c>
      <c r="I379">
        <v>43610</v>
      </c>
      <c r="J379" s="10" t="s">
        <v>278</v>
      </c>
      <c r="K379" s="10">
        <v>43610</v>
      </c>
      <c r="L379" s="10">
        <v>43610</v>
      </c>
      <c r="M379" s="12" t="s">
        <v>248</v>
      </c>
    </row>
    <row r="380" spans="1:13" ht="16.8" x14ac:dyDescent="0.3">
      <c r="A380" s="7" t="s">
        <v>458</v>
      </c>
      <c r="B380" s="8">
        <v>44358</v>
      </c>
      <c r="C380" s="15" t="s">
        <v>5</v>
      </c>
      <c r="D380" s="10" t="s">
        <v>222</v>
      </c>
      <c r="E380">
        <v>1</v>
      </c>
      <c r="F380">
        <v>49000</v>
      </c>
      <c r="G380">
        <v>69000</v>
      </c>
      <c r="H380">
        <v>12</v>
      </c>
      <c r="I380">
        <v>69000</v>
      </c>
      <c r="J380" s="10" t="s">
        <v>279</v>
      </c>
      <c r="K380" s="10">
        <v>69000</v>
      </c>
      <c r="L380" s="10">
        <v>69000</v>
      </c>
      <c r="M380" s="12" t="s">
        <v>234</v>
      </c>
    </row>
    <row r="381" spans="1:13" ht="16.8" x14ac:dyDescent="0.3">
      <c r="A381" s="7" t="s">
        <v>459</v>
      </c>
      <c r="B381" s="8">
        <v>44301</v>
      </c>
      <c r="C381" s="15" t="s">
        <v>273</v>
      </c>
      <c r="D381" s="10" t="s">
        <v>224</v>
      </c>
      <c r="E381">
        <v>5</v>
      </c>
      <c r="F381">
        <v>49000</v>
      </c>
      <c r="G381">
        <v>59000</v>
      </c>
      <c r="H381">
        <v>9</v>
      </c>
      <c r="I381">
        <v>59000</v>
      </c>
      <c r="J381" s="10" t="s">
        <v>279</v>
      </c>
      <c r="K381" s="10">
        <v>59000</v>
      </c>
      <c r="L381" s="10">
        <v>295000</v>
      </c>
      <c r="M381" s="12" t="s">
        <v>256</v>
      </c>
    </row>
    <row r="382" spans="1:13" ht="16.8" x14ac:dyDescent="0.3">
      <c r="A382" s="7" t="s">
        <v>460</v>
      </c>
      <c r="B382" s="8">
        <v>44959</v>
      </c>
      <c r="C382" s="15" t="s">
        <v>272</v>
      </c>
      <c r="D382" s="10" t="s">
        <v>222</v>
      </c>
      <c r="E382">
        <v>4</v>
      </c>
      <c r="F382">
        <v>35000</v>
      </c>
      <c r="G382">
        <v>55000</v>
      </c>
      <c r="H382">
        <v>14</v>
      </c>
      <c r="I382">
        <v>30100</v>
      </c>
      <c r="J382" s="10" t="s">
        <v>278</v>
      </c>
      <c r="K382" s="10">
        <v>30100</v>
      </c>
      <c r="L382" s="10">
        <v>120400</v>
      </c>
      <c r="M382" s="12" t="s">
        <v>246</v>
      </c>
    </row>
    <row r="383" spans="1:13" ht="16.8" x14ac:dyDescent="0.3">
      <c r="A383" s="7" t="s">
        <v>461</v>
      </c>
      <c r="B383" s="8">
        <v>44596</v>
      </c>
      <c r="C383" s="15" t="s">
        <v>6</v>
      </c>
      <c r="D383" s="10" t="s">
        <v>224</v>
      </c>
      <c r="E383">
        <v>3</v>
      </c>
      <c r="F383">
        <v>49000</v>
      </c>
      <c r="G383">
        <v>39000</v>
      </c>
      <c r="H383">
        <v>12</v>
      </c>
      <c r="I383">
        <v>43120</v>
      </c>
      <c r="J383" s="10" t="s">
        <v>278</v>
      </c>
      <c r="K383" s="10">
        <v>43120</v>
      </c>
      <c r="L383" s="10">
        <v>129360</v>
      </c>
      <c r="M383" s="12" t="s">
        <v>240</v>
      </c>
    </row>
    <row r="384" spans="1:13" ht="16.8" x14ac:dyDescent="0.3">
      <c r="A384" s="7" t="s">
        <v>462</v>
      </c>
      <c r="B384" s="8">
        <v>44900</v>
      </c>
      <c r="C384" s="15" t="s">
        <v>6</v>
      </c>
      <c r="D384" s="10" t="s">
        <v>223</v>
      </c>
      <c r="E384">
        <v>2</v>
      </c>
      <c r="F384">
        <v>69000</v>
      </c>
      <c r="G384">
        <v>35000</v>
      </c>
      <c r="H384">
        <v>9</v>
      </c>
      <c r="I384">
        <v>62790</v>
      </c>
      <c r="J384" s="10" t="s">
        <v>278</v>
      </c>
      <c r="K384" s="10">
        <v>62790</v>
      </c>
      <c r="L384" s="10">
        <v>125580</v>
      </c>
      <c r="M384" s="12" t="s">
        <v>227</v>
      </c>
    </row>
    <row r="385" spans="1:13" ht="16.8" x14ac:dyDescent="0.3">
      <c r="A385" s="7" t="s">
        <v>463</v>
      </c>
      <c r="B385" s="8">
        <v>45267</v>
      </c>
      <c r="C385" s="15" t="s">
        <v>5</v>
      </c>
      <c r="D385" s="10" t="s">
        <v>223</v>
      </c>
      <c r="E385">
        <v>3</v>
      </c>
      <c r="F385">
        <v>65000</v>
      </c>
      <c r="G385">
        <v>65000</v>
      </c>
      <c r="H385">
        <v>11</v>
      </c>
      <c r="I385">
        <v>65000</v>
      </c>
      <c r="J385" s="10" t="s">
        <v>279</v>
      </c>
      <c r="K385" s="10">
        <v>65000</v>
      </c>
      <c r="L385" s="10">
        <v>195000</v>
      </c>
      <c r="M385" s="12" t="s">
        <v>238</v>
      </c>
    </row>
    <row r="386" spans="1:13" ht="16.8" x14ac:dyDescent="0.3">
      <c r="A386" s="7" t="s">
        <v>464</v>
      </c>
      <c r="B386" s="8">
        <v>45196</v>
      </c>
      <c r="C386" s="15" t="s">
        <v>270</v>
      </c>
      <c r="D386" s="10" t="s">
        <v>222</v>
      </c>
      <c r="E386">
        <v>2</v>
      </c>
      <c r="F386">
        <v>69000</v>
      </c>
      <c r="G386">
        <v>65000</v>
      </c>
      <c r="H386">
        <v>12</v>
      </c>
      <c r="I386">
        <v>60720</v>
      </c>
      <c r="J386" s="10" t="s">
        <v>278</v>
      </c>
      <c r="K386" s="10">
        <v>60720</v>
      </c>
      <c r="L386" s="10">
        <v>121440</v>
      </c>
      <c r="M386" s="12" t="s">
        <v>243</v>
      </c>
    </row>
    <row r="387" spans="1:13" ht="16.8" x14ac:dyDescent="0.3">
      <c r="A387" s="7" t="s">
        <v>465</v>
      </c>
      <c r="B387" s="8">
        <v>44817</v>
      </c>
      <c r="C387" s="15" t="s">
        <v>271</v>
      </c>
      <c r="D387" s="10" t="s">
        <v>223</v>
      </c>
      <c r="E387">
        <v>5</v>
      </c>
      <c r="F387">
        <v>35000</v>
      </c>
      <c r="G387">
        <v>39000</v>
      </c>
      <c r="H387">
        <v>13</v>
      </c>
      <c r="I387">
        <v>39000</v>
      </c>
      <c r="J387" s="10" t="s">
        <v>279</v>
      </c>
      <c r="K387" s="10">
        <v>39000</v>
      </c>
      <c r="L387" s="10">
        <v>195000</v>
      </c>
      <c r="M387" s="12" t="s">
        <v>248</v>
      </c>
    </row>
    <row r="388" spans="1:13" ht="16.8" x14ac:dyDescent="0.3">
      <c r="A388" s="7" t="s">
        <v>466</v>
      </c>
      <c r="B388" s="8">
        <v>44495</v>
      </c>
      <c r="C388" s="15" t="s">
        <v>272</v>
      </c>
      <c r="D388" s="10" t="s">
        <v>223</v>
      </c>
      <c r="E388">
        <v>2</v>
      </c>
      <c r="F388">
        <v>65000</v>
      </c>
      <c r="G388">
        <v>49000</v>
      </c>
      <c r="H388">
        <v>8</v>
      </c>
      <c r="I388">
        <v>49000</v>
      </c>
      <c r="J388" s="10" t="s">
        <v>279</v>
      </c>
      <c r="K388" s="10">
        <v>49000</v>
      </c>
      <c r="L388" s="10">
        <v>98000</v>
      </c>
      <c r="M388" s="12" t="s">
        <v>249</v>
      </c>
    </row>
    <row r="389" spans="1:13" ht="16.8" x14ac:dyDescent="0.3">
      <c r="A389" s="7" t="s">
        <v>467</v>
      </c>
      <c r="B389" s="8">
        <v>44863</v>
      </c>
      <c r="C389" s="15" t="s">
        <v>6</v>
      </c>
      <c r="D389" s="10" t="s">
        <v>222</v>
      </c>
      <c r="E389">
        <v>1</v>
      </c>
      <c r="F389">
        <v>69000</v>
      </c>
      <c r="G389">
        <v>65000</v>
      </c>
      <c r="H389">
        <v>11</v>
      </c>
      <c r="I389">
        <v>61410</v>
      </c>
      <c r="J389" s="10" t="s">
        <v>278</v>
      </c>
      <c r="K389" s="10">
        <v>61410</v>
      </c>
      <c r="L389" s="10">
        <v>61410</v>
      </c>
      <c r="M389" s="12" t="s">
        <v>240</v>
      </c>
    </row>
    <row r="390" spans="1:13" ht="16.8" x14ac:dyDescent="0.3">
      <c r="A390" s="7" t="s">
        <v>468</v>
      </c>
      <c r="B390" s="8">
        <v>44936</v>
      </c>
      <c r="C390" s="15" t="s">
        <v>275</v>
      </c>
      <c r="D390" s="10" t="s">
        <v>222</v>
      </c>
      <c r="E390">
        <v>3</v>
      </c>
      <c r="F390">
        <v>55000</v>
      </c>
      <c r="G390">
        <v>65000</v>
      </c>
      <c r="H390">
        <v>10</v>
      </c>
      <c r="I390">
        <v>65000</v>
      </c>
      <c r="J390" s="10" t="s">
        <v>279</v>
      </c>
      <c r="K390" s="10">
        <v>65000</v>
      </c>
      <c r="L390" s="10">
        <v>195000</v>
      </c>
      <c r="M390" s="12" t="s">
        <v>13</v>
      </c>
    </row>
    <row r="391" spans="1:13" ht="16.8" x14ac:dyDescent="0.3">
      <c r="A391" s="7" t="s">
        <v>469</v>
      </c>
      <c r="B391" s="8">
        <v>45073</v>
      </c>
      <c r="C391" s="15" t="s">
        <v>6</v>
      </c>
      <c r="D391" s="10" t="s">
        <v>222</v>
      </c>
      <c r="E391">
        <v>2</v>
      </c>
      <c r="F391">
        <v>55000</v>
      </c>
      <c r="G391">
        <v>65000</v>
      </c>
      <c r="H391">
        <v>11</v>
      </c>
      <c r="I391">
        <v>48950</v>
      </c>
      <c r="J391" s="10" t="s">
        <v>278</v>
      </c>
      <c r="K391" s="10">
        <v>48950</v>
      </c>
      <c r="L391" s="10">
        <v>97900</v>
      </c>
      <c r="M391" s="12" t="s">
        <v>228</v>
      </c>
    </row>
    <row r="392" spans="1:13" ht="16.8" x14ac:dyDescent="0.3">
      <c r="A392" s="7" t="s">
        <v>470</v>
      </c>
      <c r="B392" s="8">
        <v>45070</v>
      </c>
      <c r="C392" s="15" t="s">
        <v>270</v>
      </c>
      <c r="D392" s="10" t="s">
        <v>224</v>
      </c>
      <c r="E392">
        <v>2</v>
      </c>
      <c r="F392">
        <v>35000</v>
      </c>
      <c r="G392">
        <v>59000</v>
      </c>
      <c r="H392">
        <v>7</v>
      </c>
      <c r="I392">
        <v>32549.999999999996</v>
      </c>
      <c r="J392" s="10" t="s">
        <v>278</v>
      </c>
      <c r="K392" s="10">
        <v>32549.999999999996</v>
      </c>
      <c r="L392" s="10">
        <v>65099.999999999993</v>
      </c>
      <c r="M392" s="12" t="s">
        <v>244</v>
      </c>
    </row>
    <row r="393" spans="1:13" ht="16.8" x14ac:dyDescent="0.3">
      <c r="A393" s="7" t="s">
        <v>471</v>
      </c>
      <c r="B393" s="8">
        <v>44695</v>
      </c>
      <c r="C393" s="15" t="s">
        <v>5</v>
      </c>
      <c r="D393" s="10" t="s">
        <v>223</v>
      </c>
      <c r="E393">
        <v>4</v>
      </c>
      <c r="F393">
        <v>59000</v>
      </c>
      <c r="G393">
        <v>69000</v>
      </c>
      <c r="H393">
        <v>13</v>
      </c>
      <c r="I393">
        <v>69000</v>
      </c>
      <c r="J393" s="10" t="s">
        <v>279</v>
      </c>
      <c r="K393" s="10">
        <v>69000</v>
      </c>
      <c r="L393" s="10">
        <v>276000</v>
      </c>
      <c r="M393" s="12" t="s">
        <v>251</v>
      </c>
    </row>
    <row r="394" spans="1:13" ht="16.8" x14ac:dyDescent="0.3">
      <c r="A394" s="7" t="s">
        <v>472</v>
      </c>
      <c r="B394" s="8">
        <v>44534</v>
      </c>
      <c r="C394" s="15" t="s">
        <v>274</v>
      </c>
      <c r="D394" s="10" t="s">
        <v>224</v>
      </c>
      <c r="E394">
        <v>2</v>
      </c>
      <c r="F394">
        <v>55000</v>
      </c>
      <c r="G394">
        <v>55000</v>
      </c>
      <c r="H394">
        <v>11</v>
      </c>
      <c r="I394">
        <v>48950</v>
      </c>
      <c r="J394" s="10" t="s">
        <v>278</v>
      </c>
      <c r="K394" s="10">
        <v>48950</v>
      </c>
      <c r="L394" s="10">
        <v>97900</v>
      </c>
      <c r="M394" s="12" t="s">
        <v>259</v>
      </c>
    </row>
    <row r="395" spans="1:13" ht="16.8" x14ac:dyDescent="0.3">
      <c r="A395" s="7" t="s">
        <v>473</v>
      </c>
      <c r="B395" s="8">
        <v>44963</v>
      </c>
      <c r="C395" s="15" t="s">
        <v>3</v>
      </c>
      <c r="D395" s="10" t="s">
        <v>223</v>
      </c>
      <c r="E395">
        <v>1</v>
      </c>
      <c r="F395">
        <v>59000</v>
      </c>
      <c r="G395">
        <v>49000</v>
      </c>
      <c r="H395">
        <v>12</v>
      </c>
      <c r="I395">
        <v>51920</v>
      </c>
      <c r="J395" s="10" t="s">
        <v>278</v>
      </c>
      <c r="K395" s="10">
        <v>51920</v>
      </c>
      <c r="L395" s="10">
        <v>51920</v>
      </c>
      <c r="M395" s="12" t="s">
        <v>236</v>
      </c>
    </row>
    <row r="396" spans="1:13" ht="16.8" x14ac:dyDescent="0.3">
      <c r="A396" s="7" t="s">
        <v>474</v>
      </c>
      <c r="B396" s="8">
        <v>45268</v>
      </c>
      <c r="C396" s="15" t="s">
        <v>271</v>
      </c>
      <c r="D396" s="10" t="s">
        <v>222</v>
      </c>
      <c r="E396">
        <v>3</v>
      </c>
      <c r="F396">
        <v>59000</v>
      </c>
      <c r="G396">
        <v>59000</v>
      </c>
      <c r="H396">
        <v>10</v>
      </c>
      <c r="I396">
        <v>59000</v>
      </c>
      <c r="J396" s="10" t="s">
        <v>279</v>
      </c>
      <c r="K396" s="10">
        <v>59000</v>
      </c>
      <c r="L396" s="10">
        <v>177000</v>
      </c>
      <c r="M396" s="12" t="s">
        <v>19</v>
      </c>
    </row>
    <row r="397" spans="1:13" ht="16.8" x14ac:dyDescent="0.3">
      <c r="A397" s="7" t="s">
        <v>475</v>
      </c>
      <c r="B397" s="8">
        <v>44460</v>
      </c>
      <c r="C397" s="15" t="s">
        <v>271</v>
      </c>
      <c r="D397" s="10" t="s">
        <v>222</v>
      </c>
      <c r="E397">
        <v>2</v>
      </c>
      <c r="F397">
        <v>35000</v>
      </c>
      <c r="G397">
        <v>49000</v>
      </c>
      <c r="H397">
        <v>9</v>
      </c>
      <c r="I397">
        <v>31850</v>
      </c>
      <c r="J397" s="10" t="s">
        <v>278</v>
      </c>
      <c r="K397" s="10">
        <v>31850</v>
      </c>
      <c r="L397" s="10">
        <v>63700</v>
      </c>
      <c r="M397" s="12" t="s">
        <v>234</v>
      </c>
    </row>
    <row r="398" spans="1:13" ht="16.8" x14ac:dyDescent="0.3">
      <c r="A398" s="7" t="s">
        <v>476</v>
      </c>
      <c r="B398" s="8">
        <v>44869</v>
      </c>
      <c r="C398" s="15" t="s">
        <v>5</v>
      </c>
      <c r="D398" s="10" t="s">
        <v>222</v>
      </c>
      <c r="E398">
        <v>5</v>
      </c>
      <c r="F398">
        <v>65000</v>
      </c>
      <c r="G398">
        <v>69000</v>
      </c>
      <c r="H398">
        <v>6</v>
      </c>
      <c r="I398">
        <v>61100</v>
      </c>
      <c r="J398" s="10" t="s">
        <v>278</v>
      </c>
      <c r="K398" s="10">
        <v>61100</v>
      </c>
      <c r="L398" s="10">
        <v>305500</v>
      </c>
      <c r="M398" s="12" t="s">
        <v>246</v>
      </c>
    </row>
    <row r="399" spans="1:13" ht="16.8" x14ac:dyDescent="0.3">
      <c r="A399" s="7" t="s">
        <v>477</v>
      </c>
      <c r="B399" s="8">
        <v>45008</v>
      </c>
      <c r="C399" s="15" t="s">
        <v>274</v>
      </c>
      <c r="D399" s="10" t="s">
        <v>222</v>
      </c>
      <c r="E399">
        <v>4</v>
      </c>
      <c r="F399">
        <v>65000</v>
      </c>
      <c r="G399">
        <v>49000</v>
      </c>
      <c r="H399">
        <v>15</v>
      </c>
      <c r="I399">
        <v>49000</v>
      </c>
      <c r="J399" s="10" t="s">
        <v>279</v>
      </c>
      <c r="K399" s="10">
        <v>49000</v>
      </c>
      <c r="L399" s="10">
        <v>196000</v>
      </c>
      <c r="M399" s="12" t="s">
        <v>246</v>
      </c>
    </row>
    <row r="400" spans="1:13" ht="16.8" x14ac:dyDescent="0.3">
      <c r="A400" s="7" t="s">
        <v>478</v>
      </c>
      <c r="B400" s="8">
        <v>44265</v>
      </c>
      <c r="C400" s="15" t="s">
        <v>275</v>
      </c>
      <c r="D400" s="10" t="s">
        <v>223</v>
      </c>
      <c r="E400">
        <v>3</v>
      </c>
      <c r="F400">
        <v>49000</v>
      </c>
      <c r="G400">
        <v>49000</v>
      </c>
      <c r="H400">
        <v>12</v>
      </c>
      <c r="I400">
        <v>43120</v>
      </c>
      <c r="J400" s="10" t="s">
        <v>278</v>
      </c>
      <c r="K400" s="10">
        <v>43120</v>
      </c>
      <c r="L400" s="10">
        <v>129360</v>
      </c>
      <c r="M400" s="12" t="s">
        <v>259</v>
      </c>
    </row>
    <row r="401" spans="1:13" ht="16.8" x14ac:dyDescent="0.3">
      <c r="A401" s="7" t="s">
        <v>479</v>
      </c>
      <c r="B401" s="8">
        <v>44469</v>
      </c>
      <c r="C401" s="15" t="s">
        <v>273</v>
      </c>
      <c r="D401" s="10" t="s">
        <v>222</v>
      </c>
      <c r="E401">
        <v>1</v>
      </c>
      <c r="F401">
        <v>65000</v>
      </c>
      <c r="G401">
        <v>49000</v>
      </c>
      <c r="H401">
        <v>8</v>
      </c>
      <c r="I401">
        <v>59800</v>
      </c>
      <c r="J401" s="10" t="s">
        <v>278</v>
      </c>
      <c r="K401" s="10">
        <v>59800</v>
      </c>
      <c r="L401" s="10">
        <v>59800</v>
      </c>
      <c r="M401" s="12" t="s">
        <v>247</v>
      </c>
    </row>
    <row r="402" spans="1:13" ht="16.8" x14ac:dyDescent="0.3">
      <c r="A402" s="7" t="s">
        <v>480</v>
      </c>
      <c r="B402" s="8">
        <v>44206</v>
      </c>
      <c r="C402" s="15" t="s">
        <v>275</v>
      </c>
      <c r="D402" s="10" t="s">
        <v>224</v>
      </c>
      <c r="E402">
        <v>3</v>
      </c>
      <c r="F402">
        <v>49000</v>
      </c>
      <c r="G402">
        <v>65000</v>
      </c>
      <c r="H402">
        <v>5</v>
      </c>
      <c r="I402">
        <v>46550</v>
      </c>
      <c r="J402" s="10" t="s">
        <v>278</v>
      </c>
      <c r="K402" s="10">
        <v>46550</v>
      </c>
      <c r="L402" s="10">
        <v>139650</v>
      </c>
      <c r="M402" s="12" t="s">
        <v>243</v>
      </c>
    </row>
    <row r="403" spans="1:13" ht="16.8" x14ac:dyDescent="0.3">
      <c r="A403" s="7" t="s">
        <v>481</v>
      </c>
      <c r="B403" s="8">
        <v>44782</v>
      </c>
      <c r="C403" s="15" t="s">
        <v>3</v>
      </c>
      <c r="D403" s="10" t="s">
        <v>224</v>
      </c>
      <c r="E403">
        <v>5</v>
      </c>
      <c r="F403">
        <v>59000</v>
      </c>
      <c r="G403">
        <v>69000</v>
      </c>
      <c r="H403">
        <v>10</v>
      </c>
      <c r="I403">
        <v>69000</v>
      </c>
      <c r="J403" s="10" t="s">
        <v>279</v>
      </c>
      <c r="K403" s="10">
        <v>69000</v>
      </c>
      <c r="L403" s="10">
        <v>345000</v>
      </c>
      <c r="M403" s="12" t="s">
        <v>245</v>
      </c>
    </row>
    <row r="404" spans="1:13" ht="16.8" x14ac:dyDescent="0.3">
      <c r="A404" s="7" t="s">
        <v>482</v>
      </c>
      <c r="B404" s="8">
        <v>44520</v>
      </c>
      <c r="C404" s="15" t="s">
        <v>5</v>
      </c>
      <c r="D404" s="10" t="s">
        <v>224</v>
      </c>
      <c r="E404">
        <v>5</v>
      </c>
      <c r="F404">
        <v>49000</v>
      </c>
      <c r="G404">
        <v>55000</v>
      </c>
      <c r="H404">
        <v>15</v>
      </c>
      <c r="I404">
        <v>55000</v>
      </c>
      <c r="J404" s="10" t="s">
        <v>279</v>
      </c>
      <c r="K404" s="10">
        <v>55000</v>
      </c>
      <c r="L404" s="10">
        <v>275000</v>
      </c>
      <c r="M404" s="12" t="s">
        <v>262</v>
      </c>
    </row>
    <row r="405" spans="1:13" ht="16.8" x14ac:dyDescent="0.3">
      <c r="A405" s="7" t="s">
        <v>483</v>
      </c>
      <c r="B405" s="8">
        <v>45147</v>
      </c>
      <c r="C405" s="15" t="s">
        <v>274</v>
      </c>
      <c r="D405" s="10" t="s">
        <v>222</v>
      </c>
      <c r="E405">
        <v>2</v>
      </c>
      <c r="F405">
        <v>59000</v>
      </c>
      <c r="G405">
        <v>59000</v>
      </c>
      <c r="H405">
        <v>8</v>
      </c>
      <c r="I405">
        <v>59000</v>
      </c>
      <c r="J405" s="10" t="s">
        <v>279</v>
      </c>
      <c r="K405" s="10">
        <v>59000</v>
      </c>
      <c r="L405" s="10">
        <v>118000</v>
      </c>
      <c r="M405" s="12" t="s">
        <v>237</v>
      </c>
    </row>
    <row r="406" spans="1:13" ht="16.8" x14ac:dyDescent="0.3">
      <c r="A406" s="7" t="s">
        <v>484</v>
      </c>
      <c r="B406" s="8">
        <v>44688</v>
      </c>
      <c r="C406" s="15" t="s">
        <v>275</v>
      </c>
      <c r="D406" s="10" t="s">
        <v>222</v>
      </c>
      <c r="E406">
        <v>2</v>
      </c>
      <c r="F406">
        <v>59000</v>
      </c>
      <c r="G406">
        <v>55000</v>
      </c>
      <c r="H406">
        <v>12</v>
      </c>
      <c r="I406">
        <v>51920</v>
      </c>
      <c r="J406" s="10" t="s">
        <v>278</v>
      </c>
      <c r="K406" s="10">
        <v>51920</v>
      </c>
      <c r="L406" s="10">
        <v>103840</v>
      </c>
      <c r="M406" s="12" t="s">
        <v>242</v>
      </c>
    </row>
    <row r="407" spans="1:13" ht="16.8" x14ac:dyDescent="0.3">
      <c r="A407" s="7" t="s">
        <v>485</v>
      </c>
      <c r="B407" s="8">
        <v>45138</v>
      </c>
      <c r="C407" s="15" t="s">
        <v>274</v>
      </c>
      <c r="D407" s="10" t="s">
        <v>222</v>
      </c>
      <c r="E407">
        <v>3</v>
      </c>
      <c r="F407">
        <v>35000</v>
      </c>
      <c r="G407">
        <v>65000</v>
      </c>
      <c r="H407">
        <v>12</v>
      </c>
      <c r="I407">
        <v>30800</v>
      </c>
      <c r="J407" s="10" t="s">
        <v>278</v>
      </c>
      <c r="K407" s="10">
        <v>30800</v>
      </c>
      <c r="L407" s="10">
        <v>92400</v>
      </c>
      <c r="M407" s="12" t="s">
        <v>230</v>
      </c>
    </row>
    <row r="408" spans="1:13" ht="16.8" x14ac:dyDescent="0.3">
      <c r="A408" s="7" t="s">
        <v>486</v>
      </c>
      <c r="B408" s="8">
        <v>44514</v>
      </c>
      <c r="C408" s="15" t="s">
        <v>272</v>
      </c>
      <c r="D408" s="10" t="s">
        <v>224</v>
      </c>
      <c r="E408">
        <v>1</v>
      </c>
      <c r="F408">
        <v>59000</v>
      </c>
      <c r="G408">
        <v>59000</v>
      </c>
      <c r="H408">
        <v>11</v>
      </c>
      <c r="I408">
        <v>52510</v>
      </c>
      <c r="J408" s="10" t="s">
        <v>278</v>
      </c>
      <c r="K408" s="10">
        <v>52510</v>
      </c>
      <c r="L408" s="10">
        <v>52510</v>
      </c>
      <c r="M408" s="12" t="s">
        <v>258</v>
      </c>
    </row>
    <row r="409" spans="1:13" ht="16.8" x14ac:dyDescent="0.3">
      <c r="A409" s="7" t="s">
        <v>487</v>
      </c>
      <c r="B409" s="8">
        <v>44347</v>
      </c>
      <c r="C409" s="15" t="s">
        <v>274</v>
      </c>
      <c r="D409" s="10" t="s">
        <v>224</v>
      </c>
      <c r="E409">
        <v>3</v>
      </c>
      <c r="F409">
        <v>49000</v>
      </c>
      <c r="G409">
        <v>35000</v>
      </c>
      <c r="H409">
        <v>13</v>
      </c>
      <c r="I409">
        <v>42630</v>
      </c>
      <c r="J409" s="10" t="s">
        <v>278</v>
      </c>
      <c r="K409" s="10">
        <v>42630</v>
      </c>
      <c r="L409" s="10">
        <v>127890</v>
      </c>
      <c r="M409" s="12" t="s">
        <v>10</v>
      </c>
    </row>
    <row r="410" spans="1:13" ht="16.8" x14ac:dyDescent="0.3">
      <c r="A410" s="7" t="s">
        <v>488</v>
      </c>
      <c r="B410" s="8">
        <v>44650</v>
      </c>
      <c r="C410" s="15" t="s">
        <v>272</v>
      </c>
      <c r="D410" s="10" t="s">
        <v>222</v>
      </c>
      <c r="E410">
        <v>4</v>
      </c>
      <c r="F410">
        <v>49000</v>
      </c>
      <c r="G410">
        <v>55000</v>
      </c>
      <c r="H410">
        <v>7</v>
      </c>
      <c r="I410">
        <v>55000</v>
      </c>
      <c r="J410" s="10" t="s">
        <v>279</v>
      </c>
      <c r="K410" s="10">
        <v>55000</v>
      </c>
      <c r="L410" s="10">
        <v>220000</v>
      </c>
      <c r="M410" s="12" t="s">
        <v>21</v>
      </c>
    </row>
    <row r="411" spans="1:13" ht="16.8" x14ac:dyDescent="0.3">
      <c r="A411" s="7" t="s">
        <v>489</v>
      </c>
      <c r="B411" s="8">
        <v>44715</v>
      </c>
      <c r="C411" s="15" t="s">
        <v>3</v>
      </c>
      <c r="D411" s="10" t="s">
        <v>223</v>
      </c>
      <c r="E411">
        <v>5</v>
      </c>
      <c r="F411">
        <v>59000</v>
      </c>
      <c r="G411">
        <v>49000</v>
      </c>
      <c r="H411">
        <v>6</v>
      </c>
      <c r="I411">
        <v>55460</v>
      </c>
      <c r="J411" s="10" t="s">
        <v>278</v>
      </c>
      <c r="K411" s="10">
        <v>55460</v>
      </c>
      <c r="L411" s="10">
        <v>277300</v>
      </c>
      <c r="M411" s="12" t="s">
        <v>259</v>
      </c>
    </row>
    <row r="412" spans="1:13" ht="16.8" x14ac:dyDescent="0.3">
      <c r="A412" s="7" t="s">
        <v>490</v>
      </c>
      <c r="B412" s="8">
        <v>44281</v>
      </c>
      <c r="C412" s="15" t="s">
        <v>274</v>
      </c>
      <c r="D412" s="10" t="s">
        <v>222</v>
      </c>
      <c r="E412">
        <v>1</v>
      </c>
      <c r="F412">
        <v>69000</v>
      </c>
      <c r="G412">
        <v>39000</v>
      </c>
      <c r="H412">
        <v>13</v>
      </c>
      <c r="I412">
        <v>39000</v>
      </c>
      <c r="J412" s="10" t="s">
        <v>279</v>
      </c>
      <c r="K412" s="10">
        <v>39000</v>
      </c>
      <c r="L412" s="10">
        <v>39000</v>
      </c>
      <c r="M412" s="12" t="s">
        <v>235</v>
      </c>
    </row>
    <row r="413" spans="1:13" ht="16.8" x14ac:dyDescent="0.3">
      <c r="A413" s="7" t="s">
        <v>491</v>
      </c>
      <c r="B413" s="8">
        <v>45275</v>
      </c>
      <c r="C413" s="15" t="s">
        <v>5</v>
      </c>
      <c r="D413" s="10" t="s">
        <v>224</v>
      </c>
      <c r="E413">
        <v>3</v>
      </c>
      <c r="F413">
        <v>35000</v>
      </c>
      <c r="G413">
        <v>59000</v>
      </c>
      <c r="H413">
        <v>11</v>
      </c>
      <c r="I413">
        <v>31150</v>
      </c>
      <c r="J413" s="10" t="s">
        <v>278</v>
      </c>
      <c r="K413" s="10">
        <v>31150</v>
      </c>
      <c r="L413" s="10">
        <v>93450</v>
      </c>
      <c r="M413" s="12" t="s">
        <v>18</v>
      </c>
    </row>
    <row r="414" spans="1:13" ht="16.8" x14ac:dyDescent="0.3">
      <c r="A414" s="7" t="s">
        <v>492</v>
      </c>
      <c r="B414" s="8">
        <v>44434</v>
      </c>
      <c r="C414" s="15" t="s">
        <v>272</v>
      </c>
      <c r="D414" s="10" t="s">
        <v>224</v>
      </c>
      <c r="E414">
        <v>3</v>
      </c>
      <c r="F414">
        <v>69000</v>
      </c>
      <c r="G414">
        <v>59000</v>
      </c>
      <c r="H414">
        <v>9</v>
      </c>
      <c r="I414">
        <v>62790</v>
      </c>
      <c r="J414" s="10" t="s">
        <v>278</v>
      </c>
      <c r="K414" s="10">
        <v>62790</v>
      </c>
      <c r="L414" s="10">
        <v>188370</v>
      </c>
      <c r="M414" s="12" t="s">
        <v>246</v>
      </c>
    </row>
    <row r="415" spans="1:13" ht="16.8" x14ac:dyDescent="0.3">
      <c r="A415" s="7" t="s">
        <v>493</v>
      </c>
      <c r="B415" s="8">
        <v>44654</v>
      </c>
      <c r="C415" s="15" t="s">
        <v>5</v>
      </c>
      <c r="D415" s="10" t="s">
        <v>223</v>
      </c>
      <c r="E415">
        <v>2</v>
      </c>
      <c r="F415">
        <v>59000</v>
      </c>
      <c r="G415">
        <v>59000</v>
      </c>
      <c r="H415">
        <v>11</v>
      </c>
      <c r="I415">
        <v>52510</v>
      </c>
      <c r="J415" s="10" t="s">
        <v>278</v>
      </c>
      <c r="K415" s="10">
        <v>52510</v>
      </c>
      <c r="L415" s="10">
        <v>105020</v>
      </c>
      <c r="M415" s="12" t="s">
        <v>229</v>
      </c>
    </row>
    <row r="416" spans="1:13" ht="16.8" x14ac:dyDescent="0.3">
      <c r="A416" s="7" t="s">
        <v>494</v>
      </c>
      <c r="B416" s="8">
        <v>44331</v>
      </c>
      <c r="C416" s="15" t="s">
        <v>274</v>
      </c>
      <c r="D416" s="10" t="s">
        <v>224</v>
      </c>
      <c r="E416">
        <v>1</v>
      </c>
      <c r="F416">
        <v>65000</v>
      </c>
      <c r="G416">
        <v>65000</v>
      </c>
      <c r="H416">
        <v>8</v>
      </c>
      <c r="I416">
        <v>65000</v>
      </c>
      <c r="J416" s="10" t="s">
        <v>279</v>
      </c>
      <c r="K416" s="10">
        <v>65000</v>
      </c>
      <c r="L416" s="10">
        <v>65000</v>
      </c>
      <c r="M416" s="12" t="s">
        <v>12</v>
      </c>
    </row>
    <row r="417" spans="1:13" ht="16.8" x14ac:dyDescent="0.3">
      <c r="A417" s="7" t="s">
        <v>495</v>
      </c>
      <c r="B417" s="8">
        <v>44822</v>
      </c>
      <c r="C417" s="15" t="s">
        <v>5</v>
      </c>
      <c r="D417" s="10" t="s">
        <v>222</v>
      </c>
      <c r="E417">
        <v>3</v>
      </c>
      <c r="F417">
        <v>35000</v>
      </c>
      <c r="G417">
        <v>49000</v>
      </c>
      <c r="H417">
        <v>8</v>
      </c>
      <c r="I417">
        <v>32200</v>
      </c>
      <c r="J417" s="10" t="s">
        <v>278</v>
      </c>
      <c r="K417" s="10">
        <v>32200</v>
      </c>
      <c r="L417" s="10">
        <v>96600</v>
      </c>
      <c r="M417" s="12" t="s">
        <v>236</v>
      </c>
    </row>
    <row r="418" spans="1:13" ht="16.8" x14ac:dyDescent="0.3">
      <c r="A418" s="7" t="s">
        <v>496</v>
      </c>
      <c r="B418" s="8">
        <v>45120</v>
      </c>
      <c r="C418" s="15" t="s">
        <v>274</v>
      </c>
      <c r="D418" s="10" t="s">
        <v>223</v>
      </c>
      <c r="E418">
        <v>5</v>
      </c>
      <c r="F418">
        <v>65000</v>
      </c>
      <c r="G418">
        <v>69000</v>
      </c>
      <c r="H418">
        <v>11</v>
      </c>
      <c r="I418">
        <v>57850</v>
      </c>
      <c r="J418" s="10" t="s">
        <v>278</v>
      </c>
      <c r="K418" s="10">
        <v>57850</v>
      </c>
      <c r="L418" s="10">
        <v>289250</v>
      </c>
      <c r="M418" s="12" t="s">
        <v>248</v>
      </c>
    </row>
    <row r="419" spans="1:13" ht="16.8" x14ac:dyDescent="0.3">
      <c r="A419" s="7" t="s">
        <v>497</v>
      </c>
      <c r="B419" s="8">
        <v>45078</v>
      </c>
      <c r="C419" s="15" t="s">
        <v>274</v>
      </c>
      <c r="D419" s="10" t="s">
        <v>223</v>
      </c>
      <c r="E419">
        <v>5</v>
      </c>
      <c r="F419">
        <v>29000</v>
      </c>
      <c r="G419">
        <v>65000</v>
      </c>
      <c r="H419">
        <v>8</v>
      </c>
      <c r="I419">
        <v>26680</v>
      </c>
      <c r="J419" s="10" t="s">
        <v>278</v>
      </c>
      <c r="K419" s="10">
        <v>26680</v>
      </c>
      <c r="L419" s="10">
        <v>133400</v>
      </c>
      <c r="M419" s="12" t="s">
        <v>228</v>
      </c>
    </row>
    <row r="420" spans="1:13" ht="16.8" x14ac:dyDescent="0.3">
      <c r="A420" s="7" t="s">
        <v>498</v>
      </c>
      <c r="B420" s="8">
        <v>44635</v>
      </c>
      <c r="C420" s="15" t="s">
        <v>5</v>
      </c>
      <c r="D420" s="10" t="s">
        <v>223</v>
      </c>
      <c r="E420">
        <v>4</v>
      </c>
      <c r="F420">
        <v>35000</v>
      </c>
      <c r="G420">
        <v>39000</v>
      </c>
      <c r="H420">
        <v>8</v>
      </c>
      <c r="I420">
        <v>32200</v>
      </c>
      <c r="J420" s="10" t="s">
        <v>278</v>
      </c>
      <c r="K420" s="10">
        <v>32200</v>
      </c>
      <c r="L420" s="10">
        <v>128800</v>
      </c>
      <c r="M420" s="12" t="s">
        <v>247</v>
      </c>
    </row>
    <row r="421" spans="1:13" ht="16.8" x14ac:dyDescent="0.3">
      <c r="A421" s="7" t="s">
        <v>499</v>
      </c>
      <c r="B421" s="8">
        <v>44472</v>
      </c>
      <c r="C421" s="15" t="s">
        <v>3</v>
      </c>
      <c r="D421" s="10" t="s">
        <v>222</v>
      </c>
      <c r="E421">
        <v>4</v>
      </c>
      <c r="F421">
        <v>59000</v>
      </c>
      <c r="G421">
        <v>65000</v>
      </c>
      <c r="H421">
        <v>6</v>
      </c>
      <c r="I421">
        <v>65000</v>
      </c>
      <c r="J421" s="10" t="s">
        <v>279</v>
      </c>
      <c r="K421" s="10">
        <v>65000</v>
      </c>
      <c r="L421" s="10">
        <v>260000</v>
      </c>
      <c r="M421" s="12" t="s">
        <v>238</v>
      </c>
    </row>
    <row r="422" spans="1:13" ht="16.8" x14ac:dyDescent="0.3">
      <c r="A422" s="7" t="s">
        <v>500</v>
      </c>
      <c r="B422" s="8">
        <v>44199</v>
      </c>
      <c r="C422" s="15" t="s">
        <v>270</v>
      </c>
      <c r="D422" s="10" t="s">
        <v>222</v>
      </c>
      <c r="E422">
        <v>5</v>
      </c>
      <c r="F422">
        <v>55000</v>
      </c>
      <c r="G422">
        <v>49000</v>
      </c>
      <c r="H422">
        <v>7</v>
      </c>
      <c r="I422">
        <v>49000</v>
      </c>
      <c r="J422" s="10" t="s">
        <v>279</v>
      </c>
      <c r="K422" s="10">
        <v>49000</v>
      </c>
      <c r="L422" s="10">
        <v>245000</v>
      </c>
      <c r="M422" s="12" t="s">
        <v>14</v>
      </c>
    </row>
    <row r="423" spans="1:13" ht="16.8" x14ac:dyDescent="0.3">
      <c r="A423" s="7" t="s">
        <v>501</v>
      </c>
      <c r="B423" s="8">
        <v>44907</v>
      </c>
      <c r="C423" s="15" t="s">
        <v>273</v>
      </c>
      <c r="D423" s="10" t="s">
        <v>222</v>
      </c>
      <c r="E423">
        <v>1</v>
      </c>
      <c r="F423">
        <v>59000</v>
      </c>
      <c r="G423">
        <v>75000</v>
      </c>
      <c r="H423">
        <v>14</v>
      </c>
      <c r="I423">
        <v>75000</v>
      </c>
      <c r="J423" s="10" t="s">
        <v>279</v>
      </c>
      <c r="K423" s="10">
        <v>75000</v>
      </c>
      <c r="L423" s="10">
        <v>75000</v>
      </c>
      <c r="M423" s="12" t="s">
        <v>252</v>
      </c>
    </row>
    <row r="424" spans="1:13" ht="16.8" x14ac:dyDescent="0.3">
      <c r="A424" s="7" t="s">
        <v>502</v>
      </c>
      <c r="B424" s="8">
        <v>44888</v>
      </c>
      <c r="C424" s="15" t="s">
        <v>270</v>
      </c>
      <c r="D424" s="10" t="s">
        <v>222</v>
      </c>
      <c r="E424">
        <v>3</v>
      </c>
      <c r="F424">
        <v>59000</v>
      </c>
      <c r="G424">
        <v>35000</v>
      </c>
      <c r="H424">
        <v>7</v>
      </c>
      <c r="I424">
        <v>35000</v>
      </c>
      <c r="J424" s="10" t="s">
        <v>279</v>
      </c>
      <c r="K424" s="10">
        <v>35000</v>
      </c>
      <c r="L424" s="10">
        <v>105000</v>
      </c>
      <c r="M424" s="12" t="s">
        <v>249</v>
      </c>
    </row>
    <row r="425" spans="1:13" ht="16.8" x14ac:dyDescent="0.3">
      <c r="A425" s="7" t="s">
        <v>503</v>
      </c>
      <c r="B425" s="8">
        <v>44276</v>
      </c>
      <c r="C425" s="15" t="s">
        <v>275</v>
      </c>
      <c r="D425" s="10" t="s">
        <v>224</v>
      </c>
      <c r="E425">
        <v>3</v>
      </c>
      <c r="F425">
        <v>49000</v>
      </c>
      <c r="G425">
        <v>49000</v>
      </c>
      <c r="H425">
        <v>14</v>
      </c>
      <c r="I425">
        <v>42140</v>
      </c>
      <c r="J425" s="10" t="s">
        <v>278</v>
      </c>
      <c r="K425" s="10">
        <v>42140</v>
      </c>
      <c r="L425" s="10">
        <v>126420</v>
      </c>
      <c r="M425" s="12" t="s">
        <v>257</v>
      </c>
    </row>
    <row r="426" spans="1:13" ht="16.8" x14ac:dyDescent="0.3">
      <c r="A426" s="7" t="s">
        <v>504</v>
      </c>
      <c r="B426" s="8">
        <v>44257</v>
      </c>
      <c r="C426" s="15" t="s">
        <v>271</v>
      </c>
      <c r="D426" s="10" t="s">
        <v>223</v>
      </c>
      <c r="E426">
        <v>2</v>
      </c>
      <c r="F426">
        <v>55000</v>
      </c>
      <c r="G426">
        <v>69000</v>
      </c>
      <c r="H426">
        <v>12</v>
      </c>
      <c r="I426">
        <v>69000</v>
      </c>
      <c r="J426" s="10" t="s">
        <v>279</v>
      </c>
      <c r="K426" s="10">
        <v>69000</v>
      </c>
      <c r="L426" s="10">
        <v>138000</v>
      </c>
      <c r="M426" s="12" t="s">
        <v>249</v>
      </c>
    </row>
    <row r="427" spans="1:13" ht="16.8" x14ac:dyDescent="0.3">
      <c r="A427" s="7" t="s">
        <v>505</v>
      </c>
      <c r="B427" s="8">
        <v>44352</v>
      </c>
      <c r="C427" s="15" t="s">
        <v>274</v>
      </c>
      <c r="D427" s="10" t="s">
        <v>222</v>
      </c>
      <c r="E427">
        <v>3</v>
      </c>
      <c r="F427">
        <v>59000</v>
      </c>
      <c r="G427">
        <v>59000</v>
      </c>
      <c r="H427">
        <v>5</v>
      </c>
      <c r="I427">
        <v>59000</v>
      </c>
      <c r="J427" s="10" t="s">
        <v>279</v>
      </c>
      <c r="K427" s="10">
        <v>59000</v>
      </c>
      <c r="L427" s="10">
        <v>177000</v>
      </c>
      <c r="M427" s="12" t="s">
        <v>262</v>
      </c>
    </row>
    <row r="428" spans="1:13" ht="16.8" x14ac:dyDescent="0.3">
      <c r="A428" s="7" t="s">
        <v>506</v>
      </c>
      <c r="B428" s="8">
        <v>44740</v>
      </c>
      <c r="C428" s="15" t="s">
        <v>5</v>
      </c>
      <c r="D428" s="10" t="s">
        <v>224</v>
      </c>
      <c r="E428">
        <v>3</v>
      </c>
      <c r="F428">
        <v>59000</v>
      </c>
      <c r="G428">
        <v>59000</v>
      </c>
      <c r="H428">
        <v>14</v>
      </c>
      <c r="I428">
        <v>50740</v>
      </c>
      <c r="J428" s="10" t="s">
        <v>278</v>
      </c>
      <c r="K428" s="10">
        <v>50740</v>
      </c>
      <c r="L428" s="10">
        <v>152220</v>
      </c>
      <c r="M428" s="12" t="s">
        <v>229</v>
      </c>
    </row>
    <row r="429" spans="1:13" ht="16.8" x14ac:dyDescent="0.3">
      <c r="A429" s="7" t="s">
        <v>507</v>
      </c>
      <c r="B429" s="8">
        <v>44564</v>
      </c>
      <c r="C429" s="15" t="s">
        <v>272</v>
      </c>
      <c r="D429" s="10" t="s">
        <v>224</v>
      </c>
      <c r="E429">
        <v>3</v>
      </c>
      <c r="F429">
        <v>65000</v>
      </c>
      <c r="G429">
        <v>75000</v>
      </c>
      <c r="H429">
        <v>9</v>
      </c>
      <c r="I429">
        <v>59150</v>
      </c>
      <c r="J429" s="10" t="s">
        <v>278</v>
      </c>
      <c r="K429" s="10">
        <v>59150</v>
      </c>
      <c r="L429" s="10">
        <v>177450</v>
      </c>
      <c r="M429" s="12" t="s">
        <v>14</v>
      </c>
    </row>
    <row r="430" spans="1:13" ht="16.8" x14ac:dyDescent="0.3">
      <c r="A430" s="7" t="s">
        <v>508</v>
      </c>
      <c r="B430" s="8">
        <v>44248</v>
      </c>
      <c r="C430" s="15" t="s">
        <v>3</v>
      </c>
      <c r="D430" s="10" t="s">
        <v>224</v>
      </c>
      <c r="E430">
        <v>1</v>
      </c>
      <c r="F430">
        <v>59000</v>
      </c>
      <c r="G430">
        <v>65000</v>
      </c>
      <c r="H430">
        <v>14</v>
      </c>
      <c r="I430">
        <v>65000</v>
      </c>
      <c r="J430" s="10" t="s">
        <v>279</v>
      </c>
      <c r="K430" s="10">
        <v>65000</v>
      </c>
      <c r="L430" s="10">
        <v>65000</v>
      </c>
      <c r="M430" s="12" t="s">
        <v>226</v>
      </c>
    </row>
    <row r="431" spans="1:13" ht="16.8" x14ac:dyDescent="0.3">
      <c r="A431" s="7" t="s">
        <v>509</v>
      </c>
      <c r="B431" s="8">
        <v>44598</v>
      </c>
      <c r="C431" s="15" t="s">
        <v>272</v>
      </c>
      <c r="D431" s="10" t="s">
        <v>223</v>
      </c>
      <c r="E431">
        <v>1</v>
      </c>
      <c r="F431">
        <v>49000</v>
      </c>
      <c r="G431">
        <v>75000</v>
      </c>
      <c r="H431">
        <v>10</v>
      </c>
      <c r="I431">
        <v>75000</v>
      </c>
      <c r="J431" s="10" t="s">
        <v>279</v>
      </c>
      <c r="K431" s="10">
        <v>75000</v>
      </c>
      <c r="L431" s="10">
        <v>75000</v>
      </c>
      <c r="M431" s="12" t="s">
        <v>250</v>
      </c>
    </row>
    <row r="432" spans="1:13" ht="16.8" x14ac:dyDescent="0.3">
      <c r="A432" s="7" t="s">
        <v>510</v>
      </c>
      <c r="B432" s="8">
        <v>44369</v>
      </c>
      <c r="C432" s="15" t="s">
        <v>6</v>
      </c>
      <c r="D432" s="10" t="s">
        <v>224</v>
      </c>
      <c r="E432">
        <v>3</v>
      </c>
      <c r="F432">
        <v>39000</v>
      </c>
      <c r="G432">
        <v>69000</v>
      </c>
      <c r="H432">
        <v>15</v>
      </c>
      <c r="I432">
        <v>69000</v>
      </c>
      <c r="J432" s="10" t="s">
        <v>279</v>
      </c>
      <c r="K432" s="10">
        <v>69000</v>
      </c>
      <c r="L432" s="10">
        <v>207000</v>
      </c>
      <c r="M432" s="12" t="s">
        <v>16</v>
      </c>
    </row>
    <row r="433" spans="1:13" ht="16.8" x14ac:dyDescent="0.3">
      <c r="A433" s="7" t="s">
        <v>511</v>
      </c>
      <c r="B433" s="8">
        <v>44561</v>
      </c>
      <c r="C433" s="15" t="s">
        <v>275</v>
      </c>
      <c r="D433" s="10" t="s">
        <v>224</v>
      </c>
      <c r="E433">
        <v>4</v>
      </c>
      <c r="F433">
        <v>69000</v>
      </c>
      <c r="G433">
        <v>49000</v>
      </c>
      <c r="H433">
        <v>5</v>
      </c>
      <c r="I433">
        <v>65550</v>
      </c>
      <c r="J433" s="10" t="s">
        <v>278</v>
      </c>
      <c r="K433" s="10">
        <v>65550</v>
      </c>
      <c r="L433" s="10">
        <v>262200</v>
      </c>
      <c r="M433" s="12" t="s">
        <v>237</v>
      </c>
    </row>
    <row r="434" spans="1:13" ht="16.8" x14ac:dyDescent="0.3">
      <c r="A434" s="7" t="s">
        <v>512</v>
      </c>
      <c r="B434" s="8">
        <v>44626</v>
      </c>
      <c r="C434" s="15" t="s">
        <v>3</v>
      </c>
      <c r="D434" s="10" t="s">
        <v>222</v>
      </c>
      <c r="E434">
        <v>5</v>
      </c>
      <c r="F434">
        <v>65000</v>
      </c>
      <c r="G434">
        <v>49000</v>
      </c>
      <c r="H434">
        <v>8</v>
      </c>
      <c r="I434">
        <v>49000</v>
      </c>
      <c r="J434" s="10" t="s">
        <v>279</v>
      </c>
      <c r="K434" s="10">
        <v>49000</v>
      </c>
      <c r="L434" s="10">
        <v>245000</v>
      </c>
      <c r="M434" s="12" t="s">
        <v>254</v>
      </c>
    </row>
    <row r="435" spans="1:13" ht="16.8" x14ac:dyDescent="0.3">
      <c r="A435" s="7" t="s">
        <v>513</v>
      </c>
      <c r="B435" s="8">
        <v>44599</v>
      </c>
      <c r="C435" s="15" t="s">
        <v>272</v>
      </c>
      <c r="D435" s="10" t="s">
        <v>222</v>
      </c>
      <c r="E435">
        <v>4</v>
      </c>
      <c r="F435">
        <v>65000</v>
      </c>
      <c r="G435">
        <v>49000</v>
      </c>
      <c r="H435">
        <v>5</v>
      </c>
      <c r="I435">
        <v>49000</v>
      </c>
      <c r="J435" s="10" t="s">
        <v>279</v>
      </c>
      <c r="K435" s="10">
        <v>49000</v>
      </c>
      <c r="L435" s="10">
        <v>196000</v>
      </c>
      <c r="M435" s="12" t="s">
        <v>236</v>
      </c>
    </row>
    <row r="436" spans="1:13" ht="16.8" x14ac:dyDescent="0.3">
      <c r="A436" s="7" t="s">
        <v>514</v>
      </c>
      <c r="B436" s="8">
        <v>44383</v>
      </c>
      <c r="C436" s="15" t="s">
        <v>3</v>
      </c>
      <c r="D436" s="10" t="s">
        <v>224</v>
      </c>
      <c r="E436">
        <v>1</v>
      </c>
      <c r="F436">
        <v>65000</v>
      </c>
      <c r="G436">
        <v>49000</v>
      </c>
      <c r="H436">
        <v>9</v>
      </c>
      <c r="I436">
        <v>49000</v>
      </c>
      <c r="J436" s="10" t="s">
        <v>279</v>
      </c>
      <c r="K436" s="10">
        <v>49000</v>
      </c>
      <c r="L436" s="10">
        <v>49000</v>
      </c>
      <c r="M436" s="12" t="s">
        <v>241</v>
      </c>
    </row>
    <row r="437" spans="1:13" ht="16.8" x14ac:dyDescent="0.3">
      <c r="A437" s="7" t="s">
        <v>515</v>
      </c>
      <c r="B437" s="8">
        <v>44998</v>
      </c>
      <c r="C437" s="15" t="s">
        <v>271</v>
      </c>
      <c r="D437" s="10" t="s">
        <v>222</v>
      </c>
      <c r="E437">
        <v>2</v>
      </c>
      <c r="F437">
        <v>49000</v>
      </c>
      <c r="G437">
        <v>65000</v>
      </c>
      <c r="H437">
        <v>6</v>
      </c>
      <c r="I437">
        <v>46060</v>
      </c>
      <c r="J437" s="10" t="s">
        <v>278</v>
      </c>
      <c r="K437" s="10">
        <v>46060</v>
      </c>
      <c r="L437" s="10">
        <v>92120</v>
      </c>
      <c r="M437" s="12" t="s">
        <v>20</v>
      </c>
    </row>
    <row r="438" spans="1:13" ht="16.8" x14ac:dyDescent="0.3">
      <c r="A438" s="7" t="s">
        <v>516</v>
      </c>
      <c r="B438" s="8">
        <v>44395</v>
      </c>
      <c r="C438" s="15" t="s">
        <v>270</v>
      </c>
      <c r="D438" s="10" t="s">
        <v>222</v>
      </c>
      <c r="E438">
        <v>2</v>
      </c>
      <c r="F438">
        <v>65000</v>
      </c>
      <c r="G438">
        <v>65000</v>
      </c>
      <c r="H438">
        <v>12</v>
      </c>
      <c r="I438">
        <v>65000</v>
      </c>
      <c r="J438" s="10" t="s">
        <v>279</v>
      </c>
      <c r="K438" s="10">
        <v>65000</v>
      </c>
      <c r="L438" s="10">
        <v>130000</v>
      </c>
      <c r="M438" s="12" t="s">
        <v>226</v>
      </c>
    </row>
    <row r="439" spans="1:13" ht="16.8" x14ac:dyDescent="0.3">
      <c r="A439" s="7" t="s">
        <v>517</v>
      </c>
      <c r="B439" s="8">
        <v>44920</v>
      </c>
      <c r="C439" s="15" t="s">
        <v>272</v>
      </c>
      <c r="D439" s="10" t="s">
        <v>223</v>
      </c>
      <c r="E439">
        <v>5</v>
      </c>
      <c r="F439">
        <v>65000</v>
      </c>
      <c r="G439">
        <v>29000</v>
      </c>
      <c r="H439">
        <v>7</v>
      </c>
      <c r="I439">
        <v>60449.999999999993</v>
      </c>
      <c r="J439" s="10" t="s">
        <v>278</v>
      </c>
      <c r="K439" s="10">
        <v>60449.999999999993</v>
      </c>
      <c r="L439" s="10">
        <v>302249.99999999994</v>
      </c>
      <c r="M439" s="12" t="s">
        <v>13</v>
      </c>
    </row>
    <row r="440" spans="1:13" ht="16.8" x14ac:dyDescent="0.3">
      <c r="A440" s="7" t="s">
        <v>518</v>
      </c>
      <c r="B440" s="8">
        <v>44831</v>
      </c>
      <c r="C440" s="15" t="s">
        <v>3</v>
      </c>
      <c r="D440" s="10" t="s">
        <v>223</v>
      </c>
      <c r="E440">
        <v>4</v>
      </c>
      <c r="F440">
        <v>65000</v>
      </c>
      <c r="G440">
        <v>49000</v>
      </c>
      <c r="H440">
        <v>11</v>
      </c>
      <c r="I440">
        <v>57850</v>
      </c>
      <c r="J440" s="10" t="s">
        <v>278</v>
      </c>
      <c r="K440" s="10">
        <v>57850</v>
      </c>
      <c r="L440" s="10">
        <v>231400</v>
      </c>
      <c r="M440" s="12" t="s">
        <v>253</v>
      </c>
    </row>
    <row r="441" spans="1:13" ht="16.8" x14ac:dyDescent="0.3">
      <c r="A441" s="7" t="s">
        <v>519</v>
      </c>
      <c r="B441" s="8">
        <v>44855</v>
      </c>
      <c r="C441" s="15" t="s">
        <v>271</v>
      </c>
      <c r="D441" s="10" t="s">
        <v>223</v>
      </c>
      <c r="E441">
        <v>4</v>
      </c>
      <c r="F441">
        <v>55000</v>
      </c>
      <c r="G441">
        <v>65000</v>
      </c>
      <c r="H441">
        <v>11</v>
      </c>
      <c r="I441">
        <v>65000</v>
      </c>
      <c r="J441" s="10" t="s">
        <v>279</v>
      </c>
      <c r="K441" s="10">
        <v>65000</v>
      </c>
      <c r="L441" s="10">
        <v>260000</v>
      </c>
      <c r="M441" s="12" t="s">
        <v>243</v>
      </c>
    </row>
    <row r="442" spans="1:13" ht="16.8" x14ac:dyDescent="0.3">
      <c r="A442" s="7" t="s">
        <v>520</v>
      </c>
      <c r="B442" s="8">
        <v>44965</v>
      </c>
      <c r="C442" s="15" t="s">
        <v>270</v>
      </c>
      <c r="D442" s="10" t="s">
        <v>224</v>
      </c>
      <c r="E442">
        <v>5</v>
      </c>
      <c r="F442">
        <v>65000</v>
      </c>
      <c r="G442">
        <v>39000</v>
      </c>
      <c r="H442">
        <v>6</v>
      </c>
      <c r="I442">
        <v>61100</v>
      </c>
      <c r="J442" s="10" t="s">
        <v>278</v>
      </c>
      <c r="K442" s="10">
        <v>61100</v>
      </c>
      <c r="L442" s="10">
        <v>305500</v>
      </c>
      <c r="M442" s="12" t="s">
        <v>230</v>
      </c>
    </row>
    <row r="443" spans="1:13" ht="16.8" x14ac:dyDescent="0.3">
      <c r="A443" s="7" t="s">
        <v>521</v>
      </c>
      <c r="B443" s="8">
        <v>44815</v>
      </c>
      <c r="C443" s="15" t="s">
        <v>272</v>
      </c>
      <c r="D443" s="10" t="s">
        <v>223</v>
      </c>
      <c r="E443">
        <v>4</v>
      </c>
      <c r="F443">
        <v>69000</v>
      </c>
      <c r="G443">
        <v>59000</v>
      </c>
      <c r="H443">
        <v>10</v>
      </c>
      <c r="I443">
        <v>59000</v>
      </c>
      <c r="J443" s="10" t="s">
        <v>279</v>
      </c>
      <c r="K443" s="10">
        <v>59000</v>
      </c>
      <c r="L443" s="10">
        <v>236000</v>
      </c>
      <c r="M443" s="12" t="s">
        <v>225</v>
      </c>
    </row>
    <row r="444" spans="1:13" ht="16.8" x14ac:dyDescent="0.3">
      <c r="A444" s="7" t="s">
        <v>522</v>
      </c>
      <c r="B444" s="8">
        <v>44958</v>
      </c>
      <c r="C444" s="15" t="s">
        <v>275</v>
      </c>
      <c r="D444" s="10" t="s">
        <v>224</v>
      </c>
      <c r="E444">
        <v>5</v>
      </c>
      <c r="F444">
        <v>59000</v>
      </c>
      <c r="G444">
        <v>65000</v>
      </c>
      <c r="H444">
        <v>8</v>
      </c>
      <c r="I444">
        <v>65000</v>
      </c>
      <c r="J444" s="10" t="s">
        <v>279</v>
      </c>
      <c r="K444" s="10">
        <v>65000</v>
      </c>
      <c r="L444" s="10">
        <v>325000</v>
      </c>
      <c r="M444" s="12" t="s">
        <v>225</v>
      </c>
    </row>
    <row r="445" spans="1:13" ht="16.8" x14ac:dyDescent="0.3">
      <c r="A445" s="7" t="s">
        <v>523</v>
      </c>
      <c r="B445" s="8">
        <v>44868</v>
      </c>
      <c r="C445" s="15" t="s">
        <v>272</v>
      </c>
      <c r="D445" s="10" t="s">
        <v>222</v>
      </c>
      <c r="E445">
        <v>3</v>
      </c>
      <c r="F445">
        <v>49000</v>
      </c>
      <c r="G445">
        <v>35000</v>
      </c>
      <c r="H445">
        <v>14</v>
      </c>
      <c r="I445">
        <v>42140</v>
      </c>
      <c r="J445" s="10" t="s">
        <v>278</v>
      </c>
      <c r="K445" s="10">
        <v>42140</v>
      </c>
      <c r="L445" s="10">
        <v>126420</v>
      </c>
      <c r="M445" s="12" t="s">
        <v>243</v>
      </c>
    </row>
    <row r="446" spans="1:13" ht="16.8" x14ac:dyDescent="0.3">
      <c r="A446" s="7" t="s">
        <v>524</v>
      </c>
      <c r="B446" s="8">
        <v>44755</v>
      </c>
      <c r="C446" s="15" t="s">
        <v>275</v>
      </c>
      <c r="D446" s="10" t="s">
        <v>223</v>
      </c>
      <c r="E446">
        <v>3</v>
      </c>
      <c r="F446">
        <v>65000</v>
      </c>
      <c r="G446">
        <v>35000</v>
      </c>
      <c r="H446">
        <v>10</v>
      </c>
      <c r="I446">
        <v>58500</v>
      </c>
      <c r="J446" s="10" t="s">
        <v>278</v>
      </c>
      <c r="K446" s="10">
        <v>58500</v>
      </c>
      <c r="L446" s="10">
        <v>175500</v>
      </c>
      <c r="M446" s="12" t="s">
        <v>10</v>
      </c>
    </row>
    <row r="447" spans="1:13" ht="16.8" x14ac:dyDescent="0.3">
      <c r="A447" s="7" t="s">
        <v>525</v>
      </c>
      <c r="B447" s="8">
        <v>44449</v>
      </c>
      <c r="C447" s="15" t="s">
        <v>273</v>
      </c>
      <c r="D447" s="10" t="s">
        <v>223</v>
      </c>
      <c r="E447">
        <v>1</v>
      </c>
      <c r="F447">
        <v>29000</v>
      </c>
      <c r="G447">
        <v>55000</v>
      </c>
      <c r="H447">
        <v>6</v>
      </c>
      <c r="I447">
        <v>55000</v>
      </c>
      <c r="J447" s="10" t="s">
        <v>279</v>
      </c>
      <c r="K447" s="10">
        <v>55000</v>
      </c>
      <c r="L447" s="10">
        <v>55000</v>
      </c>
      <c r="M447" s="12" t="s">
        <v>230</v>
      </c>
    </row>
    <row r="448" spans="1:13" ht="16.8" x14ac:dyDescent="0.3">
      <c r="A448" s="7" t="s">
        <v>526</v>
      </c>
      <c r="B448" s="8">
        <v>44323</v>
      </c>
      <c r="C448" s="15" t="s">
        <v>3</v>
      </c>
      <c r="D448" s="10" t="s">
        <v>224</v>
      </c>
      <c r="E448">
        <v>5</v>
      </c>
      <c r="F448">
        <v>55000</v>
      </c>
      <c r="G448">
        <v>65000</v>
      </c>
      <c r="H448">
        <v>14</v>
      </c>
      <c r="I448">
        <v>47300</v>
      </c>
      <c r="J448" s="10" t="s">
        <v>278</v>
      </c>
      <c r="K448" s="10">
        <v>47300</v>
      </c>
      <c r="L448" s="10">
        <v>236500</v>
      </c>
      <c r="M448" s="12" t="s">
        <v>229</v>
      </c>
    </row>
    <row r="449" spans="1:13" ht="16.8" x14ac:dyDescent="0.3">
      <c r="A449" s="7" t="s">
        <v>527</v>
      </c>
      <c r="B449" s="8">
        <v>44523</v>
      </c>
      <c r="C449" s="15" t="s">
        <v>271</v>
      </c>
      <c r="D449" s="10" t="s">
        <v>222</v>
      </c>
      <c r="E449">
        <v>5</v>
      </c>
      <c r="F449">
        <v>39000</v>
      </c>
      <c r="G449">
        <v>39000</v>
      </c>
      <c r="H449">
        <v>10</v>
      </c>
      <c r="I449">
        <v>39000</v>
      </c>
      <c r="J449" s="10" t="s">
        <v>279</v>
      </c>
      <c r="K449" s="10">
        <v>39000</v>
      </c>
      <c r="L449" s="10">
        <v>195000</v>
      </c>
      <c r="M449" s="12" t="s">
        <v>234</v>
      </c>
    </row>
    <row r="450" spans="1:13" ht="16.8" x14ac:dyDescent="0.3">
      <c r="A450" s="7" t="s">
        <v>528</v>
      </c>
      <c r="B450" s="8">
        <v>44854</v>
      </c>
      <c r="C450" s="15" t="s">
        <v>275</v>
      </c>
      <c r="D450" s="10" t="s">
        <v>222</v>
      </c>
      <c r="E450">
        <v>2</v>
      </c>
      <c r="F450">
        <v>65000</v>
      </c>
      <c r="G450">
        <v>59000</v>
      </c>
      <c r="H450">
        <v>8</v>
      </c>
      <c r="I450">
        <v>59000</v>
      </c>
      <c r="J450" s="10" t="s">
        <v>279</v>
      </c>
      <c r="K450" s="10">
        <v>59000</v>
      </c>
      <c r="L450" s="10">
        <v>118000</v>
      </c>
      <c r="M450" s="12" t="s">
        <v>253</v>
      </c>
    </row>
    <row r="451" spans="1:13" ht="16.8" x14ac:dyDescent="0.3">
      <c r="A451" s="7" t="s">
        <v>529</v>
      </c>
      <c r="B451" s="8">
        <v>45078</v>
      </c>
      <c r="C451" s="15" t="s">
        <v>270</v>
      </c>
      <c r="D451" s="10" t="s">
        <v>223</v>
      </c>
      <c r="E451">
        <v>1</v>
      </c>
      <c r="F451">
        <v>39000</v>
      </c>
      <c r="G451">
        <v>65000</v>
      </c>
      <c r="H451">
        <v>14</v>
      </c>
      <c r="I451">
        <v>33540</v>
      </c>
      <c r="J451" s="10" t="s">
        <v>278</v>
      </c>
      <c r="K451" s="10">
        <v>33540</v>
      </c>
      <c r="L451" s="10">
        <v>33540</v>
      </c>
      <c r="M451" s="12" t="s">
        <v>19</v>
      </c>
    </row>
    <row r="452" spans="1:13" ht="16.8" x14ac:dyDescent="0.3">
      <c r="A452" s="7" t="s">
        <v>530</v>
      </c>
      <c r="B452" s="8">
        <v>44998</v>
      </c>
      <c r="C452" s="15" t="s">
        <v>270</v>
      </c>
      <c r="D452" s="10" t="s">
        <v>222</v>
      </c>
      <c r="E452">
        <v>3</v>
      </c>
      <c r="F452">
        <v>65000</v>
      </c>
      <c r="G452">
        <v>49000</v>
      </c>
      <c r="H452">
        <v>11</v>
      </c>
      <c r="I452">
        <v>49000</v>
      </c>
      <c r="J452" s="10" t="s">
        <v>279</v>
      </c>
      <c r="K452" s="10">
        <v>49000</v>
      </c>
      <c r="L452" s="10">
        <v>147000</v>
      </c>
      <c r="M452" s="12" t="s">
        <v>232</v>
      </c>
    </row>
    <row r="453" spans="1:13" ht="16.8" x14ac:dyDescent="0.3">
      <c r="A453" s="7" t="s">
        <v>531</v>
      </c>
      <c r="B453" s="8">
        <v>44986</v>
      </c>
      <c r="C453" s="15" t="s">
        <v>5</v>
      </c>
      <c r="D453" s="10" t="s">
        <v>223</v>
      </c>
      <c r="E453">
        <v>4</v>
      </c>
      <c r="F453">
        <v>65000</v>
      </c>
      <c r="G453">
        <v>69000</v>
      </c>
      <c r="H453">
        <v>9</v>
      </c>
      <c r="I453">
        <v>59150</v>
      </c>
      <c r="J453" s="10" t="s">
        <v>278</v>
      </c>
      <c r="K453" s="10">
        <v>59150</v>
      </c>
      <c r="L453" s="10">
        <v>236600</v>
      </c>
      <c r="M453" s="12" t="s">
        <v>253</v>
      </c>
    </row>
    <row r="454" spans="1:13" ht="16.8" x14ac:dyDescent="0.3">
      <c r="A454" s="7" t="s">
        <v>532</v>
      </c>
      <c r="B454" s="8">
        <v>44986</v>
      </c>
      <c r="C454" s="15" t="s">
        <v>271</v>
      </c>
      <c r="D454" s="10" t="s">
        <v>224</v>
      </c>
      <c r="E454">
        <v>2</v>
      </c>
      <c r="F454">
        <v>35000</v>
      </c>
      <c r="G454">
        <v>59000</v>
      </c>
      <c r="H454">
        <v>9</v>
      </c>
      <c r="I454">
        <v>31850</v>
      </c>
      <c r="J454" s="10" t="s">
        <v>278</v>
      </c>
      <c r="K454" s="10">
        <v>31850</v>
      </c>
      <c r="L454" s="10">
        <v>63700</v>
      </c>
      <c r="M454" s="12" t="s">
        <v>225</v>
      </c>
    </row>
    <row r="455" spans="1:13" ht="16.8" x14ac:dyDescent="0.3">
      <c r="A455" s="7" t="s">
        <v>533</v>
      </c>
      <c r="B455" s="8">
        <v>45190</v>
      </c>
      <c r="C455" s="15" t="s">
        <v>271</v>
      </c>
      <c r="D455" s="10" t="s">
        <v>223</v>
      </c>
      <c r="E455">
        <v>3</v>
      </c>
      <c r="F455">
        <v>49000</v>
      </c>
      <c r="G455">
        <v>59000</v>
      </c>
      <c r="H455">
        <v>14</v>
      </c>
      <c r="I455">
        <v>59000</v>
      </c>
      <c r="J455" s="10" t="s">
        <v>279</v>
      </c>
      <c r="K455" s="10">
        <v>59000</v>
      </c>
      <c r="L455" s="10">
        <v>177000</v>
      </c>
      <c r="M455" s="12" t="s">
        <v>239</v>
      </c>
    </row>
    <row r="456" spans="1:13" ht="16.8" x14ac:dyDescent="0.3">
      <c r="A456" s="7" t="s">
        <v>534</v>
      </c>
      <c r="B456" s="8">
        <v>45144</v>
      </c>
      <c r="C456" s="15" t="s">
        <v>273</v>
      </c>
      <c r="D456" s="10" t="s">
        <v>224</v>
      </c>
      <c r="E456">
        <v>1</v>
      </c>
      <c r="F456">
        <v>65000</v>
      </c>
      <c r="G456">
        <v>65000</v>
      </c>
      <c r="H456">
        <v>15</v>
      </c>
      <c r="I456">
        <v>65000</v>
      </c>
      <c r="J456" s="10" t="s">
        <v>279</v>
      </c>
      <c r="K456" s="10">
        <v>65000</v>
      </c>
      <c r="L456" s="10">
        <v>65000</v>
      </c>
      <c r="M456" s="12" t="s">
        <v>260</v>
      </c>
    </row>
    <row r="457" spans="1:13" ht="16.8" x14ac:dyDescent="0.3">
      <c r="A457" s="7" t="s">
        <v>535</v>
      </c>
      <c r="B457" s="8">
        <v>44537</v>
      </c>
      <c r="C457" s="15" t="s">
        <v>271</v>
      </c>
      <c r="D457" s="10" t="s">
        <v>223</v>
      </c>
      <c r="E457">
        <v>3</v>
      </c>
      <c r="F457">
        <v>59000</v>
      </c>
      <c r="G457">
        <v>49000</v>
      </c>
      <c r="H457">
        <v>5</v>
      </c>
      <c r="I457">
        <v>49000</v>
      </c>
      <c r="J457" s="10" t="s">
        <v>279</v>
      </c>
      <c r="K457" s="10">
        <v>49000</v>
      </c>
      <c r="L457" s="10">
        <v>147000</v>
      </c>
      <c r="M457" s="12" t="s">
        <v>225</v>
      </c>
    </row>
    <row r="458" spans="1:13" ht="16.8" x14ac:dyDescent="0.3">
      <c r="A458" s="7" t="s">
        <v>536</v>
      </c>
      <c r="B458" s="8">
        <v>44382</v>
      </c>
      <c r="C458" s="15" t="s">
        <v>272</v>
      </c>
      <c r="D458" s="10" t="s">
        <v>223</v>
      </c>
      <c r="E458">
        <v>1</v>
      </c>
      <c r="F458">
        <v>49000</v>
      </c>
      <c r="G458">
        <v>39000</v>
      </c>
      <c r="H458">
        <v>7</v>
      </c>
      <c r="I458">
        <v>45570</v>
      </c>
      <c r="J458" s="10" t="s">
        <v>278</v>
      </c>
      <c r="K458" s="10">
        <v>45570</v>
      </c>
      <c r="L458" s="10">
        <v>45570</v>
      </c>
      <c r="M458" s="12" t="s">
        <v>10</v>
      </c>
    </row>
    <row r="459" spans="1:13" ht="16.8" x14ac:dyDescent="0.3">
      <c r="A459" s="7" t="s">
        <v>537</v>
      </c>
      <c r="B459" s="8">
        <v>44624</v>
      </c>
      <c r="C459" s="15" t="s">
        <v>274</v>
      </c>
      <c r="D459" s="10" t="s">
        <v>224</v>
      </c>
      <c r="E459">
        <v>2</v>
      </c>
      <c r="F459">
        <v>39000</v>
      </c>
      <c r="G459">
        <v>39000</v>
      </c>
      <c r="H459">
        <v>13</v>
      </c>
      <c r="I459">
        <v>39000</v>
      </c>
      <c r="J459" s="10" t="s">
        <v>279</v>
      </c>
      <c r="K459" s="10">
        <v>39000</v>
      </c>
      <c r="L459" s="10">
        <v>78000</v>
      </c>
      <c r="M459" s="12" t="s">
        <v>241</v>
      </c>
    </row>
    <row r="460" spans="1:13" ht="16.8" x14ac:dyDescent="0.3">
      <c r="A460" s="7" t="s">
        <v>538</v>
      </c>
      <c r="B460" s="8">
        <v>44500</v>
      </c>
      <c r="C460" s="15" t="s">
        <v>4</v>
      </c>
      <c r="D460" s="10" t="s">
        <v>222</v>
      </c>
      <c r="E460">
        <v>5</v>
      </c>
      <c r="F460">
        <v>65000</v>
      </c>
      <c r="G460">
        <v>69000</v>
      </c>
      <c r="H460">
        <v>15</v>
      </c>
      <c r="I460">
        <v>69000</v>
      </c>
      <c r="J460" s="10" t="s">
        <v>279</v>
      </c>
      <c r="K460" s="10">
        <v>69000</v>
      </c>
      <c r="L460" s="10">
        <v>345000</v>
      </c>
      <c r="M460" s="12" t="s">
        <v>246</v>
      </c>
    </row>
    <row r="461" spans="1:13" ht="16.8" x14ac:dyDescent="0.3">
      <c r="A461" s="7" t="s">
        <v>539</v>
      </c>
      <c r="B461" s="8">
        <v>44519</v>
      </c>
      <c r="C461" s="15" t="s">
        <v>272</v>
      </c>
      <c r="D461" s="10" t="s">
        <v>223</v>
      </c>
      <c r="E461">
        <v>3</v>
      </c>
      <c r="F461">
        <v>35000</v>
      </c>
      <c r="G461">
        <v>59000</v>
      </c>
      <c r="H461">
        <v>6</v>
      </c>
      <c r="I461">
        <v>32900</v>
      </c>
      <c r="J461" s="10" t="s">
        <v>278</v>
      </c>
      <c r="K461" s="10">
        <v>32900</v>
      </c>
      <c r="L461" s="10">
        <v>98700</v>
      </c>
      <c r="M461" s="12" t="s">
        <v>233</v>
      </c>
    </row>
    <row r="462" spans="1:13" ht="16.8" x14ac:dyDescent="0.3">
      <c r="A462" s="7" t="s">
        <v>540</v>
      </c>
      <c r="B462" s="8">
        <v>44704</v>
      </c>
      <c r="C462" s="15" t="s">
        <v>271</v>
      </c>
      <c r="D462" s="10" t="s">
        <v>222</v>
      </c>
      <c r="E462">
        <v>4</v>
      </c>
      <c r="F462">
        <v>55000</v>
      </c>
      <c r="G462">
        <v>65000</v>
      </c>
      <c r="H462">
        <v>11</v>
      </c>
      <c r="I462">
        <v>48950</v>
      </c>
      <c r="J462" s="10" t="s">
        <v>278</v>
      </c>
      <c r="K462" s="10">
        <v>48950</v>
      </c>
      <c r="L462" s="10">
        <v>195800</v>
      </c>
      <c r="M462" s="12" t="s">
        <v>251</v>
      </c>
    </row>
    <row r="463" spans="1:13" ht="16.8" x14ac:dyDescent="0.3">
      <c r="A463" s="7" t="s">
        <v>541</v>
      </c>
      <c r="B463" s="8">
        <v>45252</v>
      </c>
      <c r="C463" s="15" t="s">
        <v>271</v>
      </c>
      <c r="D463" s="10" t="s">
        <v>222</v>
      </c>
      <c r="E463">
        <v>5</v>
      </c>
      <c r="F463">
        <v>59000</v>
      </c>
      <c r="G463">
        <v>65000</v>
      </c>
      <c r="H463">
        <v>6</v>
      </c>
      <c r="I463">
        <v>65000</v>
      </c>
      <c r="J463" s="10" t="s">
        <v>279</v>
      </c>
      <c r="K463" s="10">
        <v>65000</v>
      </c>
      <c r="L463" s="10">
        <v>325000</v>
      </c>
      <c r="M463" s="12" t="s">
        <v>17</v>
      </c>
    </row>
    <row r="464" spans="1:13" ht="16.8" x14ac:dyDescent="0.3">
      <c r="A464" s="7" t="s">
        <v>542</v>
      </c>
      <c r="B464" s="8">
        <v>44971</v>
      </c>
      <c r="C464" s="15" t="s">
        <v>5</v>
      </c>
      <c r="D464" s="10" t="s">
        <v>224</v>
      </c>
      <c r="E464">
        <v>3</v>
      </c>
      <c r="F464">
        <v>55000</v>
      </c>
      <c r="G464">
        <v>65000</v>
      </c>
      <c r="H464">
        <v>6</v>
      </c>
      <c r="I464">
        <v>65000</v>
      </c>
      <c r="J464" s="10" t="s">
        <v>279</v>
      </c>
      <c r="K464" s="10">
        <v>65000</v>
      </c>
      <c r="L464" s="10">
        <v>195000</v>
      </c>
      <c r="M464" s="12" t="s">
        <v>245</v>
      </c>
    </row>
    <row r="465" spans="1:13" ht="16.8" x14ac:dyDescent="0.3">
      <c r="A465" s="7" t="s">
        <v>543</v>
      </c>
      <c r="B465" s="8">
        <v>44786</v>
      </c>
      <c r="C465" s="15" t="s">
        <v>275</v>
      </c>
      <c r="D465" s="10" t="s">
        <v>223</v>
      </c>
      <c r="E465">
        <v>3</v>
      </c>
      <c r="F465">
        <v>39000</v>
      </c>
      <c r="G465">
        <v>49000</v>
      </c>
      <c r="H465">
        <v>10</v>
      </c>
      <c r="I465">
        <v>49000</v>
      </c>
      <c r="J465" s="10" t="s">
        <v>279</v>
      </c>
      <c r="K465" s="10">
        <v>49000</v>
      </c>
      <c r="L465" s="10">
        <v>147000</v>
      </c>
      <c r="M465" s="12" t="s">
        <v>11</v>
      </c>
    </row>
    <row r="466" spans="1:13" ht="16.8" x14ac:dyDescent="0.3">
      <c r="A466" s="7" t="s">
        <v>544</v>
      </c>
      <c r="B466" s="8">
        <v>45272</v>
      </c>
      <c r="C466" s="15" t="s">
        <v>271</v>
      </c>
      <c r="D466" s="10" t="s">
        <v>223</v>
      </c>
      <c r="E466">
        <v>3</v>
      </c>
      <c r="F466">
        <v>59000</v>
      </c>
      <c r="G466">
        <v>75000</v>
      </c>
      <c r="H466">
        <v>13</v>
      </c>
      <c r="I466">
        <v>51330</v>
      </c>
      <c r="J466" s="10" t="s">
        <v>278</v>
      </c>
      <c r="K466" s="10">
        <v>51330</v>
      </c>
      <c r="L466" s="10">
        <v>153990</v>
      </c>
      <c r="M466" s="12" t="s">
        <v>248</v>
      </c>
    </row>
    <row r="467" spans="1:13" ht="16.8" x14ac:dyDescent="0.3">
      <c r="A467" s="7" t="s">
        <v>545</v>
      </c>
      <c r="B467" s="8">
        <v>44275</v>
      </c>
      <c r="C467" s="15" t="s">
        <v>273</v>
      </c>
      <c r="D467" s="10" t="s">
        <v>224</v>
      </c>
      <c r="E467">
        <v>3</v>
      </c>
      <c r="F467">
        <v>39000</v>
      </c>
      <c r="G467">
        <v>69000</v>
      </c>
      <c r="H467">
        <v>12</v>
      </c>
      <c r="I467">
        <v>69000</v>
      </c>
      <c r="J467" s="10" t="s">
        <v>279</v>
      </c>
      <c r="K467" s="10">
        <v>69000</v>
      </c>
      <c r="L467" s="10">
        <v>207000</v>
      </c>
      <c r="M467" s="12" t="s">
        <v>254</v>
      </c>
    </row>
    <row r="468" spans="1:13" ht="16.8" x14ac:dyDescent="0.3">
      <c r="A468" s="7" t="s">
        <v>546</v>
      </c>
      <c r="B468" s="8">
        <v>44985</v>
      </c>
      <c r="C468" s="15" t="s">
        <v>270</v>
      </c>
      <c r="D468" s="10" t="s">
        <v>224</v>
      </c>
      <c r="E468">
        <v>4</v>
      </c>
      <c r="F468">
        <v>59000</v>
      </c>
      <c r="G468">
        <v>35000</v>
      </c>
      <c r="H468">
        <v>13</v>
      </c>
      <c r="I468">
        <v>35000</v>
      </c>
      <c r="J468" s="10" t="s">
        <v>279</v>
      </c>
      <c r="K468" s="10">
        <v>35000</v>
      </c>
      <c r="L468" s="10">
        <v>140000</v>
      </c>
      <c r="M468" s="12" t="s">
        <v>233</v>
      </c>
    </row>
    <row r="469" spans="1:13" ht="16.8" x14ac:dyDescent="0.3">
      <c r="A469" s="7" t="s">
        <v>547</v>
      </c>
      <c r="B469" s="8">
        <v>44842</v>
      </c>
      <c r="C469" s="15" t="s">
        <v>270</v>
      </c>
      <c r="D469" s="10" t="s">
        <v>224</v>
      </c>
      <c r="E469">
        <v>4</v>
      </c>
      <c r="F469">
        <v>75000</v>
      </c>
      <c r="G469">
        <v>39000</v>
      </c>
      <c r="H469">
        <v>9</v>
      </c>
      <c r="I469">
        <v>68250</v>
      </c>
      <c r="J469" s="10" t="s">
        <v>278</v>
      </c>
      <c r="K469" s="10">
        <v>68250</v>
      </c>
      <c r="L469" s="10">
        <v>273000</v>
      </c>
      <c r="M469" s="12" t="s">
        <v>261</v>
      </c>
    </row>
    <row r="470" spans="1:13" ht="16.8" x14ac:dyDescent="0.3">
      <c r="A470" s="7" t="s">
        <v>548</v>
      </c>
      <c r="B470" s="8">
        <v>45107</v>
      </c>
      <c r="C470" s="15" t="s">
        <v>6</v>
      </c>
      <c r="D470" s="10" t="s">
        <v>224</v>
      </c>
      <c r="E470">
        <v>3</v>
      </c>
      <c r="F470">
        <v>49000</v>
      </c>
      <c r="G470">
        <v>65000</v>
      </c>
      <c r="H470">
        <v>5</v>
      </c>
      <c r="I470">
        <v>65000</v>
      </c>
      <c r="J470" s="10" t="s">
        <v>279</v>
      </c>
      <c r="K470" s="10">
        <v>65000</v>
      </c>
      <c r="L470" s="10">
        <v>195000</v>
      </c>
      <c r="M470" s="12" t="s">
        <v>259</v>
      </c>
    </row>
    <row r="471" spans="1:13" ht="16.8" x14ac:dyDescent="0.3">
      <c r="A471" s="7" t="s">
        <v>549</v>
      </c>
      <c r="B471" s="8">
        <v>45033</v>
      </c>
      <c r="C471" s="15" t="s">
        <v>4</v>
      </c>
      <c r="D471" s="10" t="s">
        <v>224</v>
      </c>
      <c r="E471">
        <v>2</v>
      </c>
      <c r="F471">
        <v>69000</v>
      </c>
      <c r="G471">
        <v>65000</v>
      </c>
      <c r="H471">
        <v>13</v>
      </c>
      <c r="I471">
        <v>60030</v>
      </c>
      <c r="J471" s="10" t="s">
        <v>278</v>
      </c>
      <c r="K471" s="10">
        <v>60030</v>
      </c>
      <c r="L471" s="10">
        <v>120060</v>
      </c>
      <c r="M471" s="12" t="s">
        <v>225</v>
      </c>
    </row>
    <row r="472" spans="1:13" ht="16.8" x14ac:dyDescent="0.3">
      <c r="A472" s="7" t="s">
        <v>550</v>
      </c>
      <c r="B472" s="8">
        <v>45161</v>
      </c>
      <c r="C472" s="15" t="s">
        <v>273</v>
      </c>
      <c r="D472" s="10" t="s">
        <v>224</v>
      </c>
      <c r="E472">
        <v>4</v>
      </c>
      <c r="F472">
        <v>45000</v>
      </c>
      <c r="G472">
        <v>35000</v>
      </c>
      <c r="H472">
        <v>15</v>
      </c>
      <c r="I472">
        <v>35000</v>
      </c>
      <c r="J472" s="10" t="s">
        <v>279</v>
      </c>
      <c r="K472" s="10">
        <v>35000</v>
      </c>
      <c r="L472" s="10">
        <v>140000</v>
      </c>
      <c r="M472" s="12" t="s">
        <v>15</v>
      </c>
    </row>
    <row r="473" spans="1:13" ht="16.8" x14ac:dyDescent="0.3">
      <c r="A473" s="7" t="s">
        <v>551</v>
      </c>
      <c r="B473" s="8">
        <v>44450</v>
      </c>
      <c r="C473" s="15" t="s">
        <v>272</v>
      </c>
      <c r="D473" s="10" t="s">
        <v>222</v>
      </c>
      <c r="E473">
        <v>1</v>
      </c>
      <c r="F473">
        <v>65000</v>
      </c>
      <c r="G473">
        <v>65000</v>
      </c>
      <c r="H473">
        <v>14</v>
      </c>
      <c r="I473">
        <v>55900</v>
      </c>
      <c r="J473" s="10" t="s">
        <v>278</v>
      </c>
      <c r="K473" s="10">
        <v>55900</v>
      </c>
      <c r="L473" s="10">
        <v>55900</v>
      </c>
      <c r="M473" s="12" t="s">
        <v>12</v>
      </c>
    </row>
    <row r="474" spans="1:13" ht="16.8" x14ac:dyDescent="0.3">
      <c r="A474" s="7" t="s">
        <v>552</v>
      </c>
      <c r="B474" s="8">
        <v>44926</v>
      </c>
      <c r="C474" s="15" t="s">
        <v>6</v>
      </c>
      <c r="D474" s="10" t="s">
        <v>224</v>
      </c>
      <c r="E474">
        <v>1</v>
      </c>
      <c r="F474">
        <v>59000</v>
      </c>
      <c r="G474">
        <v>55000</v>
      </c>
      <c r="H474">
        <v>9</v>
      </c>
      <c r="I474">
        <v>55000</v>
      </c>
      <c r="J474" s="10" t="s">
        <v>279</v>
      </c>
      <c r="K474" s="10">
        <v>55000</v>
      </c>
      <c r="L474" s="10">
        <v>55000</v>
      </c>
      <c r="M474" s="12" t="s">
        <v>252</v>
      </c>
    </row>
    <row r="475" spans="1:13" ht="16.8" x14ac:dyDescent="0.3">
      <c r="A475" s="7" t="s">
        <v>553</v>
      </c>
      <c r="B475" s="8">
        <v>45231</v>
      </c>
      <c r="C475" s="15" t="s">
        <v>275</v>
      </c>
      <c r="D475" s="10" t="s">
        <v>224</v>
      </c>
      <c r="E475">
        <v>5</v>
      </c>
      <c r="F475">
        <v>55000</v>
      </c>
      <c r="G475">
        <v>59000</v>
      </c>
      <c r="H475">
        <v>5</v>
      </c>
      <c r="I475">
        <v>52250</v>
      </c>
      <c r="J475" s="10" t="s">
        <v>278</v>
      </c>
      <c r="K475" s="10">
        <v>52250</v>
      </c>
      <c r="L475" s="10">
        <v>261250</v>
      </c>
      <c r="M475" s="12" t="s">
        <v>256</v>
      </c>
    </row>
    <row r="476" spans="1:13" ht="16.8" x14ac:dyDescent="0.3">
      <c r="A476" s="7" t="s">
        <v>554</v>
      </c>
      <c r="B476" s="8">
        <v>45088</v>
      </c>
      <c r="C476" s="15" t="s">
        <v>275</v>
      </c>
      <c r="D476" s="10" t="s">
        <v>222</v>
      </c>
      <c r="E476">
        <v>4</v>
      </c>
      <c r="F476">
        <v>49000</v>
      </c>
      <c r="G476">
        <v>59000</v>
      </c>
      <c r="H476">
        <v>7</v>
      </c>
      <c r="I476">
        <v>45570</v>
      </c>
      <c r="J476" s="10" t="s">
        <v>278</v>
      </c>
      <c r="K476" s="10">
        <v>45570</v>
      </c>
      <c r="L476" s="10">
        <v>182280</v>
      </c>
      <c r="M476" s="12" t="s">
        <v>261</v>
      </c>
    </row>
    <row r="477" spans="1:13" ht="16.8" x14ac:dyDescent="0.3">
      <c r="A477" s="7" t="s">
        <v>555</v>
      </c>
      <c r="B477" s="8">
        <v>45035</v>
      </c>
      <c r="C477" s="15" t="s">
        <v>4</v>
      </c>
      <c r="D477" s="10" t="s">
        <v>223</v>
      </c>
      <c r="E477">
        <v>2</v>
      </c>
      <c r="F477">
        <v>55000</v>
      </c>
      <c r="G477">
        <v>65000</v>
      </c>
      <c r="H477">
        <v>6</v>
      </c>
      <c r="I477">
        <v>65000</v>
      </c>
      <c r="J477" s="10" t="s">
        <v>279</v>
      </c>
      <c r="K477" s="10">
        <v>65000</v>
      </c>
      <c r="L477" s="10">
        <v>130000</v>
      </c>
      <c r="M477" s="12" t="s">
        <v>231</v>
      </c>
    </row>
    <row r="478" spans="1:13" ht="16.8" x14ac:dyDescent="0.3">
      <c r="A478" s="7" t="s">
        <v>556</v>
      </c>
      <c r="B478" s="8">
        <v>45250</v>
      </c>
      <c r="C478" s="15" t="s">
        <v>275</v>
      </c>
      <c r="D478" s="10" t="s">
        <v>222</v>
      </c>
      <c r="E478">
        <v>3</v>
      </c>
      <c r="F478">
        <v>49000</v>
      </c>
      <c r="G478">
        <v>59000</v>
      </c>
      <c r="H478">
        <v>13</v>
      </c>
      <c r="I478">
        <v>59000</v>
      </c>
      <c r="J478" s="10" t="s">
        <v>279</v>
      </c>
      <c r="K478" s="10">
        <v>59000</v>
      </c>
      <c r="L478" s="10">
        <v>177000</v>
      </c>
      <c r="M478" s="12" t="s">
        <v>260</v>
      </c>
    </row>
    <row r="479" spans="1:13" ht="16.8" x14ac:dyDescent="0.3">
      <c r="A479" s="7" t="s">
        <v>557</v>
      </c>
      <c r="B479" s="8">
        <v>44862</v>
      </c>
      <c r="C479" s="15" t="s">
        <v>6</v>
      </c>
      <c r="D479" s="10" t="s">
        <v>222</v>
      </c>
      <c r="E479">
        <v>2</v>
      </c>
      <c r="F479">
        <v>55000</v>
      </c>
      <c r="G479">
        <v>39000</v>
      </c>
      <c r="H479">
        <v>5</v>
      </c>
      <c r="I479">
        <v>52250</v>
      </c>
      <c r="J479" s="10" t="s">
        <v>278</v>
      </c>
      <c r="K479" s="10">
        <v>52250</v>
      </c>
      <c r="L479" s="10">
        <v>104500</v>
      </c>
      <c r="M479" s="12" t="s">
        <v>16</v>
      </c>
    </row>
    <row r="480" spans="1:13" ht="16.8" x14ac:dyDescent="0.3">
      <c r="A480" s="7" t="s">
        <v>558</v>
      </c>
      <c r="B480" s="8">
        <v>44678</v>
      </c>
      <c r="C480" s="15" t="s">
        <v>6</v>
      </c>
      <c r="D480" s="10" t="s">
        <v>222</v>
      </c>
      <c r="E480">
        <v>1</v>
      </c>
      <c r="F480">
        <v>29000</v>
      </c>
      <c r="G480">
        <v>49000</v>
      </c>
      <c r="H480">
        <v>8</v>
      </c>
      <c r="I480">
        <v>26680</v>
      </c>
      <c r="J480" s="10" t="s">
        <v>278</v>
      </c>
      <c r="K480" s="10">
        <v>26680</v>
      </c>
      <c r="L480" s="10">
        <v>26680</v>
      </c>
      <c r="M480" s="12" t="s">
        <v>243</v>
      </c>
    </row>
    <row r="481" spans="1:13" ht="16.8" x14ac:dyDescent="0.3">
      <c r="A481" s="7" t="s">
        <v>559</v>
      </c>
      <c r="B481" s="8">
        <v>44339</v>
      </c>
      <c r="C481" s="15" t="s">
        <v>273</v>
      </c>
      <c r="D481" s="10" t="s">
        <v>223</v>
      </c>
      <c r="E481">
        <v>1</v>
      </c>
      <c r="F481">
        <v>59000</v>
      </c>
      <c r="G481">
        <v>45000</v>
      </c>
      <c r="H481">
        <v>9</v>
      </c>
      <c r="I481">
        <v>45000</v>
      </c>
      <c r="J481" s="10" t="s">
        <v>279</v>
      </c>
      <c r="K481" s="10">
        <v>45000</v>
      </c>
      <c r="L481" s="10">
        <v>45000</v>
      </c>
      <c r="M481" s="12" t="s">
        <v>232</v>
      </c>
    </row>
    <row r="482" spans="1:13" ht="16.8" x14ac:dyDescent="0.3">
      <c r="A482" s="7" t="s">
        <v>560</v>
      </c>
      <c r="B482" s="8">
        <v>44557</v>
      </c>
      <c r="C482" s="15" t="s">
        <v>3</v>
      </c>
      <c r="D482" s="10" t="s">
        <v>224</v>
      </c>
      <c r="E482">
        <v>4</v>
      </c>
      <c r="F482">
        <v>49000</v>
      </c>
      <c r="G482">
        <v>65000</v>
      </c>
      <c r="H482">
        <v>7</v>
      </c>
      <c r="I482">
        <v>65000</v>
      </c>
      <c r="J482" s="10" t="s">
        <v>279</v>
      </c>
      <c r="K482" s="10">
        <v>65000</v>
      </c>
      <c r="L482" s="10">
        <v>260000</v>
      </c>
      <c r="M482" s="12" t="s">
        <v>15</v>
      </c>
    </row>
    <row r="483" spans="1:13" ht="16.8" x14ac:dyDescent="0.3">
      <c r="A483" s="7" t="s">
        <v>561</v>
      </c>
      <c r="B483" s="8">
        <v>45283</v>
      </c>
      <c r="C483" s="15" t="s">
        <v>3</v>
      </c>
      <c r="D483" s="10" t="s">
        <v>223</v>
      </c>
      <c r="E483">
        <v>3</v>
      </c>
      <c r="F483">
        <v>59000</v>
      </c>
      <c r="G483">
        <v>69000</v>
      </c>
      <c r="H483">
        <v>6</v>
      </c>
      <c r="I483">
        <v>55460</v>
      </c>
      <c r="J483" s="10" t="s">
        <v>278</v>
      </c>
      <c r="K483" s="10">
        <v>55460</v>
      </c>
      <c r="L483" s="10">
        <v>166380</v>
      </c>
      <c r="M483" s="12" t="s">
        <v>238</v>
      </c>
    </row>
    <row r="484" spans="1:13" ht="16.8" x14ac:dyDescent="0.3">
      <c r="A484" s="7" t="s">
        <v>562</v>
      </c>
      <c r="B484" s="8">
        <v>45073</v>
      </c>
      <c r="C484" s="15" t="s">
        <v>275</v>
      </c>
      <c r="D484" s="10" t="s">
        <v>224</v>
      </c>
      <c r="E484">
        <v>4</v>
      </c>
      <c r="F484">
        <v>59000</v>
      </c>
      <c r="G484">
        <v>59000</v>
      </c>
      <c r="H484">
        <v>7</v>
      </c>
      <c r="I484">
        <v>54869.999999999993</v>
      </c>
      <c r="J484" s="10" t="s">
        <v>278</v>
      </c>
      <c r="K484" s="10">
        <v>54869.999999999993</v>
      </c>
      <c r="L484" s="10">
        <v>219479.99999999997</v>
      </c>
      <c r="M484" s="12" t="s">
        <v>261</v>
      </c>
    </row>
    <row r="485" spans="1:13" ht="16.8" x14ac:dyDescent="0.3">
      <c r="A485" s="7" t="s">
        <v>563</v>
      </c>
      <c r="B485" s="8">
        <v>44623</v>
      </c>
      <c r="C485" s="15" t="s">
        <v>271</v>
      </c>
      <c r="D485" s="10" t="s">
        <v>224</v>
      </c>
      <c r="E485">
        <v>2</v>
      </c>
      <c r="F485">
        <v>65000</v>
      </c>
      <c r="G485">
        <v>59000</v>
      </c>
      <c r="H485">
        <v>14</v>
      </c>
      <c r="I485">
        <v>55900</v>
      </c>
      <c r="J485" s="10" t="s">
        <v>278</v>
      </c>
      <c r="K485" s="10">
        <v>55900</v>
      </c>
      <c r="L485" s="10">
        <v>111800</v>
      </c>
      <c r="M485" s="12" t="s">
        <v>240</v>
      </c>
    </row>
    <row r="486" spans="1:13" ht="16.8" x14ac:dyDescent="0.3">
      <c r="A486" s="7" t="s">
        <v>564</v>
      </c>
      <c r="B486" s="8">
        <v>44578</v>
      </c>
      <c r="C486" s="15" t="s">
        <v>271</v>
      </c>
      <c r="D486" s="10" t="s">
        <v>222</v>
      </c>
      <c r="E486">
        <v>1</v>
      </c>
      <c r="F486">
        <v>59000</v>
      </c>
      <c r="G486">
        <v>75000</v>
      </c>
      <c r="H486">
        <v>8</v>
      </c>
      <c r="I486">
        <v>75000</v>
      </c>
      <c r="J486" s="10" t="s">
        <v>279</v>
      </c>
      <c r="K486" s="10">
        <v>75000</v>
      </c>
      <c r="L486" s="10">
        <v>75000</v>
      </c>
      <c r="M486" s="12" t="s">
        <v>239</v>
      </c>
    </row>
    <row r="487" spans="1:13" ht="16.8" x14ac:dyDescent="0.3">
      <c r="A487" s="7" t="s">
        <v>565</v>
      </c>
      <c r="B487" s="8">
        <v>45075</v>
      </c>
      <c r="C487" s="15" t="s">
        <v>270</v>
      </c>
      <c r="D487" s="10" t="s">
        <v>223</v>
      </c>
      <c r="E487">
        <v>3</v>
      </c>
      <c r="F487">
        <v>65000</v>
      </c>
      <c r="G487">
        <v>49000</v>
      </c>
      <c r="H487">
        <v>12</v>
      </c>
      <c r="I487">
        <v>49000</v>
      </c>
      <c r="J487" s="10" t="s">
        <v>279</v>
      </c>
      <c r="K487" s="10">
        <v>49000</v>
      </c>
      <c r="L487" s="10">
        <v>147000</v>
      </c>
      <c r="M487" s="12" t="s">
        <v>233</v>
      </c>
    </row>
    <row r="488" spans="1:13" ht="16.8" x14ac:dyDescent="0.3">
      <c r="A488" s="7" t="s">
        <v>566</v>
      </c>
      <c r="B488" s="8">
        <v>44754</v>
      </c>
      <c r="C488" s="15" t="s">
        <v>271</v>
      </c>
      <c r="D488" s="10" t="s">
        <v>223</v>
      </c>
      <c r="E488">
        <v>4</v>
      </c>
      <c r="F488">
        <v>69000</v>
      </c>
      <c r="G488">
        <v>59000</v>
      </c>
      <c r="H488">
        <v>10</v>
      </c>
      <c r="I488">
        <v>62100</v>
      </c>
      <c r="J488" s="10" t="s">
        <v>278</v>
      </c>
      <c r="K488" s="10">
        <v>62100</v>
      </c>
      <c r="L488" s="10">
        <v>248400</v>
      </c>
      <c r="M488" s="12" t="s">
        <v>234</v>
      </c>
    </row>
    <row r="489" spans="1:13" ht="16.8" x14ac:dyDescent="0.3">
      <c r="A489" s="7" t="s">
        <v>567</v>
      </c>
      <c r="B489" s="8">
        <v>44947</v>
      </c>
      <c r="C489" s="15" t="s">
        <v>275</v>
      </c>
      <c r="D489" s="10" t="s">
        <v>222</v>
      </c>
      <c r="E489">
        <v>1</v>
      </c>
      <c r="F489">
        <v>55000</v>
      </c>
      <c r="G489">
        <v>65000</v>
      </c>
      <c r="H489">
        <v>6</v>
      </c>
      <c r="I489">
        <v>51700</v>
      </c>
      <c r="J489" s="10" t="s">
        <v>278</v>
      </c>
      <c r="K489" s="10">
        <v>51700</v>
      </c>
      <c r="L489" s="10">
        <v>51700</v>
      </c>
      <c r="M489" s="12" t="s">
        <v>246</v>
      </c>
    </row>
    <row r="490" spans="1:13" ht="16.8" x14ac:dyDescent="0.3">
      <c r="A490" s="7" t="s">
        <v>568</v>
      </c>
      <c r="B490" s="8">
        <v>44436</v>
      </c>
      <c r="C490" s="15" t="s">
        <v>272</v>
      </c>
      <c r="D490" s="10" t="s">
        <v>224</v>
      </c>
      <c r="E490">
        <v>1</v>
      </c>
      <c r="F490">
        <v>69000</v>
      </c>
      <c r="G490">
        <v>59000</v>
      </c>
      <c r="H490">
        <v>12</v>
      </c>
      <c r="I490">
        <v>60720</v>
      </c>
      <c r="J490" s="10" t="s">
        <v>278</v>
      </c>
      <c r="K490" s="10">
        <v>60720</v>
      </c>
      <c r="L490" s="10">
        <v>60720</v>
      </c>
      <c r="M490" s="12" t="s">
        <v>254</v>
      </c>
    </row>
    <row r="491" spans="1:13" ht="16.8" x14ac:dyDescent="0.3">
      <c r="A491" s="7" t="s">
        <v>569</v>
      </c>
      <c r="B491" s="8">
        <v>44227</v>
      </c>
      <c r="C491" s="15" t="s">
        <v>272</v>
      </c>
      <c r="D491" s="10" t="s">
        <v>222</v>
      </c>
      <c r="E491">
        <v>1</v>
      </c>
      <c r="F491">
        <v>59000</v>
      </c>
      <c r="G491">
        <v>35000</v>
      </c>
      <c r="H491">
        <v>6</v>
      </c>
      <c r="I491">
        <v>35000</v>
      </c>
      <c r="J491" s="10" t="s">
        <v>279</v>
      </c>
      <c r="K491" s="10">
        <v>35000</v>
      </c>
      <c r="L491" s="10">
        <v>35000</v>
      </c>
      <c r="M491" s="12" t="s">
        <v>259</v>
      </c>
    </row>
    <row r="492" spans="1:13" ht="16.8" x14ac:dyDescent="0.3">
      <c r="A492" s="7" t="s">
        <v>570</v>
      </c>
      <c r="B492" s="8">
        <v>45281</v>
      </c>
      <c r="C492" s="15" t="s">
        <v>270</v>
      </c>
      <c r="D492" s="10" t="s">
        <v>222</v>
      </c>
      <c r="E492">
        <v>3</v>
      </c>
      <c r="F492">
        <v>49000</v>
      </c>
      <c r="G492">
        <v>35000</v>
      </c>
      <c r="H492">
        <v>8</v>
      </c>
      <c r="I492">
        <v>35000</v>
      </c>
      <c r="J492" s="10" t="s">
        <v>279</v>
      </c>
      <c r="K492" s="10">
        <v>35000</v>
      </c>
      <c r="L492" s="10">
        <v>105000</v>
      </c>
      <c r="M492" s="12" t="s">
        <v>237</v>
      </c>
    </row>
    <row r="493" spans="1:13" ht="16.8" x14ac:dyDescent="0.3">
      <c r="A493" s="7" t="s">
        <v>571</v>
      </c>
      <c r="B493" s="8">
        <v>44638</v>
      </c>
      <c r="C493" s="15" t="s">
        <v>271</v>
      </c>
      <c r="D493" s="10" t="s">
        <v>222</v>
      </c>
      <c r="E493">
        <v>1</v>
      </c>
      <c r="F493">
        <v>39000</v>
      </c>
      <c r="G493">
        <v>65000</v>
      </c>
      <c r="H493">
        <v>14</v>
      </c>
      <c r="I493">
        <v>33540</v>
      </c>
      <c r="J493" s="10" t="s">
        <v>278</v>
      </c>
      <c r="K493" s="10">
        <v>33540</v>
      </c>
      <c r="L493" s="10">
        <v>33540</v>
      </c>
      <c r="M493" s="12" t="s">
        <v>18</v>
      </c>
    </row>
    <row r="494" spans="1:13" ht="16.8" x14ac:dyDescent="0.3">
      <c r="A494" s="7" t="s">
        <v>572</v>
      </c>
      <c r="B494" s="8">
        <v>44389</v>
      </c>
      <c r="C494" s="15" t="s">
        <v>271</v>
      </c>
      <c r="D494" s="10" t="s">
        <v>223</v>
      </c>
      <c r="E494">
        <v>2</v>
      </c>
      <c r="F494">
        <v>45000</v>
      </c>
      <c r="G494">
        <v>65000</v>
      </c>
      <c r="H494">
        <v>11</v>
      </c>
      <c r="I494">
        <v>65000</v>
      </c>
      <c r="J494" s="10" t="s">
        <v>279</v>
      </c>
      <c r="K494" s="10">
        <v>65000</v>
      </c>
      <c r="L494" s="10">
        <v>130000</v>
      </c>
      <c r="M494" s="12" t="s">
        <v>233</v>
      </c>
    </row>
    <row r="495" spans="1:13" ht="16.8" x14ac:dyDescent="0.3">
      <c r="A495" s="7" t="s">
        <v>573</v>
      </c>
      <c r="B495" s="8">
        <v>45103</v>
      </c>
      <c r="C495" s="15" t="s">
        <v>273</v>
      </c>
      <c r="D495" s="10" t="s">
        <v>224</v>
      </c>
      <c r="E495">
        <v>5</v>
      </c>
      <c r="F495">
        <v>65000</v>
      </c>
      <c r="G495">
        <v>35000</v>
      </c>
      <c r="H495">
        <v>8</v>
      </c>
      <c r="I495">
        <v>35000</v>
      </c>
      <c r="J495" s="10" t="s">
        <v>279</v>
      </c>
      <c r="K495" s="10">
        <v>35000</v>
      </c>
      <c r="L495" s="10">
        <v>175000</v>
      </c>
      <c r="M495" s="12" t="s">
        <v>237</v>
      </c>
    </row>
    <row r="496" spans="1:13" ht="16.8" x14ac:dyDescent="0.3">
      <c r="A496" s="7" t="s">
        <v>574</v>
      </c>
      <c r="B496" s="8">
        <v>44907</v>
      </c>
      <c r="C496" s="15" t="s">
        <v>3</v>
      </c>
      <c r="D496" s="10" t="s">
        <v>222</v>
      </c>
      <c r="E496">
        <v>5</v>
      </c>
      <c r="F496">
        <v>49000</v>
      </c>
      <c r="G496">
        <v>29000</v>
      </c>
      <c r="H496">
        <v>14</v>
      </c>
      <c r="I496">
        <v>29000</v>
      </c>
      <c r="J496" s="10" t="s">
        <v>279</v>
      </c>
      <c r="K496" s="10">
        <v>29000</v>
      </c>
      <c r="L496" s="10">
        <v>145000</v>
      </c>
      <c r="M496" s="12" t="s">
        <v>16</v>
      </c>
    </row>
    <row r="497" spans="1:13" ht="16.8" x14ac:dyDescent="0.3">
      <c r="A497" s="7" t="s">
        <v>575</v>
      </c>
      <c r="B497" s="8">
        <v>44481</v>
      </c>
      <c r="C497" s="15" t="s">
        <v>273</v>
      </c>
      <c r="D497" s="10" t="s">
        <v>222</v>
      </c>
      <c r="E497">
        <v>4</v>
      </c>
      <c r="F497">
        <v>65000</v>
      </c>
      <c r="G497">
        <v>65000</v>
      </c>
      <c r="H497">
        <v>5</v>
      </c>
      <c r="I497">
        <v>65000</v>
      </c>
      <c r="J497" s="10" t="s">
        <v>279</v>
      </c>
      <c r="K497" s="10">
        <v>65000</v>
      </c>
      <c r="L497" s="10">
        <v>260000</v>
      </c>
      <c r="M497" s="12" t="s">
        <v>13</v>
      </c>
    </row>
    <row r="498" spans="1:13" ht="16.8" x14ac:dyDescent="0.3">
      <c r="A498" s="7" t="s">
        <v>576</v>
      </c>
      <c r="B498" s="8">
        <v>44345</v>
      </c>
      <c r="C498" s="15" t="s">
        <v>3</v>
      </c>
      <c r="D498" s="10" t="s">
        <v>222</v>
      </c>
      <c r="E498">
        <v>3</v>
      </c>
      <c r="F498">
        <v>59000</v>
      </c>
      <c r="G498">
        <v>29000</v>
      </c>
      <c r="H498">
        <v>6</v>
      </c>
      <c r="I498">
        <v>29000</v>
      </c>
      <c r="J498" s="10" t="s">
        <v>279</v>
      </c>
      <c r="K498" s="10">
        <v>29000</v>
      </c>
      <c r="L498" s="10">
        <v>87000</v>
      </c>
      <c r="M498" s="12" t="s">
        <v>239</v>
      </c>
    </row>
    <row r="499" spans="1:13" ht="16.8" x14ac:dyDescent="0.3">
      <c r="A499" s="7" t="s">
        <v>577</v>
      </c>
      <c r="B499" s="8">
        <v>44335</v>
      </c>
      <c r="C499" s="15" t="s">
        <v>4</v>
      </c>
      <c r="D499" s="10" t="s">
        <v>222</v>
      </c>
      <c r="E499">
        <v>1</v>
      </c>
      <c r="F499">
        <v>29000</v>
      </c>
      <c r="G499">
        <v>59000</v>
      </c>
      <c r="H499">
        <v>7</v>
      </c>
      <c r="I499">
        <v>26970</v>
      </c>
      <c r="J499" s="10" t="s">
        <v>278</v>
      </c>
      <c r="K499" s="10">
        <v>26970</v>
      </c>
      <c r="L499" s="10">
        <v>26970</v>
      </c>
      <c r="M499" s="12" t="s">
        <v>19</v>
      </c>
    </row>
    <row r="500" spans="1:13" ht="16.8" x14ac:dyDescent="0.3">
      <c r="A500" s="7" t="s">
        <v>578</v>
      </c>
      <c r="B500" s="8">
        <v>44495</v>
      </c>
      <c r="C500" s="15" t="s">
        <v>3</v>
      </c>
      <c r="D500" s="10" t="s">
        <v>223</v>
      </c>
      <c r="E500">
        <v>1</v>
      </c>
      <c r="F500">
        <v>59000</v>
      </c>
      <c r="G500">
        <v>45000</v>
      </c>
      <c r="H500">
        <v>13</v>
      </c>
      <c r="I500">
        <v>51330</v>
      </c>
      <c r="J500" s="10" t="s">
        <v>278</v>
      </c>
      <c r="K500" s="10">
        <v>51330</v>
      </c>
      <c r="L500" s="10">
        <v>51330</v>
      </c>
      <c r="M500" s="12" t="s">
        <v>228</v>
      </c>
    </row>
    <row r="501" spans="1:13" ht="16.8" x14ac:dyDescent="0.3">
      <c r="A501" s="7" t="s">
        <v>579</v>
      </c>
      <c r="B501" s="8">
        <v>44629</v>
      </c>
      <c r="C501" s="15" t="s">
        <v>271</v>
      </c>
      <c r="D501" s="10" t="s">
        <v>222</v>
      </c>
      <c r="E501">
        <v>5</v>
      </c>
      <c r="F501">
        <v>69000</v>
      </c>
      <c r="G501">
        <v>45000</v>
      </c>
      <c r="H501">
        <v>5</v>
      </c>
      <c r="I501">
        <v>45000</v>
      </c>
      <c r="J501" s="10" t="s">
        <v>279</v>
      </c>
      <c r="K501" s="10">
        <v>45000</v>
      </c>
      <c r="L501" s="10">
        <v>225000</v>
      </c>
      <c r="M501" s="12" t="s">
        <v>261</v>
      </c>
    </row>
    <row r="502" spans="1:13" ht="16.8" x14ac:dyDescent="0.3">
      <c r="A502" s="7" t="s">
        <v>580</v>
      </c>
      <c r="B502" s="8">
        <v>44722</v>
      </c>
      <c r="C502" s="15" t="s">
        <v>6</v>
      </c>
      <c r="D502" s="10" t="s">
        <v>224</v>
      </c>
      <c r="E502">
        <v>5</v>
      </c>
      <c r="F502">
        <v>45000</v>
      </c>
      <c r="G502">
        <v>49000</v>
      </c>
      <c r="H502">
        <v>6</v>
      </c>
      <c r="I502">
        <v>49000</v>
      </c>
      <c r="J502" s="10" t="s">
        <v>279</v>
      </c>
      <c r="K502" s="10">
        <v>49000</v>
      </c>
      <c r="L502" s="10">
        <v>245000</v>
      </c>
      <c r="M502" s="12" t="s">
        <v>256</v>
      </c>
    </row>
    <row r="503" spans="1:13" ht="16.8" x14ac:dyDescent="0.3">
      <c r="A503" s="7" t="s">
        <v>581</v>
      </c>
      <c r="B503" s="8">
        <v>44448</v>
      </c>
      <c r="C503" s="15" t="s">
        <v>270</v>
      </c>
      <c r="D503" s="10" t="s">
        <v>224</v>
      </c>
      <c r="E503">
        <v>1</v>
      </c>
      <c r="F503">
        <v>35000</v>
      </c>
      <c r="G503">
        <v>59000</v>
      </c>
      <c r="H503">
        <v>10</v>
      </c>
      <c r="I503">
        <v>59000</v>
      </c>
      <c r="J503" s="10" t="s">
        <v>279</v>
      </c>
      <c r="K503" s="10">
        <v>59000</v>
      </c>
      <c r="L503" s="10">
        <v>59000</v>
      </c>
      <c r="M503" s="12" t="s">
        <v>253</v>
      </c>
    </row>
    <row r="504" spans="1:13" ht="16.8" x14ac:dyDescent="0.3">
      <c r="A504" s="7" t="s">
        <v>582</v>
      </c>
      <c r="B504" s="8">
        <v>44846</v>
      </c>
      <c r="C504" s="15" t="s">
        <v>272</v>
      </c>
      <c r="D504" s="10" t="s">
        <v>222</v>
      </c>
      <c r="E504">
        <v>1</v>
      </c>
      <c r="F504">
        <v>49000</v>
      </c>
      <c r="G504">
        <v>55000</v>
      </c>
      <c r="H504">
        <v>9</v>
      </c>
      <c r="I504">
        <v>55000</v>
      </c>
      <c r="J504" s="10" t="s">
        <v>279</v>
      </c>
      <c r="K504" s="10">
        <v>55000</v>
      </c>
      <c r="L504" s="10">
        <v>55000</v>
      </c>
      <c r="M504" s="12" t="s">
        <v>253</v>
      </c>
    </row>
    <row r="505" spans="1:13" ht="16.8" x14ac:dyDescent="0.3">
      <c r="A505" s="7" t="s">
        <v>583</v>
      </c>
      <c r="B505" s="8">
        <v>44662</v>
      </c>
      <c r="C505" s="15" t="s">
        <v>3</v>
      </c>
      <c r="D505" s="10" t="s">
        <v>223</v>
      </c>
      <c r="E505">
        <v>1</v>
      </c>
      <c r="F505">
        <v>35000</v>
      </c>
      <c r="G505">
        <v>65000</v>
      </c>
      <c r="H505">
        <v>9</v>
      </c>
      <c r="I505">
        <v>31850</v>
      </c>
      <c r="J505" s="10" t="s">
        <v>278</v>
      </c>
      <c r="K505" s="10">
        <v>31850</v>
      </c>
      <c r="L505" s="10">
        <v>31850</v>
      </c>
      <c r="M505" s="12" t="s">
        <v>253</v>
      </c>
    </row>
    <row r="506" spans="1:13" ht="16.8" x14ac:dyDescent="0.3">
      <c r="A506" s="7" t="s">
        <v>584</v>
      </c>
      <c r="B506" s="8">
        <v>44969</v>
      </c>
      <c r="C506" s="15" t="s">
        <v>5</v>
      </c>
      <c r="D506" s="10" t="s">
        <v>224</v>
      </c>
      <c r="E506">
        <v>4</v>
      </c>
      <c r="F506">
        <v>65000</v>
      </c>
      <c r="G506">
        <v>39000</v>
      </c>
      <c r="H506">
        <v>10</v>
      </c>
      <c r="I506">
        <v>39000</v>
      </c>
      <c r="J506" s="10" t="s">
        <v>279</v>
      </c>
      <c r="K506" s="10">
        <v>39000</v>
      </c>
      <c r="L506" s="10">
        <v>156000</v>
      </c>
      <c r="M506" s="12" t="s">
        <v>250</v>
      </c>
    </row>
    <row r="507" spans="1:13" ht="16.8" x14ac:dyDescent="0.3">
      <c r="A507" s="7" t="s">
        <v>585</v>
      </c>
      <c r="B507" s="8">
        <v>44753</v>
      </c>
      <c r="C507" s="15" t="s">
        <v>3</v>
      </c>
      <c r="D507" s="10" t="s">
        <v>222</v>
      </c>
      <c r="E507">
        <v>1</v>
      </c>
      <c r="F507">
        <v>59000</v>
      </c>
      <c r="G507">
        <v>49000</v>
      </c>
      <c r="H507">
        <v>9</v>
      </c>
      <c r="I507">
        <v>53690</v>
      </c>
      <c r="J507" s="10" t="s">
        <v>278</v>
      </c>
      <c r="K507" s="10">
        <v>53690</v>
      </c>
      <c r="L507" s="10">
        <v>53690</v>
      </c>
      <c r="M507" s="12" t="s">
        <v>245</v>
      </c>
    </row>
    <row r="508" spans="1:13" ht="16.8" x14ac:dyDescent="0.3">
      <c r="A508" s="7" t="s">
        <v>586</v>
      </c>
      <c r="B508" s="8">
        <v>45154</v>
      </c>
      <c r="C508" s="15" t="s">
        <v>275</v>
      </c>
      <c r="D508" s="10" t="s">
        <v>223</v>
      </c>
      <c r="E508">
        <v>3</v>
      </c>
      <c r="F508">
        <v>29000</v>
      </c>
      <c r="G508">
        <v>75000</v>
      </c>
      <c r="H508">
        <v>5</v>
      </c>
      <c r="I508">
        <v>27550</v>
      </c>
      <c r="J508" s="10" t="s">
        <v>278</v>
      </c>
      <c r="K508" s="10">
        <v>27550</v>
      </c>
      <c r="L508" s="10">
        <v>82650</v>
      </c>
      <c r="M508" s="12" t="s">
        <v>15</v>
      </c>
    </row>
    <row r="509" spans="1:13" ht="16.8" x14ac:dyDescent="0.3">
      <c r="A509" s="7" t="s">
        <v>587</v>
      </c>
      <c r="B509" s="8">
        <v>44732</v>
      </c>
      <c r="C509" s="15" t="s">
        <v>6</v>
      </c>
      <c r="D509" s="10" t="s">
        <v>222</v>
      </c>
      <c r="E509">
        <v>5</v>
      </c>
      <c r="F509">
        <v>65000</v>
      </c>
      <c r="G509">
        <v>65000</v>
      </c>
      <c r="H509">
        <v>7</v>
      </c>
      <c r="I509">
        <v>65000</v>
      </c>
      <c r="J509" s="10" t="s">
        <v>279</v>
      </c>
      <c r="K509" s="10">
        <v>65000</v>
      </c>
      <c r="L509" s="10">
        <v>325000</v>
      </c>
      <c r="M509" s="12" t="s">
        <v>239</v>
      </c>
    </row>
    <row r="510" spans="1:13" ht="16.8" x14ac:dyDescent="0.3">
      <c r="A510" s="7" t="s">
        <v>588</v>
      </c>
      <c r="B510" s="8">
        <v>44889</v>
      </c>
      <c r="C510" s="15" t="s">
        <v>5</v>
      </c>
      <c r="D510" s="10" t="s">
        <v>222</v>
      </c>
      <c r="E510">
        <v>3</v>
      </c>
      <c r="F510">
        <v>45000</v>
      </c>
      <c r="G510">
        <v>69000</v>
      </c>
      <c r="H510">
        <v>6</v>
      </c>
      <c r="I510">
        <v>42300</v>
      </c>
      <c r="J510" s="10" t="s">
        <v>278</v>
      </c>
      <c r="K510" s="10">
        <v>42300</v>
      </c>
      <c r="L510" s="10">
        <v>126900</v>
      </c>
      <c r="M510" s="12" t="s">
        <v>18</v>
      </c>
    </row>
    <row r="511" spans="1:13" ht="16.8" x14ac:dyDescent="0.3">
      <c r="A511" s="7" t="s">
        <v>589</v>
      </c>
      <c r="B511" s="8">
        <v>44846</v>
      </c>
      <c r="C511" s="15" t="s">
        <v>4</v>
      </c>
      <c r="D511" s="10" t="s">
        <v>222</v>
      </c>
      <c r="E511">
        <v>4</v>
      </c>
      <c r="F511">
        <v>59000</v>
      </c>
      <c r="G511">
        <v>35000</v>
      </c>
      <c r="H511">
        <v>9</v>
      </c>
      <c r="I511">
        <v>53690</v>
      </c>
      <c r="J511" s="10" t="s">
        <v>278</v>
      </c>
      <c r="K511" s="10">
        <v>53690</v>
      </c>
      <c r="L511" s="10">
        <v>214760</v>
      </c>
      <c r="M511" s="12" t="s">
        <v>257</v>
      </c>
    </row>
    <row r="512" spans="1:13" ht="16.8" x14ac:dyDescent="0.3">
      <c r="A512" s="7" t="s">
        <v>590</v>
      </c>
      <c r="B512" s="8">
        <v>44832</v>
      </c>
      <c r="C512" s="15" t="s">
        <v>272</v>
      </c>
      <c r="D512" s="10" t="s">
        <v>224</v>
      </c>
      <c r="E512">
        <v>1</v>
      </c>
      <c r="F512">
        <v>39000</v>
      </c>
      <c r="G512">
        <v>65000</v>
      </c>
      <c r="H512">
        <v>11</v>
      </c>
      <c r="I512">
        <v>34710</v>
      </c>
      <c r="J512" s="10" t="s">
        <v>278</v>
      </c>
      <c r="K512" s="10">
        <v>34710</v>
      </c>
      <c r="L512" s="10">
        <v>34710</v>
      </c>
      <c r="M512" s="12" t="s">
        <v>261</v>
      </c>
    </row>
    <row r="513" spans="1:13" ht="16.8" x14ac:dyDescent="0.3">
      <c r="A513" s="7" t="s">
        <v>591</v>
      </c>
      <c r="B513" s="8">
        <v>44905</v>
      </c>
      <c r="C513" s="15" t="s">
        <v>4</v>
      </c>
      <c r="D513" s="10" t="s">
        <v>224</v>
      </c>
      <c r="E513">
        <v>5</v>
      </c>
      <c r="F513">
        <v>59000</v>
      </c>
      <c r="G513">
        <v>65000</v>
      </c>
      <c r="H513">
        <v>10</v>
      </c>
      <c r="I513">
        <v>53100</v>
      </c>
      <c r="J513" s="10" t="s">
        <v>278</v>
      </c>
      <c r="K513" s="10">
        <v>53100</v>
      </c>
      <c r="L513" s="10">
        <v>265500</v>
      </c>
      <c r="M513" s="12" t="s">
        <v>15</v>
      </c>
    </row>
    <row r="514" spans="1:13" ht="16.8" x14ac:dyDescent="0.3">
      <c r="A514" s="7" t="s">
        <v>592</v>
      </c>
      <c r="B514" s="8">
        <v>44379</v>
      </c>
      <c r="C514" s="15" t="s">
        <v>274</v>
      </c>
      <c r="D514" s="10" t="s">
        <v>223</v>
      </c>
      <c r="E514">
        <v>2</v>
      </c>
      <c r="F514">
        <v>49000</v>
      </c>
      <c r="G514">
        <v>59000</v>
      </c>
      <c r="H514">
        <v>10</v>
      </c>
      <c r="I514">
        <v>44100</v>
      </c>
      <c r="J514" s="10" t="s">
        <v>278</v>
      </c>
      <c r="K514" s="10">
        <v>44100</v>
      </c>
      <c r="L514" s="10">
        <v>88200</v>
      </c>
      <c r="M514" s="12" t="s">
        <v>14</v>
      </c>
    </row>
    <row r="515" spans="1:13" ht="16.8" x14ac:dyDescent="0.3">
      <c r="A515" s="7" t="s">
        <v>593</v>
      </c>
      <c r="B515" s="8">
        <v>44313</v>
      </c>
      <c r="C515" s="15" t="s">
        <v>270</v>
      </c>
      <c r="D515" s="10" t="s">
        <v>222</v>
      </c>
      <c r="E515">
        <v>3</v>
      </c>
      <c r="F515">
        <v>49000</v>
      </c>
      <c r="G515">
        <v>59000</v>
      </c>
      <c r="H515">
        <v>9</v>
      </c>
      <c r="I515">
        <v>59000</v>
      </c>
      <c r="J515" s="10" t="s">
        <v>279</v>
      </c>
      <c r="K515" s="10">
        <v>59000</v>
      </c>
      <c r="L515" s="10">
        <v>177000</v>
      </c>
      <c r="M515" s="12" t="s">
        <v>231</v>
      </c>
    </row>
    <row r="516" spans="1:13" ht="16.8" x14ac:dyDescent="0.3">
      <c r="A516" s="7" t="s">
        <v>594</v>
      </c>
      <c r="B516" s="8">
        <v>44677</v>
      </c>
      <c r="C516" s="15" t="s">
        <v>5</v>
      </c>
      <c r="D516" s="10" t="s">
        <v>222</v>
      </c>
      <c r="E516">
        <v>1</v>
      </c>
      <c r="F516">
        <v>39000</v>
      </c>
      <c r="G516">
        <v>65000</v>
      </c>
      <c r="H516">
        <v>10</v>
      </c>
      <c r="I516">
        <v>65000</v>
      </c>
      <c r="J516" s="10" t="s">
        <v>279</v>
      </c>
      <c r="K516" s="10">
        <v>65000</v>
      </c>
      <c r="L516" s="10">
        <v>65000</v>
      </c>
      <c r="M516" s="12" t="s">
        <v>21</v>
      </c>
    </row>
    <row r="517" spans="1:13" ht="16.8" x14ac:dyDescent="0.3">
      <c r="A517" s="7" t="s">
        <v>595</v>
      </c>
      <c r="B517" s="8">
        <v>44644</v>
      </c>
      <c r="C517" s="15" t="s">
        <v>273</v>
      </c>
      <c r="D517" s="10" t="s">
        <v>223</v>
      </c>
      <c r="E517">
        <v>4</v>
      </c>
      <c r="F517">
        <v>69000</v>
      </c>
      <c r="G517">
        <v>55000</v>
      </c>
      <c r="H517">
        <v>6</v>
      </c>
      <c r="I517">
        <v>55000</v>
      </c>
      <c r="J517" s="10" t="s">
        <v>279</v>
      </c>
      <c r="K517" s="10">
        <v>55000</v>
      </c>
      <c r="L517" s="10">
        <v>220000</v>
      </c>
      <c r="M517" s="12" t="s">
        <v>16</v>
      </c>
    </row>
    <row r="518" spans="1:13" ht="16.8" x14ac:dyDescent="0.3">
      <c r="A518" s="7" t="s">
        <v>596</v>
      </c>
      <c r="B518" s="8">
        <v>44720</v>
      </c>
      <c r="C518" s="15" t="s">
        <v>273</v>
      </c>
      <c r="D518" s="10" t="s">
        <v>222</v>
      </c>
      <c r="E518">
        <v>3</v>
      </c>
      <c r="F518">
        <v>55000</v>
      </c>
      <c r="G518">
        <v>49000</v>
      </c>
      <c r="H518">
        <v>8</v>
      </c>
      <c r="I518">
        <v>50600</v>
      </c>
      <c r="J518" s="10" t="s">
        <v>278</v>
      </c>
      <c r="K518" s="10">
        <v>50600</v>
      </c>
      <c r="L518" s="10">
        <v>151800</v>
      </c>
      <c r="M518" s="12" t="s">
        <v>255</v>
      </c>
    </row>
    <row r="519" spans="1:13" ht="16.8" x14ac:dyDescent="0.3">
      <c r="A519" s="7" t="s">
        <v>597</v>
      </c>
      <c r="B519" s="8">
        <v>44816</v>
      </c>
      <c r="C519" s="15" t="s">
        <v>273</v>
      </c>
      <c r="D519" s="10" t="s">
        <v>223</v>
      </c>
      <c r="E519">
        <v>1</v>
      </c>
      <c r="F519">
        <v>29000</v>
      </c>
      <c r="G519">
        <v>59000</v>
      </c>
      <c r="H519">
        <v>5</v>
      </c>
      <c r="I519">
        <v>27550</v>
      </c>
      <c r="J519" s="10" t="s">
        <v>278</v>
      </c>
      <c r="K519" s="10">
        <v>27550</v>
      </c>
      <c r="L519" s="10">
        <v>27550</v>
      </c>
      <c r="M519" s="12" t="s">
        <v>227</v>
      </c>
    </row>
    <row r="520" spans="1:13" ht="16.8" x14ac:dyDescent="0.3">
      <c r="A520" s="7" t="s">
        <v>598</v>
      </c>
      <c r="B520" s="8">
        <v>45010</v>
      </c>
      <c r="C520" s="15" t="s">
        <v>270</v>
      </c>
      <c r="D520" s="10" t="s">
        <v>223</v>
      </c>
      <c r="E520">
        <v>2</v>
      </c>
      <c r="F520">
        <v>45000</v>
      </c>
      <c r="G520">
        <v>55000</v>
      </c>
      <c r="H520">
        <v>7</v>
      </c>
      <c r="I520">
        <v>55000</v>
      </c>
      <c r="J520" s="10" t="s">
        <v>279</v>
      </c>
      <c r="K520" s="10">
        <v>55000</v>
      </c>
      <c r="L520" s="10">
        <v>110000</v>
      </c>
      <c r="M520" s="12" t="s">
        <v>248</v>
      </c>
    </row>
    <row r="521" spans="1:13" ht="16.8" x14ac:dyDescent="0.3">
      <c r="A521" s="7" t="s">
        <v>599</v>
      </c>
      <c r="B521" s="8">
        <v>44293</v>
      </c>
      <c r="C521" s="15" t="s">
        <v>274</v>
      </c>
      <c r="D521" s="10" t="s">
        <v>223</v>
      </c>
      <c r="E521">
        <v>4</v>
      </c>
      <c r="F521">
        <v>29000</v>
      </c>
      <c r="G521">
        <v>59000</v>
      </c>
      <c r="H521">
        <v>13</v>
      </c>
      <c r="I521">
        <v>59000</v>
      </c>
      <c r="J521" s="10" t="s">
        <v>279</v>
      </c>
      <c r="K521" s="10">
        <v>59000</v>
      </c>
      <c r="L521" s="10">
        <v>236000</v>
      </c>
      <c r="M521" s="12" t="s">
        <v>241</v>
      </c>
    </row>
    <row r="522" spans="1:13" ht="16.8" x14ac:dyDescent="0.3">
      <c r="A522" s="7" t="s">
        <v>600</v>
      </c>
      <c r="B522" s="8">
        <v>44592</v>
      </c>
      <c r="C522" s="15" t="s">
        <v>274</v>
      </c>
      <c r="D522" s="10" t="s">
        <v>223</v>
      </c>
      <c r="E522">
        <v>1</v>
      </c>
      <c r="F522">
        <v>65000</v>
      </c>
      <c r="G522">
        <v>65000</v>
      </c>
      <c r="H522">
        <v>9</v>
      </c>
      <c r="I522">
        <v>59150</v>
      </c>
      <c r="J522" s="10" t="s">
        <v>278</v>
      </c>
      <c r="K522" s="10">
        <v>59150</v>
      </c>
      <c r="L522" s="10">
        <v>59150</v>
      </c>
      <c r="M522" s="12" t="s">
        <v>244</v>
      </c>
    </row>
    <row r="523" spans="1:13" ht="16.8" x14ac:dyDescent="0.3">
      <c r="A523" s="7" t="s">
        <v>601</v>
      </c>
      <c r="B523" s="8">
        <v>44438</v>
      </c>
      <c r="C523" s="15" t="s">
        <v>5</v>
      </c>
      <c r="D523" s="10" t="s">
        <v>224</v>
      </c>
      <c r="E523">
        <v>2</v>
      </c>
      <c r="F523">
        <v>65000</v>
      </c>
      <c r="G523">
        <v>49000</v>
      </c>
      <c r="H523">
        <v>5</v>
      </c>
      <c r="I523">
        <v>49000</v>
      </c>
      <c r="J523" s="10" t="s">
        <v>279</v>
      </c>
      <c r="K523" s="10">
        <v>49000</v>
      </c>
      <c r="L523" s="10">
        <v>98000</v>
      </c>
      <c r="M523" s="12" t="s">
        <v>229</v>
      </c>
    </row>
    <row r="524" spans="1:13" ht="16.8" x14ac:dyDescent="0.3">
      <c r="A524" s="7" t="s">
        <v>602</v>
      </c>
      <c r="B524" s="8">
        <v>44385</v>
      </c>
      <c r="C524" s="15" t="s">
        <v>275</v>
      </c>
      <c r="D524" s="10" t="s">
        <v>222</v>
      </c>
      <c r="E524">
        <v>5</v>
      </c>
      <c r="F524">
        <v>55000</v>
      </c>
      <c r="G524">
        <v>65000</v>
      </c>
      <c r="H524">
        <v>12</v>
      </c>
      <c r="I524">
        <v>48400</v>
      </c>
      <c r="J524" s="10" t="s">
        <v>278</v>
      </c>
      <c r="K524" s="10">
        <v>48400</v>
      </c>
      <c r="L524" s="10">
        <v>242000</v>
      </c>
      <c r="M524" s="12" t="s">
        <v>234</v>
      </c>
    </row>
    <row r="525" spans="1:13" ht="16.8" x14ac:dyDescent="0.3">
      <c r="A525" s="7" t="s">
        <v>603</v>
      </c>
      <c r="B525" s="8">
        <v>44959</v>
      </c>
      <c r="C525" s="15" t="s">
        <v>272</v>
      </c>
      <c r="D525" s="10" t="s">
        <v>223</v>
      </c>
      <c r="E525">
        <v>1</v>
      </c>
      <c r="F525">
        <v>65000</v>
      </c>
      <c r="G525">
        <v>69000</v>
      </c>
      <c r="H525">
        <v>12</v>
      </c>
      <c r="I525">
        <v>69000</v>
      </c>
      <c r="J525" s="10" t="s">
        <v>279</v>
      </c>
      <c r="K525" s="10">
        <v>69000</v>
      </c>
      <c r="L525" s="10">
        <v>69000</v>
      </c>
      <c r="M525" s="12" t="s">
        <v>13</v>
      </c>
    </row>
    <row r="526" spans="1:13" ht="16.8" x14ac:dyDescent="0.3">
      <c r="A526" s="7" t="s">
        <v>604</v>
      </c>
      <c r="B526" s="8">
        <v>45212</v>
      </c>
      <c r="C526" s="15" t="s">
        <v>5</v>
      </c>
      <c r="D526" s="10" t="s">
        <v>223</v>
      </c>
      <c r="E526">
        <v>2</v>
      </c>
      <c r="F526">
        <v>55000</v>
      </c>
      <c r="G526">
        <v>59000</v>
      </c>
      <c r="H526">
        <v>8</v>
      </c>
      <c r="I526">
        <v>59000</v>
      </c>
      <c r="J526" s="10" t="s">
        <v>279</v>
      </c>
      <c r="K526" s="10">
        <v>59000</v>
      </c>
      <c r="L526" s="10">
        <v>118000</v>
      </c>
      <c r="M526" s="12" t="s">
        <v>246</v>
      </c>
    </row>
    <row r="527" spans="1:13" ht="16.8" x14ac:dyDescent="0.3">
      <c r="A527" s="7" t="s">
        <v>605</v>
      </c>
      <c r="B527" s="8">
        <v>45088</v>
      </c>
      <c r="C527" s="15" t="s">
        <v>3</v>
      </c>
      <c r="D527" s="10" t="s">
        <v>222</v>
      </c>
      <c r="E527">
        <v>4</v>
      </c>
      <c r="F527">
        <v>65000</v>
      </c>
      <c r="G527">
        <v>55000</v>
      </c>
      <c r="H527">
        <v>7</v>
      </c>
      <c r="I527">
        <v>60449.999999999993</v>
      </c>
      <c r="J527" s="10" t="s">
        <v>278</v>
      </c>
      <c r="K527" s="10">
        <v>60449.999999999993</v>
      </c>
      <c r="L527" s="10">
        <v>241799.99999999997</v>
      </c>
      <c r="M527" s="12" t="s">
        <v>16</v>
      </c>
    </row>
    <row r="528" spans="1:13" ht="16.8" x14ac:dyDescent="0.3">
      <c r="A528" s="7" t="s">
        <v>606</v>
      </c>
      <c r="B528" s="8">
        <v>44366</v>
      </c>
      <c r="C528" s="15" t="s">
        <v>270</v>
      </c>
      <c r="D528" s="10" t="s">
        <v>223</v>
      </c>
      <c r="E528">
        <v>5</v>
      </c>
      <c r="F528">
        <v>49000</v>
      </c>
      <c r="G528">
        <v>55000</v>
      </c>
      <c r="H528">
        <v>9</v>
      </c>
      <c r="I528">
        <v>44590</v>
      </c>
      <c r="J528" s="10" t="s">
        <v>278</v>
      </c>
      <c r="K528" s="10">
        <v>44590</v>
      </c>
      <c r="L528" s="10">
        <v>222950</v>
      </c>
      <c r="M528" s="12" t="s">
        <v>225</v>
      </c>
    </row>
    <row r="529" spans="1:13" ht="16.8" x14ac:dyDescent="0.3">
      <c r="A529" s="7" t="s">
        <v>607</v>
      </c>
      <c r="B529" s="8">
        <v>45026</v>
      </c>
      <c r="C529" s="15" t="s">
        <v>6</v>
      </c>
      <c r="D529" s="10" t="s">
        <v>222</v>
      </c>
      <c r="E529">
        <v>1</v>
      </c>
      <c r="F529">
        <v>35000</v>
      </c>
      <c r="G529">
        <v>39000</v>
      </c>
      <c r="H529">
        <v>7</v>
      </c>
      <c r="I529">
        <v>32549.999999999996</v>
      </c>
      <c r="J529" s="10" t="s">
        <v>278</v>
      </c>
      <c r="K529" s="10">
        <v>32549.999999999996</v>
      </c>
      <c r="L529" s="10">
        <v>32549.999999999996</v>
      </c>
      <c r="M529" s="12" t="s">
        <v>262</v>
      </c>
    </row>
    <row r="530" spans="1:13" ht="16.8" x14ac:dyDescent="0.3">
      <c r="A530" s="7" t="s">
        <v>608</v>
      </c>
      <c r="B530" s="8">
        <v>45003</v>
      </c>
      <c r="C530" s="15" t="s">
        <v>270</v>
      </c>
      <c r="D530" s="10" t="s">
        <v>222</v>
      </c>
      <c r="E530">
        <v>1</v>
      </c>
      <c r="F530">
        <v>39000</v>
      </c>
      <c r="G530">
        <v>75000</v>
      </c>
      <c r="H530">
        <v>7</v>
      </c>
      <c r="I530">
        <v>75000</v>
      </c>
      <c r="J530" s="10" t="s">
        <v>279</v>
      </c>
      <c r="K530" s="10">
        <v>75000</v>
      </c>
      <c r="L530" s="10">
        <v>75000</v>
      </c>
      <c r="M530" s="12" t="s">
        <v>10</v>
      </c>
    </row>
    <row r="531" spans="1:13" ht="16.8" x14ac:dyDescent="0.3">
      <c r="A531" s="7" t="s">
        <v>609</v>
      </c>
      <c r="B531" s="8">
        <v>44772</v>
      </c>
      <c r="C531" s="15" t="s">
        <v>270</v>
      </c>
      <c r="D531" s="10" t="s">
        <v>223</v>
      </c>
      <c r="E531">
        <v>2</v>
      </c>
      <c r="F531">
        <v>39000</v>
      </c>
      <c r="G531">
        <v>75000</v>
      </c>
      <c r="H531">
        <v>6</v>
      </c>
      <c r="I531">
        <v>75000</v>
      </c>
      <c r="J531" s="10" t="s">
        <v>279</v>
      </c>
      <c r="K531" s="10">
        <v>75000</v>
      </c>
      <c r="L531" s="10">
        <v>150000</v>
      </c>
      <c r="M531" s="12" t="s">
        <v>232</v>
      </c>
    </row>
    <row r="532" spans="1:13" ht="16.8" x14ac:dyDescent="0.3">
      <c r="A532" s="7" t="s">
        <v>610</v>
      </c>
      <c r="B532" s="8">
        <v>44535</v>
      </c>
      <c r="C532" s="15" t="s">
        <v>5</v>
      </c>
      <c r="D532" s="10" t="s">
        <v>222</v>
      </c>
      <c r="E532">
        <v>4</v>
      </c>
      <c r="F532">
        <v>59000</v>
      </c>
      <c r="G532">
        <v>49000</v>
      </c>
      <c r="H532">
        <v>8</v>
      </c>
      <c r="I532">
        <v>49000</v>
      </c>
      <c r="J532" s="10" t="s">
        <v>279</v>
      </c>
      <c r="K532" s="10">
        <v>49000</v>
      </c>
      <c r="L532" s="10">
        <v>196000</v>
      </c>
      <c r="M532" s="12" t="s">
        <v>20</v>
      </c>
    </row>
    <row r="533" spans="1:13" ht="16.8" x14ac:dyDescent="0.3">
      <c r="A533" s="7" t="s">
        <v>611</v>
      </c>
      <c r="B533" s="8">
        <v>44832</v>
      </c>
      <c r="C533" s="15" t="s">
        <v>274</v>
      </c>
      <c r="D533" s="10" t="s">
        <v>224</v>
      </c>
      <c r="E533">
        <v>4</v>
      </c>
      <c r="F533">
        <v>65000</v>
      </c>
      <c r="G533">
        <v>65000</v>
      </c>
      <c r="H533">
        <v>14</v>
      </c>
      <c r="I533">
        <v>65000</v>
      </c>
      <c r="J533" s="10" t="s">
        <v>279</v>
      </c>
      <c r="K533" s="10">
        <v>65000</v>
      </c>
      <c r="L533" s="10">
        <v>260000</v>
      </c>
      <c r="M533" s="12" t="s">
        <v>245</v>
      </c>
    </row>
    <row r="534" spans="1:13" ht="16.8" x14ac:dyDescent="0.3">
      <c r="A534" s="7" t="s">
        <v>612</v>
      </c>
      <c r="B534" s="8">
        <v>44530</v>
      </c>
      <c r="C534" s="15" t="s">
        <v>271</v>
      </c>
      <c r="D534" s="10" t="s">
        <v>224</v>
      </c>
      <c r="E534">
        <v>3</v>
      </c>
      <c r="F534">
        <v>39000</v>
      </c>
      <c r="G534">
        <v>49000</v>
      </c>
      <c r="H534">
        <v>15</v>
      </c>
      <c r="I534">
        <v>33150</v>
      </c>
      <c r="J534" s="10" t="s">
        <v>278</v>
      </c>
      <c r="K534" s="10">
        <v>33150</v>
      </c>
      <c r="L534" s="10">
        <v>99450</v>
      </c>
      <c r="M534" s="12" t="s">
        <v>257</v>
      </c>
    </row>
    <row r="535" spans="1:13" ht="16.8" x14ac:dyDescent="0.3">
      <c r="A535" s="7" t="s">
        <v>613</v>
      </c>
      <c r="B535" s="8">
        <v>44228</v>
      </c>
      <c r="C535" s="15" t="s">
        <v>273</v>
      </c>
      <c r="D535" s="10" t="s">
        <v>224</v>
      </c>
      <c r="E535">
        <v>5</v>
      </c>
      <c r="F535">
        <v>45000</v>
      </c>
      <c r="G535">
        <v>65000</v>
      </c>
      <c r="H535">
        <v>9</v>
      </c>
      <c r="I535">
        <v>40950</v>
      </c>
      <c r="J535" s="10" t="s">
        <v>278</v>
      </c>
      <c r="K535" s="10">
        <v>40950</v>
      </c>
      <c r="L535" s="10">
        <v>204750</v>
      </c>
      <c r="M535" s="12" t="s">
        <v>11</v>
      </c>
    </row>
    <row r="536" spans="1:13" ht="16.8" x14ac:dyDescent="0.3">
      <c r="A536" s="7" t="s">
        <v>614</v>
      </c>
      <c r="B536" s="8">
        <v>45105</v>
      </c>
      <c r="C536" s="15" t="s">
        <v>270</v>
      </c>
      <c r="D536" s="10" t="s">
        <v>224</v>
      </c>
      <c r="E536">
        <v>2</v>
      </c>
      <c r="F536">
        <v>49000</v>
      </c>
      <c r="G536">
        <v>59000</v>
      </c>
      <c r="H536">
        <v>8</v>
      </c>
      <c r="I536">
        <v>45080</v>
      </c>
      <c r="J536" s="10" t="s">
        <v>278</v>
      </c>
      <c r="K536" s="10">
        <v>45080</v>
      </c>
      <c r="L536" s="10">
        <v>90160</v>
      </c>
      <c r="M536" s="12" t="s">
        <v>225</v>
      </c>
    </row>
    <row r="537" spans="1:13" ht="16.8" x14ac:dyDescent="0.3">
      <c r="A537" s="7" t="s">
        <v>615</v>
      </c>
      <c r="B537" s="8">
        <v>44581</v>
      </c>
      <c r="C537" s="15" t="s">
        <v>6</v>
      </c>
      <c r="D537" s="10" t="s">
        <v>222</v>
      </c>
      <c r="E537">
        <v>2</v>
      </c>
      <c r="F537">
        <v>59000</v>
      </c>
      <c r="G537">
        <v>49000</v>
      </c>
      <c r="H537">
        <v>15</v>
      </c>
      <c r="I537">
        <v>49000</v>
      </c>
      <c r="J537" s="10" t="s">
        <v>279</v>
      </c>
      <c r="K537" s="10">
        <v>49000</v>
      </c>
      <c r="L537" s="10">
        <v>98000</v>
      </c>
      <c r="M537" s="12" t="s">
        <v>248</v>
      </c>
    </row>
    <row r="538" spans="1:13" ht="16.8" x14ac:dyDescent="0.3">
      <c r="A538" s="7" t="s">
        <v>616</v>
      </c>
      <c r="B538" s="8">
        <v>45182</v>
      </c>
      <c r="C538" s="15" t="s">
        <v>270</v>
      </c>
      <c r="D538" s="10" t="s">
        <v>222</v>
      </c>
      <c r="E538">
        <v>5</v>
      </c>
      <c r="F538">
        <v>59000</v>
      </c>
      <c r="G538">
        <v>59000</v>
      </c>
      <c r="H538">
        <v>11</v>
      </c>
      <c r="I538">
        <v>52510</v>
      </c>
      <c r="J538" s="10" t="s">
        <v>278</v>
      </c>
      <c r="K538" s="10">
        <v>52510</v>
      </c>
      <c r="L538" s="10">
        <v>262550</v>
      </c>
      <c r="M538" s="12" t="s">
        <v>246</v>
      </c>
    </row>
    <row r="539" spans="1:13" ht="16.8" x14ac:dyDescent="0.3">
      <c r="A539" s="7" t="s">
        <v>617</v>
      </c>
      <c r="B539" s="8">
        <v>45035</v>
      </c>
      <c r="C539" s="15" t="s">
        <v>4</v>
      </c>
      <c r="D539" s="10" t="s">
        <v>224</v>
      </c>
      <c r="E539">
        <v>2</v>
      </c>
      <c r="F539">
        <v>59000</v>
      </c>
      <c r="G539">
        <v>69000</v>
      </c>
      <c r="H539">
        <v>14</v>
      </c>
      <c r="I539">
        <v>69000</v>
      </c>
      <c r="J539" s="10" t="s">
        <v>279</v>
      </c>
      <c r="K539" s="10">
        <v>69000</v>
      </c>
      <c r="L539" s="10">
        <v>138000</v>
      </c>
      <c r="M539" s="12" t="s">
        <v>249</v>
      </c>
    </row>
    <row r="540" spans="1:13" ht="16.8" x14ac:dyDescent="0.3">
      <c r="A540" s="7" t="s">
        <v>618</v>
      </c>
      <c r="B540" s="8">
        <v>44870</v>
      </c>
      <c r="C540" s="15" t="s">
        <v>271</v>
      </c>
      <c r="D540" s="10" t="s">
        <v>224</v>
      </c>
      <c r="E540">
        <v>3</v>
      </c>
      <c r="F540">
        <v>65000</v>
      </c>
      <c r="G540">
        <v>35000</v>
      </c>
      <c r="H540">
        <v>10</v>
      </c>
      <c r="I540">
        <v>35000</v>
      </c>
      <c r="J540" s="10" t="s">
        <v>279</v>
      </c>
      <c r="K540" s="10">
        <v>35000</v>
      </c>
      <c r="L540" s="10">
        <v>105000</v>
      </c>
      <c r="M540" s="12" t="s">
        <v>19</v>
      </c>
    </row>
    <row r="541" spans="1:13" ht="16.8" x14ac:dyDescent="0.3">
      <c r="A541" s="7" t="s">
        <v>619</v>
      </c>
      <c r="B541" s="8">
        <v>45139</v>
      </c>
      <c r="C541" s="15" t="s">
        <v>5</v>
      </c>
      <c r="D541" s="10" t="s">
        <v>222</v>
      </c>
      <c r="E541">
        <v>2</v>
      </c>
      <c r="F541">
        <v>59000</v>
      </c>
      <c r="G541">
        <v>65000</v>
      </c>
      <c r="H541">
        <v>7</v>
      </c>
      <c r="I541">
        <v>65000</v>
      </c>
      <c r="J541" s="10" t="s">
        <v>279</v>
      </c>
      <c r="K541" s="10">
        <v>65000</v>
      </c>
      <c r="L541" s="10">
        <v>130000</v>
      </c>
      <c r="M541" s="12" t="s">
        <v>255</v>
      </c>
    </row>
    <row r="542" spans="1:13" ht="16.8" x14ac:dyDescent="0.3">
      <c r="A542" s="7" t="s">
        <v>620</v>
      </c>
      <c r="B542" s="8">
        <v>44857</v>
      </c>
      <c r="C542" s="15" t="s">
        <v>271</v>
      </c>
      <c r="D542" s="10" t="s">
        <v>224</v>
      </c>
      <c r="E542">
        <v>5</v>
      </c>
      <c r="F542">
        <v>65000</v>
      </c>
      <c r="G542">
        <v>49000</v>
      </c>
      <c r="H542">
        <v>8</v>
      </c>
      <c r="I542">
        <v>59800</v>
      </c>
      <c r="J542" s="10" t="s">
        <v>278</v>
      </c>
      <c r="K542" s="10">
        <v>59800</v>
      </c>
      <c r="L542" s="10">
        <v>299000</v>
      </c>
      <c r="M542" s="12" t="s">
        <v>241</v>
      </c>
    </row>
    <row r="543" spans="1:13" ht="16.8" x14ac:dyDescent="0.3">
      <c r="A543" s="7" t="s">
        <v>621</v>
      </c>
      <c r="B543" s="8">
        <v>44279</v>
      </c>
      <c r="C543" s="15" t="s">
        <v>275</v>
      </c>
      <c r="D543" s="10" t="s">
        <v>223</v>
      </c>
      <c r="E543">
        <v>5</v>
      </c>
      <c r="F543">
        <v>59000</v>
      </c>
      <c r="G543">
        <v>59000</v>
      </c>
      <c r="H543">
        <v>6</v>
      </c>
      <c r="I543">
        <v>59000</v>
      </c>
      <c r="J543" s="10" t="s">
        <v>279</v>
      </c>
      <c r="K543" s="10">
        <v>59000</v>
      </c>
      <c r="L543" s="10">
        <v>295000</v>
      </c>
      <c r="M543" s="12" t="s">
        <v>13</v>
      </c>
    </row>
    <row r="544" spans="1:13" ht="16.8" x14ac:dyDescent="0.3">
      <c r="A544" s="7" t="s">
        <v>622</v>
      </c>
      <c r="B544" s="8">
        <v>44571</v>
      </c>
      <c r="C544" s="15" t="s">
        <v>4</v>
      </c>
      <c r="D544" s="10" t="s">
        <v>223</v>
      </c>
      <c r="E544">
        <v>3</v>
      </c>
      <c r="F544">
        <v>59000</v>
      </c>
      <c r="G544">
        <v>65000</v>
      </c>
      <c r="H544">
        <v>15</v>
      </c>
      <c r="I544">
        <v>65000</v>
      </c>
      <c r="J544" s="10" t="s">
        <v>279</v>
      </c>
      <c r="K544" s="10">
        <v>65000</v>
      </c>
      <c r="L544" s="10">
        <v>195000</v>
      </c>
      <c r="M544" s="12" t="s">
        <v>251</v>
      </c>
    </row>
    <row r="545" spans="1:13" ht="16.8" x14ac:dyDescent="0.3">
      <c r="A545" s="7" t="s">
        <v>623</v>
      </c>
      <c r="B545" s="8">
        <v>44616</v>
      </c>
      <c r="C545" s="15" t="s">
        <v>4</v>
      </c>
      <c r="D545" s="10" t="s">
        <v>224</v>
      </c>
      <c r="E545">
        <v>4</v>
      </c>
      <c r="F545">
        <v>59000</v>
      </c>
      <c r="G545">
        <v>49000</v>
      </c>
      <c r="H545">
        <v>10</v>
      </c>
      <c r="I545">
        <v>49000</v>
      </c>
      <c r="J545" s="10" t="s">
        <v>279</v>
      </c>
      <c r="K545" s="10">
        <v>49000</v>
      </c>
      <c r="L545" s="10">
        <v>196000</v>
      </c>
      <c r="M545" s="12" t="s">
        <v>256</v>
      </c>
    </row>
    <row r="546" spans="1:13" ht="16.8" x14ac:dyDescent="0.3">
      <c r="A546" s="7" t="s">
        <v>624</v>
      </c>
      <c r="B546" s="8">
        <v>45112</v>
      </c>
      <c r="C546" s="15" t="s">
        <v>5</v>
      </c>
      <c r="D546" s="10" t="s">
        <v>223</v>
      </c>
      <c r="E546">
        <v>5</v>
      </c>
      <c r="F546">
        <v>65000</v>
      </c>
      <c r="G546">
        <v>69000</v>
      </c>
      <c r="H546">
        <v>14</v>
      </c>
      <c r="I546">
        <v>55900</v>
      </c>
      <c r="J546" s="10" t="s">
        <v>278</v>
      </c>
      <c r="K546" s="10">
        <v>55900</v>
      </c>
      <c r="L546" s="10">
        <v>279500</v>
      </c>
      <c r="M546" s="12" t="s">
        <v>242</v>
      </c>
    </row>
    <row r="547" spans="1:13" ht="16.8" x14ac:dyDescent="0.3">
      <c r="A547" s="7" t="s">
        <v>625</v>
      </c>
      <c r="B547" s="8">
        <v>44940</v>
      </c>
      <c r="C547" s="15" t="s">
        <v>5</v>
      </c>
      <c r="D547" s="10" t="s">
        <v>222</v>
      </c>
      <c r="E547">
        <v>1</v>
      </c>
      <c r="F547">
        <v>65000</v>
      </c>
      <c r="G547">
        <v>45000</v>
      </c>
      <c r="H547">
        <v>13</v>
      </c>
      <c r="I547">
        <v>56550</v>
      </c>
      <c r="J547" s="10" t="s">
        <v>278</v>
      </c>
      <c r="K547" s="10">
        <v>56550</v>
      </c>
      <c r="L547" s="10">
        <v>56550</v>
      </c>
      <c r="M547" s="12" t="s">
        <v>254</v>
      </c>
    </row>
    <row r="548" spans="1:13" ht="16.8" x14ac:dyDescent="0.3">
      <c r="A548" s="7" t="s">
        <v>626</v>
      </c>
      <c r="B548" s="8">
        <v>44806</v>
      </c>
      <c r="C548" s="15" t="s">
        <v>3</v>
      </c>
      <c r="D548" s="10" t="s">
        <v>224</v>
      </c>
      <c r="E548">
        <v>4</v>
      </c>
      <c r="F548">
        <v>59000</v>
      </c>
      <c r="G548">
        <v>65000</v>
      </c>
      <c r="H548">
        <v>14</v>
      </c>
      <c r="I548">
        <v>65000</v>
      </c>
      <c r="J548" s="10" t="s">
        <v>279</v>
      </c>
      <c r="K548" s="10">
        <v>65000</v>
      </c>
      <c r="L548" s="10">
        <v>260000</v>
      </c>
      <c r="M548" s="12" t="s">
        <v>254</v>
      </c>
    </row>
    <row r="549" spans="1:13" ht="16.8" x14ac:dyDescent="0.3">
      <c r="A549" s="7" t="s">
        <v>627</v>
      </c>
      <c r="B549" s="8">
        <v>44509</v>
      </c>
      <c r="C549" s="15" t="s">
        <v>271</v>
      </c>
      <c r="D549" s="10" t="s">
        <v>222</v>
      </c>
      <c r="E549">
        <v>1</v>
      </c>
      <c r="F549">
        <v>55000</v>
      </c>
      <c r="G549">
        <v>59000</v>
      </c>
      <c r="H549">
        <v>13</v>
      </c>
      <c r="I549">
        <v>59000</v>
      </c>
      <c r="J549" s="10" t="s">
        <v>279</v>
      </c>
      <c r="K549" s="10">
        <v>59000</v>
      </c>
      <c r="L549" s="10">
        <v>59000</v>
      </c>
      <c r="M549" s="12" t="s">
        <v>14</v>
      </c>
    </row>
    <row r="550" spans="1:13" ht="16.8" x14ac:dyDescent="0.3">
      <c r="A550" s="7" t="s">
        <v>628</v>
      </c>
      <c r="B550" s="8">
        <v>44901</v>
      </c>
      <c r="C550" s="15" t="s">
        <v>6</v>
      </c>
      <c r="D550" s="10" t="s">
        <v>222</v>
      </c>
      <c r="E550">
        <v>3</v>
      </c>
      <c r="F550">
        <v>69000</v>
      </c>
      <c r="G550">
        <v>75000</v>
      </c>
      <c r="H550">
        <v>13</v>
      </c>
      <c r="I550">
        <v>60030</v>
      </c>
      <c r="J550" s="10" t="s">
        <v>278</v>
      </c>
      <c r="K550" s="10">
        <v>60030</v>
      </c>
      <c r="L550" s="10">
        <v>180090</v>
      </c>
      <c r="M550" s="12" t="s">
        <v>260</v>
      </c>
    </row>
    <row r="551" spans="1:13" ht="16.8" x14ac:dyDescent="0.3">
      <c r="A551" s="7" t="s">
        <v>629</v>
      </c>
      <c r="B551" s="8">
        <v>44720</v>
      </c>
      <c r="C551" s="15" t="s">
        <v>270</v>
      </c>
      <c r="D551" s="10" t="s">
        <v>223</v>
      </c>
      <c r="E551">
        <v>2</v>
      </c>
      <c r="F551">
        <v>65000</v>
      </c>
      <c r="G551">
        <v>69000</v>
      </c>
      <c r="H551">
        <v>5</v>
      </c>
      <c r="I551">
        <v>69000</v>
      </c>
      <c r="J551" s="10" t="s">
        <v>279</v>
      </c>
      <c r="K551" s="10">
        <v>69000</v>
      </c>
      <c r="L551" s="10">
        <v>138000</v>
      </c>
      <c r="M551" s="12" t="s">
        <v>233</v>
      </c>
    </row>
    <row r="552" spans="1:13" ht="16.8" x14ac:dyDescent="0.3">
      <c r="A552" s="7" t="s">
        <v>630</v>
      </c>
      <c r="B552" s="8">
        <v>44986</v>
      </c>
      <c r="C552" s="15" t="s">
        <v>3</v>
      </c>
      <c r="D552" s="10" t="s">
        <v>222</v>
      </c>
      <c r="E552">
        <v>2</v>
      </c>
      <c r="F552">
        <v>59000</v>
      </c>
      <c r="G552">
        <v>59000</v>
      </c>
      <c r="H552">
        <v>5</v>
      </c>
      <c r="I552">
        <v>56050</v>
      </c>
      <c r="J552" s="10" t="s">
        <v>278</v>
      </c>
      <c r="K552" s="10">
        <v>56050</v>
      </c>
      <c r="L552" s="10">
        <v>112100</v>
      </c>
      <c r="M552" s="12" t="s">
        <v>238</v>
      </c>
    </row>
    <row r="553" spans="1:13" ht="16.8" x14ac:dyDescent="0.3">
      <c r="A553" s="7" t="s">
        <v>631</v>
      </c>
      <c r="B553" s="8">
        <v>45157</v>
      </c>
      <c r="C553" s="15" t="s">
        <v>273</v>
      </c>
      <c r="D553" s="10" t="s">
        <v>222</v>
      </c>
      <c r="E553">
        <v>2</v>
      </c>
      <c r="F553">
        <v>35000</v>
      </c>
      <c r="G553">
        <v>49000</v>
      </c>
      <c r="H553">
        <v>8</v>
      </c>
      <c r="I553">
        <v>49000</v>
      </c>
      <c r="J553" s="10" t="s">
        <v>279</v>
      </c>
      <c r="K553" s="10">
        <v>49000</v>
      </c>
      <c r="L553" s="10">
        <v>98000</v>
      </c>
      <c r="M553" s="12" t="s">
        <v>17</v>
      </c>
    </row>
    <row r="554" spans="1:13" ht="16.8" x14ac:dyDescent="0.3">
      <c r="A554" s="7" t="s">
        <v>632</v>
      </c>
      <c r="B554" s="8">
        <v>44964</v>
      </c>
      <c r="C554" s="15" t="s">
        <v>275</v>
      </c>
      <c r="D554" s="10" t="s">
        <v>222</v>
      </c>
      <c r="E554">
        <v>2</v>
      </c>
      <c r="F554">
        <v>59000</v>
      </c>
      <c r="G554">
        <v>39000</v>
      </c>
      <c r="H554">
        <v>13</v>
      </c>
      <c r="I554">
        <v>39000</v>
      </c>
      <c r="J554" s="10" t="s">
        <v>279</v>
      </c>
      <c r="K554" s="10">
        <v>39000</v>
      </c>
      <c r="L554" s="10">
        <v>78000</v>
      </c>
      <c r="M554" s="12" t="s">
        <v>11</v>
      </c>
    </row>
    <row r="555" spans="1:13" ht="16.8" x14ac:dyDescent="0.3">
      <c r="A555" s="7" t="s">
        <v>633</v>
      </c>
      <c r="B555" s="8">
        <v>44879</v>
      </c>
      <c r="C555" s="15" t="s">
        <v>274</v>
      </c>
      <c r="D555" s="10" t="s">
        <v>223</v>
      </c>
      <c r="E555">
        <v>3</v>
      </c>
      <c r="F555">
        <v>55000</v>
      </c>
      <c r="G555">
        <v>59000</v>
      </c>
      <c r="H555">
        <v>7</v>
      </c>
      <c r="I555">
        <v>59000</v>
      </c>
      <c r="J555" s="10" t="s">
        <v>279</v>
      </c>
      <c r="K555" s="10">
        <v>59000</v>
      </c>
      <c r="L555" s="10">
        <v>177000</v>
      </c>
      <c r="M555" s="12" t="s">
        <v>255</v>
      </c>
    </row>
    <row r="556" spans="1:13" ht="16.8" x14ac:dyDescent="0.3">
      <c r="A556" s="7" t="s">
        <v>634</v>
      </c>
      <c r="B556" s="8">
        <v>44396</v>
      </c>
      <c r="C556" s="15" t="s">
        <v>270</v>
      </c>
      <c r="D556" s="10" t="s">
        <v>223</v>
      </c>
      <c r="E556">
        <v>3</v>
      </c>
      <c r="F556">
        <v>49000</v>
      </c>
      <c r="G556">
        <v>49000</v>
      </c>
      <c r="H556">
        <v>15</v>
      </c>
      <c r="I556">
        <v>41650</v>
      </c>
      <c r="J556" s="10" t="s">
        <v>278</v>
      </c>
      <c r="K556" s="10">
        <v>41650</v>
      </c>
      <c r="L556" s="10">
        <v>124950</v>
      </c>
      <c r="M556" s="12" t="s">
        <v>236</v>
      </c>
    </row>
    <row r="557" spans="1:13" ht="16.8" x14ac:dyDescent="0.3">
      <c r="A557" s="7" t="s">
        <v>635</v>
      </c>
      <c r="B557" s="8">
        <v>45179</v>
      </c>
      <c r="C557" s="15" t="s">
        <v>273</v>
      </c>
      <c r="D557" s="10" t="s">
        <v>222</v>
      </c>
      <c r="E557">
        <v>3</v>
      </c>
      <c r="F557">
        <v>65000</v>
      </c>
      <c r="G557">
        <v>55000</v>
      </c>
      <c r="H557">
        <v>13</v>
      </c>
      <c r="I557">
        <v>55000</v>
      </c>
      <c r="J557" s="10" t="s">
        <v>279</v>
      </c>
      <c r="K557" s="10">
        <v>55000</v>
      </c>
      <c r="L557" s="10">
        <v>165000</v>
      </c>
      <c r="M557" s="12" t="s">
        <v>18</v>
      </c>
    </row>
    <row r="558" spans="1:13" ht="16.8" x14ac:dyDescent="0.3">
      <c r="A558" s="7" t="s">
        <v>636</v>
      </c>
      <c r="B558" s="8">
        <v>44823</v>
      </c>
      <c r="C558" s="15" t="s">
        <v>271</v>
      </c>
      <c r="D558" s="10" t="s">
        <v>222</v>
      </c>
      <c r="E558">
        <v>1</v>
      </c>
      <c r="F558">
        <v>59000</v>
      </c>
      <c r="G558">
        <v>69000</v>
      </c>
      <c r="H558">
        <v>12</v>
      </c>
      <c r="I558">
        <v>69000</v>
      </c>
      <c r="J558" s="10" t="s">
        <v>279</v>
      </c>
      <c r="K558" s="10">
        <v>69000</v>
      </c>
      <c r="L558" s="10">
        <v>69000</v>
      </c>
      <c r="M558" s="12" t="s">
        <v>11</v>
      </c>
    </row>
    <row r="559" spans="1:13" ht="16.8" x14ac:dyDescent="0.3">
      <c r="A559" s="7" t="s">
        <v>637</v>
      </c>
      <c r="B559" s="8">
        <v>44932</v>
      </c>
      <c r="C559" s="15" t="s">
        <v>5</v>
      </c>
      <c r="D559" s="10" t="s">
        <v>224</v>
      </c>
      <c r="E559">
        <v>3</v>
      </c>
      <c r="F559">
        <v>69000</v>
      </c>
      <c r="G559">
        <v>49000</v>
      </c>
      <c r="H559">
        <v>10</v>
      </c>
      <c r="I559">
        <v>49000</v>
      </c>
      <c r="J559" s="10" t="s">
        <v>279</v>
      </c>
      <c r="K559" s="10">
        <v>49000</v>
      </c>
      <c r="L559" s="10">
        <v>147000</v>
      </c>
      <c r="M559" s="12" t="s">
        <v>251</v>
      </c>
    </row>
    <row r="560" spans="1:13" ht="16.8" x14ac:dyDescent="0.3">
      <c r="A560" s="7" t="s">
        <v>638</v>
      </c>
      <c r="B560" s="8">
        <v>44939</v>
      </c>
      <c r="C560" s="15" t="s">
        <v>4</v>
      </c>
      <c r="D560" s="10" t="s">
        <v>223</v>
      </c>
      <c r="E560">
        <v>5</v>
      </c>
      <c r="F560">
        <v>35000</v>
      </c>
      <c r="G560">
        <v>65000</v>
      </c>
      <c r="H560">
        <v>9</v>
      </c>
      <c r="I560">
        <v>65000</v>
      </c>
      <c r="J560" s="10" t="s">
        <v>279</v>
      </c>
      <c r="K560" s="10">
        <v>65000</v>
      </c>
      <c r="L560" s="10">
        <v>325000</v>
      </c>
      <c r="M560" s="12" t="s">
        <v>245</v>
      </c>
    </row>
    <row r="561" spans="1:13" ht="16.8" x14ac:dyDescent="0.3">
      <c r="A561" s="7" t="s">
        <v>639</v>
      </c>
      <c r="B561" s="8">
        <v>44263</v>
      </c>
      <c r="C561" s="15" t="s">
        <v>274</v>
      </c>
      <c r="D561" s="10" t="s">
        <v>224</v>
      </c>
      <c r="E561">
        <v>5</v>
      </c>
      <c r="F561">
        <v>65000</v>
      </c>
      <c r="G561">
        <v>65000</v>
      </c>
      <c r="H561">
        <v>10</v>
      </c>
      <c r="I561">
        <v>65000</v>
      </c>
      <c r="J561" s="10" t="s">
        <v>279</v>
      </c>
      <c r="K561" s="10">
        <v>65000</v>
      </c>
      <c r="L561" s="10">
        <v>325000</v>
      </c>
      <c r="M561" s="12" t="s">
        <v>234</v>
      </c>
    </row>
    <row r="562" spans="1:13" ht="16.8" x14ac:dyDescent="0.3">
      <c r="A562" s="7" t="s">
        <v>640</v>
      </c>
      <c r="B562" s="8">
        <v>44923</v>
      </c>
      <c r="C562" s="15" t="s">
        <v>4</v>
      </c>
      <c r="D562" s="10" t="s">
        <v>222</v>
      </c>
      <c r="E562">
        <v>2</v>
      </c>
      <c r="F562">
        <v>65000</v>
      </c>
      <c r="G562">
        <v>65000</v>
      </c>
      <c r="H562">
        <v>12</v>
      </c>
      <c r="I562">
        <v>65000</v>
      </c>
      <c r="J562" s="10" t="s">
        <v>279</v>
      </c>
      <c r="K562" s="10">
        <v>65000</v>
      </c>
      <c r="L562" s="10">
        <v>130000</v>
      </c>
      <c r="M562" s="12" t="s">
        <v>17</v>
      </c>
    </row>
    <row r="563" spans="1:13" ht="16.8" x14ac:dyDescent="0.3">
      <c r="A563" s="7" t="s">
        <v>641</v>
      </c>
      <c r="B563" s="8">
        <v>45106</v>
      </c>
      <c r="C563" s="15" t="s">
        <v>271</v>
      </c>
      <c r="D563" s="10" t="s">
        <v>222</v>
      </c>
      <c r="E563">
        <v>3</v>
      </c>
      <c r="F563">
        <v>55000</v>
      </c>
      <c r="G563">
        <v>49000</v>
      </c>
      <c r="H563">
        <v>14</v>
      </c>
      <c r="I563">
        <v>47300</v>
      </c>
      <c r="J563" s="10" t="s">
        <v>278</v>
      </c>
      <c r="K563" s="10">
        <v>47300</v>
      </c>
      <c r="L563" s="10">
        <v>141900</v>
      </c>
      <c r="M563" s="12" t="s">
        <v>225</v>
      </c>
    </row>
    <row r="564" spans="1:13" ht="16.8" x14ac:dyDescent="0.3">
      <c r="A564" s="7" t="s">
        <v>642</v>
      </c>
      <c r="B564" s="8">
        <v>44707</v>
      </c>
      <c r="C564" s="15" t="s">
        <v>6</v>
      </c>
      <c r="D564" s="10" t="s">
        <v>222</v>
      </c>
      <c r="E564">
        <v>1</v>
      </c>
      <c r="F564">
        <v>65000</v>
      </c>
      <c r="G564">
        <v>75000</v>
      </c>
      <c r="H564">
        <v>10</v>
      </c>
      <c r="I564">
        <v>75000</v>
      </c>
      <c r="J564" s="10" t="s">
        <v>279</v>
      </c>
      <c r="K564" s="10">
        <v>75000</v>
      </c>
      <c r="L564" s="10">
        <v>75000</v>
      </c>
      <c r="M564" s="12" t="s">
        <v>234</v>
      </c>
    </row>
    <row r="565" spans="1:13" ht="16.8" x14ac:dyDescent="0.3">
      <c r="A565" s="7" t="s">
        <v>643</v>
      </c>
      <c r="B565" s="8">
        <v>45051</v>
      </c>
      <c r="C565" s="15" t="s">
        <v>273</v>
      </c>
      <c r="D565" s="10" t="s">
        <v>223</v>
      </c>
      <c r="E565">
        <v>3</v>
      </c>
      <c r="F565">
        <v>65000</v>
      </c>
      <c r="G565">
        <v>55000</v>
      </c>
      <c r="H565">
        <v>14</v>
      </c>
      <c r="I565">
        <v>55000</v>
      </c>
      <c r="J565" s="10" t="s">
        <v>279</v>
      </c>
      <c r="K565" s="10">
        <v>55000</v>
      </c>
      <c r="L565" s="10">
        <v>165000</v>
      </c>
      <c r="M565" s="12" t="s">
        <v>245</v>
      </c>
    </row>
    <row r="566" spans="1:13" ht="16.8" x14ac:dyDescent="0.3">
      <c r="A566" s="7" t="s">
        <v>644</v>
      </c>
      <c r="B566" s="8">
        <v>45173</v>
      </c>
      <c r="C566" s="15" t="s">
        <v>270</v>
      </c>
      <c r="D566" s="10" t="s">
        <v>222</v>
      </c>
      <c r="E566">
        <v>4</v>
      </c>
      <c r="F566">
        <v>65000</v>
      </c>
      <c r="G566">
        <v>59000</v>
      </c>
      <c r="H566">
        <v>14</v>
      </c>
      <c r="I566">
        <v>55900</v>
      </c>
      <c r="J566" s="10" t="s">
        <v>278</v>
      </c>
      <c r="K566" s="10">
        <v>55900</v>
      </c>
      <c r="L566" s="10">
        <v>223600</v>
      </c>
      <c r="M566" s="12" t="s">
        <v>225</v>
      </c>
    </row>
    <row r="567" spans="1:13" ht="16.8" x14ac:dyDescent="0.3">
      <c r="A567" s="7" t="s">
        <v>645</v>
      </c>
      <c r="B567" s="8">
        <v>44982</v>
      </c>
      <c r="C567" s="15" t="s">
        <v>271</v>
      </c>
      <c r="D567" s="10" t="s">
        <v>222</v>
      </c>
      <c r="E567">
        <v>5</v>
      </c>
      <c r="F567">
        <v>65000</v>
      </c>
      <c r="G567">
        <v>65000</v>
      </c>
      <c r="H567">
        <v>13</v>
      </c>
      <c r="I567">
        <v>65000</v>
      </c>
      <c r="J567" s="10" t="s">
        <v>279</v>
      </c>
      <c r="K567" s="10">
        <v>65000</v>
      </c>
      <c r="L567" s="10">
        <v>325000</v>
      </c>
      <c r="M567" s="12" t="s">
        <v>256</v>
      </c>
    </row>
    <row r="568" spans="1:13" ht="16.8" x14ac:dyDescent="0.3">
      <c r="A568" s="7" t="s">
        <v>646</v>
      </c>
      <c r="B568" s="8">
        <v>44617</v>
      </c>
      <c r="C568" s="15" t="s">
        <v>4</v>
      </c>
      <c r="D568" s="10" t="s">
        <v>223</v>
      </c>
      <c r="E568">
        <v>5</v>
      </c>
      <c r="F568">
        <v>49000</v>
      </c>
      <c r="G568">
        <v>49000</v>
      </c>
      <c r="H568">
        <v>6</v>
      </c>
      <c r="I568">
        <v>46060</v>
      </c>
      <c r="J568" s="10" t="s">
        <v>278</v>
      </c>
      <c r="K568" s="10">
        <v>46060</v>
      </c>
      <c r="L568" s="10">
        <v>230300</v>
      </c>
      <c r="M568" s="12" t="s">
        <v>14</v>
      </c>
    </row>
    <row r="569" spans="1:13" ht="16.8" x14ac:dyDescent="0.3">
      <c r="A569" s="7" t="s">
        <v>647</v>
      </c>
      <c r="B569" s="8">
        <v>44721</v>
      </c>
      <c r="C569" s="15" t="s">
        <v>3</v>
      </c>
      <c r="D569" s="10" t="s">
        <v>223</v>
      </c>
      <c r="E569">
        <v>5</v>
      </c>
      <c r="F569">
        <v>65000</v>
      </c>
      <c r="G569">
        <v>65000</v>
      </c>
      <c r="H569">
        <v>11</v>
      </c>
      <c r="I569">
        <v>57850</v>
      </c>
      <c r="J569" s="10" t="s">
        <v>278</v>
      </c>
      <c r="K569" s="10">
        <v>57850</v>
      </c>
      <c r="L569" s="10">
        <v>289250</v>
      </c>
      <c r="M569" s="12" t="s">
        <v>245</v>
      </c>
    </row>
    <row r="570" spans="1:13" ht="16.8" x14ac:dyDescent="0.3">
      <c r="A570" s="7" t="s">
        <v>648</v>
      </c>
      <c r="B570" s="8">
        <v>44541</v>
      </c>
      <c r="C570" s="15" t="s">
        <v>4</v>
      </c>
      <c r="D570" s="10" t="s">
        <v>224</v>
      </c>
      <c r="E570">
        <v>3</v>
      </c>
      <c r="F570">
        <v>49000</v>
      </c>
      <c r="G570">
        <v>65000</v>
      </c>
      <c r="H570">
        <v>14</v>
      </c>
      <c r="I570">
        <v>65000</v>
      </c>
      <c r="J570" s="10" t="s">
        <v>279</v>
      </c>
      <c r="K570" s="10">
        <v>65000</v>
      </c>
      <c r="L570" s="10">
        <v>195000</v>
      </c>
      <c r="M570" s="12" t="s">
        <v>245</v>
      </c>
    </row>
    <row r="571" spans="1:13" ht="16.8" x14ac:dyDescent="0.3">
      <c r="A571" s="7" t="s">
        <v>649</v>
      </c>
      <c r="B571" s="8">
        <v>44800</v>
      </c>
      <c r="C571" s="15" t="s">
        <v>3</v>
      </c>
      <c r="D571" s="10" t="s">
        <v>223</v>
      </c>
      <c r="E571">
        <v>4</v>
      </c>
      <c r="F571">
        <v>35000</v>
      </c>
      <c r="G571">
        <v>65000</v>
      </c>
      <c r="H571">
        <v>6</v>
      </c>
      <c r="I571">
        <v>32900</v>
      </c>
      <c r="J571" s="10" t="s">
        <v>278</v>
      </c>
      <c r="K571" s="10">
        <v>32900</v>
      </c>
      <c r="L571" s="10">
        <v>131600</v>
      </c>
      <c r="M571" s="12" t="s">
        <v>13</v>
      </c>
    </row>
    <row r="572" spans="1:13" ht="16.8" x14ac:dyDescent="0.3">
      <c r="A572" s="7" t="s">
        <v>650</v>
      </c>
      <c r="B572" s="8">
        <v>44417</v>
      </c>
      <c r="C572" s="15" t="s">
        <v>274</v>
      </c>
      <c r="D572" s="10" t="s">
        <v>222</v>
      </c>
      <c r="E572">
        <v>2</v>
      </c>
      <c r="F572">
        <v>59000</v>
      </c>
      <c r="G572">
        <v>49000</v>
      </c>
      <c r="H572">
        <v>7</v>
      </c>
      <c r="I572">
        <v>49000</v>
      </c>
      <c r="J572" s="10" t="s">
        <v>279</v>
      </c>
      <c r="K572" s="10">
        <v>49000</v>
      </c>
      <c r="L572" s="10">
        <v>98000</v>
      </c>
      <c r="M572" s="12" t="s">
        <v>235</v>
      </c>
    </row>
    <row r="573" spans="1:13" ht="16.8" x14ac:dyDescent="0.3">
      <c r="A573" s="7" t="s">
        <v>651</v>
      </c>
      <c r="B573" s="8">
        <v>45284</v>
      </c>
      <c r="C573" s="15" t="s">
        <v>273</v>
      </c>
      <c r="D573" s="10" t="s">
        <v>224</v>
      </c>
      <c r="E573">
        <v>2</v>
      </c>
      <c r="F573">
        <v>39000</v>
      </c>
      <c r="G573">
        <v>69000</v>
      </c>
      <c r="H573">
        <v>12</v>
      </c>
      <c r="I573">
        <v>69000</v>
      </c>
      <c r="J573" s="10" t="s">
        <v>279</v>
      </c>
      <c r="K573" s="10">
        <v>69000</v>
      </c>
      <c r="L573" s="10">
        <v>138000</v>
      </c>
      <c r="M573" s="12" t="s">
        <v>237</v>
      </c>
    </row>
    <row r="574" spans="1:13" ht="16.8" x14ac:dyDescent="0.3">
      <c r="A574" s="7" t="s">
        <v>652</v>
      </c>
      <c r="B574" s="8">
        <v>44623</v>
      </c>
      <c r="C574" s="15" t="s">
        <v>271</v>
      </c>
      <c r="D574" s="10" t="s">
        <v>222</v>
      </c>
      <c r="E574">
        <v>3</v>
      </c>
      <c r="F574">
        <v>35000</v>
      </c>
      <c r="G574">
        <v>45000</v>
      </c>
      <c r="H574">
        <v>5</v>
      </c>
      <c r="I574">
        <v>45000</v>
      </c>
      <c r="J574" s="10" t="s">
        <v>279</v>
      </c>
      <c r="K574" s="10">
        <v>45000</v>
      </c>
      <c r="L574" s="10">
        <v>135000</v>
      </c>
      <c r="M574" s="12" t="s">
        <v>231</v>
      </c>
    </row>
    <row r="575" spans="1:13" ht="16.8" x14ac:dyDescent="0.3">
      <c r="A575" s="7" t="s">
        <v>653</v>
      </c>
      <c r="B575" s="8">
        <v>44272</v>
      </c>
      <c r="C575" s="15" t="s">
        <v>274</v>
      </c>
      <c r="D575" s="10" t="s">
        <v>222</v>
      </c>
      <c r="E575">
        <v>5</v>
      </c>
      <c r="F575">
        <v>35000</v>
      </c>
      <c r="G575">
        <v>69000</v>
      </c>
      <c r="H575">
        <v>7</v>
      </c>
      <c r="I575">
        <v>32549.999999999996</v>
      </c>
      <c r="J575" s="10" t="s">
        <v>278</v>
      </c>
      <c r="K575" s="10">
        <v>32549.999999999996</v>
      </c>
      <c r="L575" s="10">
        <v>162749.99999999997</v>
      </c>
      <c r="M575" s="12" t="s">
        <v>17</v>
      </c>
    </row>
    <row r="576" spans="1:13" ht="16.8" x14ac:dyDescent="0.3">
      <c r="A576" s="7" t="s">
        <v>654</v>
      </c>
      <c r="B576" s="8">
        <v>45091</v>
      </c>
      <c r="C576" s="15" t="s">
        <v>273</v>
      </c>
      <c r="D576" s="10" t="s">
        <v>224</v>
      </c>
      <c r="E576">
        <v>1</v>
      </c>
      <c r="F576">
        <v>65000</v>
      </c>
      <c r="G576">
        <v>49000</v>
      </c>
      <c r="H576">
        <v>5</v>
      </c>
      <c r="I576">
        <v>49000</v>
      </c>
      <c r="J576" s="10" t="s">
        <v>279</v>
      </c>
      <c r="K576" s="10">
        <v>49000</v>
      </c>
      <c r="L576" s="10">
        <v>49000</v>
      </c>
      <c r="M576" s="12" t="s">
        <v>256</v>
      </c>
    </row>
    <row r="577" spans="1:13" ht="16.8" x14ac:dyDescent="0.3">
      <c r="A577" s="7" t="s">
        <v>655</v>
      </c>
      <c r="B577" s="8">
        <v>45175</v>
      </c>
      <c r="C577" s="15" t="s">
        <v>275</v>
      </c>
      <c r="D577" s="10" t="s">
        <v>223</v>
      </c>
      <c r="E577">
        <v>1</v>
      </c>
      <c r="F577">
        <v>49000</v>
      </c>
      <c r="G577">
        <v>49000</v>
      </c>
      <c r="H577">
        <v>6</v>
      </c>
      <c r="I577">
        <v>49000</v>
      </c>
      <c r="J577" s="10" t="s">
        <v>279</v>
      </c>
      <c r="K577" s="10">
        <v>49000</v>
      </c>
      <c r="L577" s="10">
        <v>49000</v>
      </c>
      <c r="M577" s="12" t="s">
        <v>244</v>
      </c>
    </row>
    <row r="578" spans="1:13" ht="16.8" x14ac:dyDescent="0.3">
      <c r="A578" s="7" t="s">
        <v>656</v>
      </c>
      <c r="B578" s="8">
        <v>44553</v>
      </c>
      <c r="C578" s="15" t="s">
        <v>273</v>
      </c>
      <c r="D578" s="10" t="s">
        <v>224</v>
      </c>
      <c r="E578">
        <v>3</v>
      </c>
      <c r="F578">
        <v>65000</v>
      </c>
      <c r="G578">
        <v>55000</v>
      </c>
      <c r="H578">
        <v>10</v>
      </c>
      <c r="I578">
        <v>55000</v>
      </c>
      <c r="J578" s="10" t="s">
        <v>279</v>
      </c>
      <c r="K578" s="10">
        <v>55000</v>
      </c>
      <c r="L578" s="10">
        <v>165000</v>
      </c>
      <c r="M578" s="12" t="s">
        <v>238</v>
      </c>
    </row>
    <row r="579" spans="1:13" ht="16.8" x14ac:dyDescent="0.3">
      <c r="A579" s="7" t="s">
        <v>657</v>
      </c>
      <c r="B579" s="8">
        <v>45008</v>
      </c>
      <c r="C579" s="15" t="s">
        <v>272</v>
      </c>
      <c r="D579" s="10" t="s">
        <v>222</v>
      </c>
      <c r="E579">
        <v>3</v>
      </c>
      <c r="F579">
        <v>49000</v>
      </c>
      <c r="G579">
        <v>65000</v>
      </c>
      <c r="H579">
        <v>7</v>
      </c>
      <c r="I579">
        <v>65000</v>
      </c>
      <c r="J579" s="10" t="s">
        <v>279</v>
      </c>
      <c r="K579" s="10">
        <v>65000</v>
      </c>
      <c r="L579" s="10">
        <v>195000</v>
      </c>
      <c r="M579" s="12" t="s">
        <v>255</v>
      </c>
    </row>
    <row r="580" spans="1:13" ht="16.8" x14ac:dyDescent="0.3">
      <c r="A580" s="7" t="s">
        <v>658</v>
      </c>
      <c r="B580" s="8">
        <v>44618</v>
      </c>
      <c r="C580" s="15" t="s">
        <v>273</v>
      </c>
      <c r="D580" s="10" t="s">
        <v>224</v>
      </c>
      <c r="E580">
        <v>2</v>
      </c>
      <c r="F580">
        <v>55000</v>
      </c>
      <c r="G580">
        <v>59000</v>
      </c>
      <c r="H580">
        <v>9</v>
      </c>
      <c r="I580">
        <v>59000</v>
      </c>
      <c r="J580" s="10" t="s">
        <v>279</v>
      </c>
      <c r="K580" s="10">
        <v>59000</v>
      </c>
      <c r="L580" s="10">
        <v>118000</v>
      </c>
      <c r="M580" s="12" t="s">
        <v>232</v>
      </c>
    </row>
    <row r="581" spans="1:13" ht="16.8" x14ac:dyDescent="0.3">
      <c r="A581" s="7" t="s">
        <v>659</v>
      </c>
      <c r="B581" s="8">
        <v>44777</v>
      </c>
      <c r="C581" s="15" t="s">
        <v>6</v>
      </c>
      <c r="D581" s="10" t="s">
        <v>224</v>
      </c>
      <c r="E581">
        <v>2</v>
      </c>
      <c r="F581">
        <v>29000</v>
      </c>
      <c r="G581">
        <v>59000</v>
      </c>
      <c r="H581">
        <v>9</v>
      </c>
      <c r="I581">
        <v>26390</v>
      </c>
      <c r="J581" s="10" t="s">
        <v>278</v>
      </c>
      <c r="K581" s="10">
        <v>26390</v>
      </c>
      <c r="L581" s="10">
        <v>52780</v>
      </c>
      <c r="M581" s="12" t="s">
        <v>232</v>
      </c>
    </row>
    <row r="582" spans="1:13" ht="16.8" x14ac:dyDescent="0.3">
      <c r="A582" s="7" t="s">
        <v>660</v>
      </c>
      <c r="B582" s="8">
        <v>44510</v>
      </c>
      <c r="C582" s="15" t="s">
        <v>275</v>
      </c>
      <c r="D582" s="10" t="s">
        <v>222</v>
      </c>
      <c r="E582">
        <v>3</v>
      </c>
      <c r="F582">
        <v>55000</v>
      </c>
      <c r="G582">
        <v>55000</v>
      </c>
      <c r="H582">
        <v>12</v>
      </c>
      <c r="I582">
        <v>55000</v>
      </c>
      <c r="J582" s="10" t="s">
        <v>279</v>
      </c>
      <c r="K582" s="10">
        <v>55000</v>
      </c>
      <c r="L582" s="10">
        <v>165000</v>
      </c>
      <c r="M582" s="12" t="s">
        <v>243</v>
      </c>
    </row>
    <row r="583" spans="1:13" ht="16.8" x14ac:dyDescent="0.3">
      <c r="A583" s="7" t="s">
        <v>661</v>
      </c>
      <c r="B583" s="8">
        <v>44806</v>
      </c>
      <c r="C583" s="15" t="s">
        <v>274</v>
      </c>
      <c r="D583" s="10" t="s">
        <v>224</v>
      </c>
      <c r="E583">
        <v>2</v>
      </c>
      <c r="F583">
        <v>65000</v>
      </c>
      <c r="G583">
        <v>59000</v>
      </c>
      <c r="H583">
        <v>5</v>
      </c>
      <c r="I583">
        <v>61750</v>
      </c>
      <c r="J583" s="10" t="s">
        <v>278</v>
      </c>
      <c r="K583" s="10">
        <v>61750</v>
      </c>
      <c r="L583" s="10">
        <v>123500</v>
      </c>
      <c r="M583" s="12" t="s">
        <v>11</v>
      </c>
    </row>
    <row r="584" spans="1:13" ht="16.8" x14ac:dyDescent="0.3">
      <c r="A584" s="7" t="s">
        <v>662</v>
      </c>
      <c r="B584" s="8">
        <v>44636</v>
      </c>
      <c r="C584" s="15" t="s">
        <v>6</v>
      </c>
      <c r="D584" s="10" t="s">
        <v>222</v>
      </c>
      <c r="E584">
        <v>3</v>
      </c>
      <c r="F584">
        <v>55000</v>
      </c>
      <c r="G584">
        <v>49000</v>
      </c>
      <c r="H584">
        <v>7</v>
      </c>
      <c r="I584">
        <v>49000</v>
      </c>
      <c r="J584" s="10" t="s">
        <v>279</v>
      </c>
      <c r="K584" s="10">
        <v>49000</v>
      </c>
      <c r="L584" s="10">
        <v>147000</v>
      </c>
      <c r="M584" s="12" t="s">
        <v>236</v>
      </c>
    </row>
    <row r="585" spans="1:13" ht="16.8" x14ac:dyDescent="0.3">
      <c r="A585" s="7" t="s">
        <v>663</v>
      </c>
      <c r="B585" s="8">
        <v>44289</v>
      </c>
      <c r="C585" s="15" t="s">
        <v>270</v>
      </c>
      <c r="D585" s="10" t="s">
        <v>224</v>
      </c>
      <c r="E585">
        <v>5</v>
      </c>
      <c r="F585">
        <v>39000</v>
      </c>
      <c r="G585">
        <v>59000</v>
      </c>
      <c r="H585">
        <v>14</v>
      </c>
      <c r="I585">
        <v>59000</v>
      </c>
      <c r="J585" s="10" t="s">
        <v>279</v>
      </c>
      <c r="K585" s="10">
        <v>59000</v>
      </c>
      <c r="L585" s="10">
        <v>295000</v>
      </c>
      <c r="M585" s="12" t="s">
        <v>14</v>
      </c>
    </row>
    <row r="586" spans="1:13" ht="16.8" x14ac:dyDescent="0.3">
      <c r="A586" s="7" t="s">
        <v>664</v>
      </c>
      <c r="B586" s="8">
        <v>44583</v>
      </c>
      <c r="C586" s="15" t="s">
        <v>275</v>
      </c>
      <c r="D586" s="10" t="s">
        <v>224</v>
      </c>
      <c r="E586">
        <v>5</v>
      </c>
      <c r="F586">
        <v>55000</v>
      </c>
      <c r="G586">
        <v>65000</v>
      </c>
      <c r="H586">
        <v>12</v>
      </c>
      <c r="I586">
        <v>48400</v>
      </c>
      <c r="J586" s="10" t="s">
        <v>278</v>
      </c>
      <c r="K586" s="10">
        <v>48400</v>
      </c>
      <c r="L586" s="10">
        <v>242000</v>
      </c>
      <c r="M586" s="12" t="s">
        <v>15</v>
      </c>
    </row>
    <row r="587" spans="1:13" ht="16.8" x14ac:dyDescent="0.3">
      <c r="A587" s="7" t="s">
        <v>665</v>
      </c>
      <c r="B587" s="8">
        <v>44905</v>
      </c>
      <c r="C587" s="15" t="s">
        <v>5</v>
      </c>
      <c r="D587" s="10" t="s">
        <v>222</v>
      </c>
      <c r="E587">
        <v>1</v>
      </c>
      <c r="F587">
        <v>49000</v>
      </c>
      <c r="G587">
        <v>65000</v>
      </c>
      <c r="H587">
        <v>7</v>
      </c>
      <c r="I587">
        <v>45570</v>
      </c>
      <c r="J587" s="10" t="s">
        <v>278</v>
      </c>
      <c r="K587" s="10">
        <v>45570</v>
      </c>
      <c r="L587" s="10">
        <v>45570</v>
      </c>
      <c r="M587" s="12" t="s">
        <v>18</v>
      </c>
    </row>
    <row r="588" spans="1:13" ht="16.8" x14ac:dyDescent="0.3">
      <c r="A588" s="7" t="s">
        <v>666</v>
      </c>
      <c r="B588" s="8">
        <v>44561</v>
      </c>
      <c r="C588" s="15" t="s">
        <v>3</v>
      </c>
      <c r="D588" s="10" t="s">
        <v>223</v>
      </c>
      <c r="E588">
        <v>2</v>
      </c>
      <c r="F588">
        <v>59000</v>
      </c>
      <c r="G588">
        <v>65000</v>
      </c>
      <c r="H588">
        <v>5</v>
      </c>
      <c r="I588">
        <v>65000</v>
      </c>
      <c r="J588" s="10" t="s">
        <v>279</v>
      </c>
      <c r="K588" s="10">
        <v>65000</v>
      </c>
      <c r="L588" s="10">
        <v>130000</v>
      </c>
      <c r="M588" s="12" t="s">
        <v>21</v>
      </c>
    </row>
    <row r="589" spans="1:13" ht="16.8" x14ac:dyDescent="0.3">
      <c r="A589" s="7" t="s">
        <v>667</v>
      </c>
      <c r="B589" s="8">
        <v>45051</v>
      </c>
      <c r="C589" s="15" t="s">
        <v>273</v>
      </c>
      <c r="D589" s="10" t="s">
        <v>222</v>
      </c>
      <c r="E589">
        <v>2</v>
      </c>
      <c r="F589">
        <v>59000</v>
      </c>
      <c r="G589">
        <v>49000</v>
      </c>
      <c r="H589">
        <v>14</v>
      </c>
      <c r="I589">
        <v>50740</v>
      </c>
      <c r="J589" s="10" t="s">
        <v>278</v>
      </c>
      <c r="K589" s="10">
        <v>50740</v>
      </c>
      <c r="L589" s="10">
        <v>101480</v>
      </c>
      <c r="M589" s="12" t="s">
        <v>11</v>
      </c>
    </row>
    <row r="590" spans="1:13" ht="16.8" x14ac:dyDescent="0.3">
      <c r="A590" s="7" t="s">
        <v>668</v>
      </c>
      <c r="B590" s="8">
        <v>45018</v>
      </c>
      <c r="C590" s="15" t="s">
        <v>272</v>
      </c>
      <c r="D590" s="10" t="s">
        <v>223</v>
      </c>
      <c r="E590">
        <v>1</v>
      </c>
      <c r="F590">
        <v>65000</v>
      </c>
      <c r="G590">
        <v>29000</v>
      </c>
      <c r="H590">
        <v>11</v>
      </c>
      <c r="I590">
        <v>29000</v>
      </c>
      <c r="J590" s="10" t="s">
        <v>279</v>
      </c>
      <c r="K590" s="10">
        <v>29000</v>
      </c>
      <c r="L590" s="10">
        <v>29000</v>
      </c>
      <c r="M590" s="12" t="s">
        <v>254</v>
      </c>
    </row>
    <row r="591" spans="1:13" ht="16.8" x14ac:dyDescent="0.3">
      <c r="A591" s="7" t="s">
        <v>669</v>
      </c>
      <c r="B591" s="8">
        <v>44492</v>
      </c>
      <c r="C591" s="15" t="s">
        <v>4</v>
      </c>
      <c r="D591" s="10" t="s">
        <v>223</v>
      </c>
      <c r="E591">
        <v>3</v>
      </c>
      <c r="F591">
        <v>75000</v>
      </c>
      <c r="G591">
        <v>49000</v>
      </c>
      <c r="H591">
        <v>13</v>
      </c>
      <c r="I591">
        <v>49000</v>
      </c>
      <c r="J591" s="10" t="s">
        <v>279</v>
      </c>
      <c r="K591" s="10">
        <v>49000</v>
      </c>
      <c r="L591" s="10">
        <v>147000</v>
      </c>
      <c r="M591" s="12" t="s">
        <v>232</v>
      </c>
    </row>
    <row r="592" spans="1:13" ht="16.8" x14ac:dyDescent="0.3">
      <c r="A592" s="7" t="s">
        <v>670</v>
      </c>
      <c r="B592" s="8">
        <v>45005</v>
      </c>
      <c r="C592" s="15" t="s">
        <v>3</v>
      </c>
      <c r="D592" s="10" t="s">
        <v>224</v>
      </c>
      <c r="E592">
        <v>5</v>
      </c>
      <c r="F592">
        <v>39000</v>
      </c>
      <c r="G592">
        <v>59000</v>
      </c>
      <c r="H592">
        <v>13</v>
      </c>
      <c r="I592">
        <v>33930</v>
      </c>
      <c r="J592" s="10" t="s">
        <v>278</v>
      </c>
      <c r="K592" s="10">
        <v>33930</v>
      </c>
      <c r="L592" s="10">
        <v>169650</v>
      </c>
      <c r="M592" s="12" t="s">
        <v>240</v>
      </c>
    </row>
    <row r="593" spans="1:13" ht="16.8" x14ac:dyDescent="0.3">
      <c r="A593" s="7" t="s">
        <v>671</v>
      </c>
      <c r="B593" s="8">
        <v>44376</v>
      </c>
      <c r="C593" s="15" t="s">
        <v>4</v>
      </c>
      <c r="D593" s="10" t="s">
        <v>223</v>
      </c>
      <c r="E593">
        <v>1</v>
      </c>
      <c r="F593">
        <v>35000</v>
      </c>
      <c r="G593">
        <v>69000</v>
      </c>
      <c r="H593">
        <v>9</v>
      </c>
      <c r="I593">
        <v>31850</v>
      </c>
      <c r="J593" s="10" t="s">
        <v>278</v>
      </c>
      <c r="K593" s="10">
        <v>31850</v>
      </c>
      <c r="L593" s="10">
        <v>31850</v>
      </c>
      <c r="M593" s="12" t="s">
        <v>242</v>
      </c>
    </row>
    <row r="594" spans="1:13" ht="16.8" x14ac:dyDescent="0.3">
      <c r="A594" s="7" t="s">
        <v>672</v>
      </c>
      <c r="B594" s="8">
        <v>45017</v>
      </c>
      <c r="C594" s="15" t="s">
        <v>274</v>
      </c>
      <c r="D594" s="10" t="s">
        <v>224</v>
      </c>
      <c r="E594">
        <v>3</v>
      </c>
      <c r="F594">
        <v>59000</v>
      </c>
      <c r="G594">
        <v>59000</v>
      </c>
      <c r="H594">
        <v>7</v>
      </c>
      <c r="I594">
        <v>54869.999999999993</v>
      </c>
      <c r="J594" s="10" t="s">
        <v>278</v>
      </c>
      <c r="K594" s="10">
        <v>54869.999999999993</v>
      </c>
      <c r="L594" s="10">
        <v>164609.99999999997</v>
      </c>
      <c r="M594" s="12" t="s">
        <v>227</v>
      </c>
    </row>
    <row r="595" spans="1:13" ht="16.8" x14ac:dyDescent="0.3">
      <c r="A595" s="7" t="s">
        <v>673</v>
      </c>
      <c r="B595" s="8">
        <v>44906</v>
      </c>
      <c r="C595" s="15" t="s">
        <v>272</v>
      </c>
      <c r="D595" s="10" t="s">
        <v>224</v>
      </c>
      <c r="E595">
        <v>2</v>
      </c>
      <c r="F595">
        <v>59000</v>
      </c>
      <c r="G595">
        <v>49000</v>
      </c>
      <c r="H595">
        <v>11</v>
      </c>
      <c r="I595">
        <v>49000</v>
      </c>
      <c r="J595" s="10" t="s">
        <v>279</v>
      </c>
      <c r="K595" s="10">
        <v>49000</v>
      </c>
      <c r="L595" s="10">
        <v>98000</v>
      </c>
      <c r="M595" s="12" t="s">
        <v>255</v>
      </c>
    </row>
    <row r="596" spans="1:13" ht="16.8" x14ac:dyDescent="0.3">
      <c r="A596" s="7" t="s">
        <v>674</v>
      </c>
      <c r="B596" s="8">
        <v>44620</v>
      </c>
      <c r="C596" s="15" t="s">
        <v>272</v>
      </c>
      <c r="D596" s="10" t="s">
        <v>223</v>
      </c>
      <c r="E596">
        <v>1</v>
      </c>
      <c r="F596">
        <v>65000</v>
      </c>
      <c r="G596">
        <v>65000</v>
      </c>
      <c r="H596">
        <v>7</v>
      </c>
      <c r="I596">
        <v>60449.999999999993</v>
      </c>
      <c r="J596" s="10" t="s">
        <v>278</v>
      </c>
      <c r="K596" s="10">
        <v>60449.999999999993</v>
      </c>
      <c r="L596" s="10">
        <v>60449.999999999993</v>
      </c>
      <c r="M596" s="12" t="s">
        <v>261</v>
      </c>
    </row>
    <row r="597" spans="1:13" ht="16.8" x14ac:dyDescent="0.3">
      <c r="A597" s="7" t="s">
        <v>675</v>
      </c>
      <c r="B597" s="8">
        <v>45137</v>
      </c>
      <c r="C597" s="15" t="s">
        <v>272</v>
      </c>
      <c r="D597" s="10" t="s">
        <v>222</v>
      </c>
      <c r="E597">
        <v>5</v>
      </c>
      <c r="F597">
        <v>65000</v>
      </c>
      <c r="G597">
        <v>65000</v>
      </c>
      <c r="H597">
        <v>9</v>
      </c>
      <c r="I597">
        <v>65000</v>
      </c>
      <c r="J597" s="10" t="s">
        <v>279</v>
      </c>
      <c r="K597" s="10">
        <v>65000</v>
      </c>
      <c r="L597" s="10">
        <v>325000</v>
      </c>
      <c r="M597" s="12" t="s">
        <v>260</v>
      </c>
    </row>
    <row r="598" spans="1:13" ht="16.8" x14ac:dyDescent="0.3">
      <c r="A598" s="7" t="s">
        <v>676</v>
      </c>
      <c r="B598" s="8">
        <v>45005</v>
      </c>
      <c r="C598" s="15" t="s">
        <v>271</v>
      </c>
      <c r="D598" s="10" t="s">
        <v>223</v>
      </c>
      <c r="E598">
        <v>4</v>
      </c>
      <c r="F598">
        <v>29000</v>
      </c>
      <c r="G598">
        <v>65000</v>
      </c>
      <c r="H598">
        <v>5</v>
      </c>
      <c r="I598">
        <v>27550</v>
      </c>
      <c r="J598" s="10" t="s">
        <v>278</v>
      </c>
      <c r="K598" s="10">
        <v>27550</v>
      </c>
      <c r="L598" s="10">
        <v>110200</v>
      </c>
      <c r="M598" s="12" t="s">
        <v>252</v>
      </c>
    </row>
    <row r="599" spans="1:13" ht="16.8" x14ac:dyDescent="0.3">
      <c r="A599" s="7" t="s">
        <v>677</v>
      </c>
      <c r="B599" s="8">
        <v>44467</v>
      </c>
      <c r="C599" s="15" t="s">
        <v>272</v>
      </c>
      <c r="D599" s="10" t="s">
        <v>222</v>
      </c>
      <c r="E599">
        <v>2</v>
      </c>
      <c r="F599">
        <v>65000</v>
      </c>
      <c r="G599">
        <v>69000</v>
      </c>
      <c r="H599">
        <v>5</v>
      </c>
      <c r="I599">
        <v>69000</v>
      </c>
      <c r="J599" s="10" t="s">
        <v>279</v>
      </c>
      <c r="K599" s="10">
        <v>69000</v>
      </c>
      <c r="L599" s="10">
        <v>138000</v>
      </c>
      <c r="M599" s="12" t="s">
        <v>19</v>
      </c>
    </row>
    <row r="600" spans="1:13" ht="16.8" x14ac:dyDescent="0.3">
      <c r="A600" s="7" t="s">
        <v>678</v>
      </c>
      <c r="B600" s="8">
        <v>44268</v>
      </c>
      <c r="C600" s="15" t="s">
        <v>3</v>
      </c>
      <c r="D600" s="10" t="s">
        <v>224</v>
      </c>
      <c r="E600">
        <v>1</v>
      </c>
      <c r="F600">
        <v>69000</v>
      </c>
      <c r="G600">
        <v>59000</v>
      </c>
      <c r="H600">
        <v>5</v>
      </c>
      <c r="I600">
        <v>65550</v>
      </c>
      <c r="J600" s="10" t="s">
        <v>278</v>
      </c>
      <c r="K600" s="10">
        <v>65550</v>
      </c>
      <c r="L600" s="10">
        <v>65550</v>
      </c>
      <c r="M600" s="12" t="s">
        <v>262</v>
      </c>
    </row>
    <row r="601" spans="1:13" ht="16.8" x14ac:dyDescent="0.3">
      <c r="A601" s="7" t="s">
        <v>679</v>
      </c>
      <c r="B601" s="8">
        <v>44882</v>
      </c>
      <c r="C601" s="15" t="s">
        <v>273</v>
      </c>
      <c r="D601" s="10" t="s">
        <v>222</v>
      </c>
      <c r="E601">
        <v>2</v>
      </c>
      <c r="F601">
        <v>59000</v>
      </c>
      <c r="G601">
        <v>49000</v>
      </c>
      <c r="H601">
        <v>13</v>
      </c>
      <c r="I601">
        <v>49000</v>
      </c>
      <c r="J601" s="10" t="s">
        <v>279</v>
      </c>
      <c r="K601" s="10">
        <v>49000</v>
      </c>
      <c r="L601" s="10">
        <v>98000</v>
      </c>
      <c r="M601" s="12" t="s">
        <v>242</v>
      </c>
    </row>
    <row r="602" spans="1:13" ht="16.8" x14ac:dyDescent="0.3">
      <c r="A602" s="7" t="s">
        <v>680</v>
      </c>
      <c r="B602" s="8">
        <v>44441</v>
      </c>
      <c r="C602" s="15" t="s">
        <v>275</v>
      </c>
      <c r="D602" s="10" t="s">
        <v>222</v>
      </c>
      <c r="E602">
        <v>2</v>
      </c>
      <c r="F602">
        <v>65000</v>
      </c>
      <c r="G602">
        <v>59000</v>
      </c>
      <c r="H602">
        <v>15</v>
      </c>
      <c r="I602">
        <v>59000</v>
      </c>
      <c r="J602" s="10" t="s">
        <v>279</v>
      </c>
      <c r="K602" s="10">
        <v>59000</v>
      </c>
      <c r="L602" s="10">
        <v>118000</v>
      </c>
      <c r="M602" s="12" t="s">
        <v>261</v>
      </c>
    </row>
    <row r="603" spans="1:13" ht="16.8" x14ac:dyDescent="0.3">
      <c r="A603" s="7" t="s">
        <v>681</v>
      </c>
      <c r="B603" s="8">
        <v>45261</v>
      </c>
      <c r="C603" s="15" t="s">
        <v>273</v>
      </c>
      <c r="D603" s="10" t="s">
        <v>223</v>
      </c>
      <c r="E603">
        <v>2</v>
      </c>
      <c r="F603">
        <v>65000</v>
      </c>
      <c r="G603">
        <v>65000</v>
      </c>
      <c r="H603">
        <v>9</v>
      </c>
      <c r="I603">
        <v>65000</v>
      </c>
      <c r="J603" s="10" t="s">
        <v>279</v>
      </c>
      <c r="K603" s="10">
        <v>65000</v>
      </c>
      <c r="L603" s="10">
        <v>130000</v>
      </c>
      <c r="M603" s="12" t="s">
        <v>242</v>
      </c>
    </row>
    <row r="604" spans="1:13" ht="16.8" x14ac:dyDescent="0.3">
      <c r="A604" s="7" t="s">
        <v>682</v>
      </c>
      <c r="B604" s="8">
        <v>44402</v>
      </c>
      <c r="C604" s="15" t="s">
        <v>271</v>
      </c>
      <c r="D604" s="10" t="s">
        <v>223</v>
      </c>
      <c r="E604">
        <v>3</v>
      </c>
      <c r="F604">
        <v>49000</v>
      </c>
      <c r="G604">
        <v>65000</v>
      </c>
      <c r="H604">
        <v>9</v>
      </c>
      <c r="I604">
        <v>44590</v>
      </c>
      <c r="J604" s="10" t="s">
        <v>278</v>
      </c>
      <c r="K604" s="10">
        <v>44590</v>
      </c>
      <c r="L604" s="10">
        <v>133770</v>
      </c>
      <c r="M604" s="12" t="s">
        <v>12</v>
      </c>
    </row>
    <row r="605" spans="1:13" ht="16.8" x14ac:dyDescent="0.3">
      <c r="A605" s="7" t="s">
        <v>683</v>
      </c>
      <c r="B605" s="8">
        <v>44336</v>
      </c>
      <c r="C605" s="15" t="s">
        <v>273</v>
      </c>
      <c r="D605" s="10" t="s">
        <v>224</v>
      </c>
      <c r="E605">
        <v>4</v>
      </c>
      <c r="F605">
        <v>35000</v>
      </c>
      <c r="G605">
        <v>59000</v>
      </c>
      <c r="H605">
        <v>9</v>
      </c>
      <c r="I605">
        <v>31850</v>
      </c>
      <c r="J605" s="10" t="s">
        <v>278</v>
      </c>
      <c r="K605" s="10">
        <v>31850</v>
      </c>
      <c r="L605" s="10">
        <v>127400</v>
      </c>
      <c r="M605" s="12" t="s">
        <v>262</v>
      </c>
    </row>
    <row r="606" spans="1:13" ht="16.8" x14ac:dyDescent="0.3">
      <c r="A606" s="7" t="s">
        <v>684</v>
      </c>
      <c r="B606" s="8">
        <v>44974</v>
      </c>
      <c r="C606" s="15" t="s">
        <v>4</v>
      </c>
      <c r="D606" s="10" t="s">
        <v>223</v>
      </c>
      <c r="E606">
        <v>3</v>
      </c>
      <c r="F606">
        <v>65000</v>
      </c>
      <c r="G606">
        <v>59000</v>
      </c>
      <c r="H606">
        <v>12</v>
      </c>
      <c r="I606">
        <v>59000</v>
      </c>
      <c r="J606" s="10" t="s">
        <v>279</v>
      </c>
      <c r="K606" s="10">
        <v>59000</v>
      </c>
      <c r="L606" s="10">
        <v>177000</v>
      </c>
      <c r="M606" s="12" t="s">
        <v>225</v>
      </c>
    </row>
    <row r="607" spans="1:13" ht="16.8" x14ac:dyDescent="0.3">
      <c r="A607" s="7" t="s">
        <v>685</v>
      </c>
      <c r="B607" s="8">
        <v>45173</v>
      </c>
      <c r="C607" s="15" t="s">
        <v>4</v>
      </c>
      <c r="D607" s="10" t="s">
        <v>224</v>
      </c>
      <c r="E607">
        <v>4</v>
      </c>
      <c r="F607">
        <v>55000</v>
      </c>
      <c r="G607">
        <v>75000</v>
      </c>
      <c r="H607">
        <v>7</v>
      </c>
      <c r="I607">
        <v>51150</v>
      </c>
      <c r="J607" s="10" t="s">
        <v>278</v>
      </c>
      <c r="K607" s="10">
        <v>51150</v>
      </c>
      <c r="L607" s="10">
        <v>204600</v>
      </c>
      <c r="M607" s="12" t="s">
        <v>14</v>
      </c>
    </row>
    <row r="608" spans="1:13" ht="16.8" x14ac:dyDescent="0.3">
      <c r="A608" s="7" t="s">
        <v>686</v>
      </c>
      <c r="B608" s="8">
        <v>44429</v>
      </c>
      <c r="C608" s="15" t="s">
        <v>270</v>
      </c>
      <c r="D608" s="10" t="s">
        <v>224</v>
      </c>
      <c r="E608">
        <v>1</v>
      </c>
      <c r="F608">
        <v>49000</v>
      </c>
      <c r="G608">
        <v>49000</v>
      </c>
      <c r="H608">
        <v>11</v>
      </c>
      <c r="I608">
        <v>43610</v>
      </c>
      <c r="J608" s="10" t="s">
        <v>278</v>
      </c>
      <c r="K608" s="10">
        <v>43610</v>
      </c>
      <c r="L608" s="10">
        <v>43610</v>
      </c>
      <c r="M608" s="12" t="s">
        <v>10</v>
      </c>
    </row>
    <row r="609" spans="1:13" ht="16.8" x14ac:dyDescent="0.3">
      <c r="A609" s="7" t="s">
        <v>687</v>
      </c>
      <c r="B609" s="8">
        <v>44779</v>
      </c>
      <c r="C609" s="15" t="s">
        <v>275</v>
      </c>
      <c r="D609" s="10" t="s">
        <v>224</v>
      </c>
      <c r="E609">
        <v>2</v>
      </c>
      <c r="F609">
        <v>49000</v>
      </c>
      <c r="G609">
        <v>59000</v>
      </c>
      <c r="H609">
        <v>6</v>
      </c>
      <c r="I609">
        <v>59000</v>
      </c>
      <c r="J609" s="10" t="s">
        <v>279</v>
      </c>
      <c r="K609" s="10">
        <v>59000</v>
      </c>
      <c r="L609" s="10">
        <v>118000</v>
      </c>
      <c r="M609" s="12" t="s">
        <v>259</v>
      </c>
    </row>
    <row r="610" spans="1:13" ht="16.8" x14ac:dyDescent="0.3">
      <c r="A610" s="7" t="s">
        <v>688</v>
      </c>
      <c r="B610" s="8">
        <v>44434</v>
      </c>
      <c r="C610" s="15" t="s">
        <v>4</v>
      </c>
      <c r="D610" s="10" t="s">
        <v>224</v>
      </c>
      <c r="E610">
        <v>2</v>
      </c>
      <c r="F610">
        <v>49000</v>
      </c>
      <c r="G610">
        <v>35000</v>
      </c>
      <c r="H610">
        <v>14</v>
      </c>
      <c r="I610">
        <v>35000</v>
      </c>
      <c r="J610" s="10" t="s">
        <v>279</v>
      </c>
      <c r="K610" s="10">
        <v>35000</v>
      </c>
      <c r="L610" s="10">
        <v>70000</v>
      </c>
      <c r="M610" s="12" t="s">
        <v>232</v>
      </c>
    </row>
    <row r="611" spans="1:13" ht="16.8" x14ac:dyDescent="0.3">
      <c r="A611" s="7" t="s">
        <v>689</v>
      </c>
      <c r="B611" s="8">
        <v>45121</v>
      </c>
      <c r="C611" s="15" t="s">
        <v>274</v>
      </c>
      <c r="D611" s="10" t="s">
        <v>223</v>
      </c>
      <c r="E611">
        <v>3</v>
      </c>
      <c r="F611">
        <v>65000</v>
      </c>
      <c r="G611">
        <v>55000</v>
      </c>
      <c r="H611">
        <v>11</v>
      </c>
      <c r="I611">
        <v>55000</v>
      </c>
      <c r="J611" s="10" t="s">
        <v>279</v>
      </c>
      <c r="K611" s="10">
        <v>55000</v>
      </c>
      <c r="L611" s="10">
        <v>165000</v>
      </c>
      <c r="M611" s="12" t="s">
        <v>10</v>
      </c>
    </row>
    <row r="612" spans="1:13" ht="16.8" x14ac:dyDescent="0.3">
      <c r="A612" s="7" t="s">
        <v>690</v>
      </c>
      <c r="B612" s="8">
        <v>44986</v>
      </c>
      <c r="C612" s="15" t="s">
        <v>274</v>
      </c>
      <c r="D612" s="10" t="s">
        <v>223</v>
      </c>
      <c r="E612">
        <v>2</v>
      </c>
      <c r="F612">
        <v>45000</v>
      </c>
      <c r="G612">
        <v>49000</v>
      </c>
      <c r="H612">
        <v>10</v>
      </c>
      <c r="I612">
        <v>40500</v>
      </c>
      <c r="J612" s="10" t="s">
        <v>278</v>
      </c>
      <c r="K612" s="10">
        <v>40500</v>
      </c>
      <c r="L612" s="10">
        <v>81000</v>
      </c>
      <c r="M612" s="12" t="s">
        <v>262</v>
      </c>
    </row>
    <row r="613" spans="1:13" ht="16.8" x14ac:dyDescent="0.3">
      <c r="A613" s="7" t="s">
        <v>691</v>
      </c>
      <c r="B613" s="8">
        <v>44430</v>
      </c>
      <c r="C613" s="15" t="s">
        <v>275</v>
      </c>
      <c r="D613" s="10" t="s">
        <v>223</v>
      </c>
      <c r="E613">
        <v>3</v>
      </c>
      <c r="F613">
        <v>29000</v>
      </c>
      <c r="G613">
        <v>59000</v>
      </c>
      <c r="H613">
        <v>6</v>
      </c>
      <c r="I613">
        <v>27260</v>
      </c>
      <c r="J613" s="10" t="s">
        <v>278</v>
      </c>
      <c r="K613" s="10">
        <v>27260</v>
      </c>
      <c r="L613" s="10">
        <v>81780</v>
      </c>
      <c r="M613" s="12" t="s">
        <v>258</v>
      </c>
    </row>
    <row r="614" spans="1:13" ht="16.8" x14ac:dyDescent="0.3">
      <c r="A614" s="7" t="s">
        <v>692</v>
      </c>
      <c r="B614" s="8">
        <v>44849</v>
      </c>
      <c r="C614" s="15" t="s">
        <v>5</v>
      </c>
      <c r="D614" s="10" t="s">
        <v>223</v>
      </c>
      <c r="E614">
        <v>1</v>
      </c>
      <c r="F614">
        <v>59000</v>
      </c>
      <c r="G614">
        <v>35000</v>
      </c>
      <c r="H614">
        <v>13</v>
      </c>
      <c r="I614">
        <v>35000</v>
      </c>
      <c r="J614" s="10" t="s">
        <v>279</v>
      </c>
      <c r="K614" s="10">
        <v>35000</v>
      </c>
      <c r="L614" s="10">
        <v>35000</v>
      </c>
      <c r="M614" s="12" t="s">
        <v>240</v>
      </c>
    </row>
    <row r="615" spans="1:13" ht="16.8" x14ac:dyDescent="0.3">
      <c r="A615" s="7" t="s">
        <v>693</v>
      </c>
      <c r="B615" s="8">
        <v>44393</v>
      </c>
      <c r="C615" s="15" t="s">
        <v>3</v>
      </c>
      <c r="D615" s="10" t="s">
        <v>223</v>
      </c>
      <c r="E615">
        <v>1</v>
      </c>
      <c r="F615">
        <v>29000</v>
      </c>
      <c r="G615">
        <v>69000</v>
      </c>
      <c r="H615">
        <v>11</v>
      </c>
      <c r="I615">
        <v>69000</v>
      </c>
      <c r="J615" s="10" t="s">
        <v>279</v>
      </c>
      <c r="K615" s="10">
        <v>69000</v>
      </c>
      <c r="L615" s="10">
        <v>69000</v>
      </c>
      <c r="M615" s="12" t="s">
        <v>13</v>
      </c>
    </row>
    <row r="616" spans="1:13" ht="16.8" x14ac:dyDescent="0.3">
      <c r="A616" s="7" t="s">
        <v>694</v>
      </c>
      <c r="B616" s="8">
        <v>44716</v>
      </c>
      <c r="C616" s="15" t="s">
        <v>272</v>
      </c>
      <c r="D616" s="10" t="s">
        <v>223</v>
      </c>
      <c r="E616">
        <v>4</v>
      </c>
      <c r="F616">
        <v>49000</v>
      </c>
      <c r="G616">
        <v>65000</v>
      </c>
      <c r="H616">
        <v>8</v>
      </c>
      <c r="I616">
        <v>45080</v>
      </c>
      <c r="J616" s="10" t="s">
        <v>278</v>
      </c>
      <c r="K616" s="10">
        <v>45080</v>
      </c>
      <c r="L616" s="10">
        <v>180320</v>
      </c>
      <c r="M616" s="12" t="s">
        <v>234</v>
      </c>
    </row>
    <row r="617" spans="1:13" ht="16.8" x14ac:dyDescent="0.3">
      <c r="A617" s="7" t="s">
        <v>695</v>
      </c>
      <c r="B617" s="8">
        <v>44472</v>
      </c>
      <c r="C617" s="15" t="s">
        <v>272</v>
      </c>
      <c r="D617" s="10" t="s">
        <v>223</v>
      </c>
      <c r="E617">
        <v>1</v>
      </c>
      <c r="F617">
        <v>65000</v>
      </c>
      <c r="G617">
        <v>69000</v>
      </c>
      <c r="H617">
        <v>12</v>
      </c>
      <c r="I617">
        <v>57200</v>
      </c>
      <c r="J617" s="10" t="s">
        <v>278</v>
      </c>
      <c r="K617" s="10">
        <v>57200</v>
      </c>
      <c r="L617" s="10">
        <v>57200</v>
      </c>
      <c r="M617" s="12" t="s">
        <v>257</v>
      </c>
    </row>
    <row r="618" spans="1:13" ht="16.8" x14ac:dyDescent="0.3">
      <c r="A618" s="7" t="s">
        <v>696</v>
      </c>
      <c r="B618" s="8">
        <v>44919</v>
      </c>
      <c r="C618" s="15" t="s">
        <v>3</v>
      </c>
      <c r="D618" s="10" t="s">
        <v>222</v>
      </c>
      <c r="E618">
        <v>2</v>
      </c>
      <c r="F618">
        <v>29000</v>
      </c>
      <c r="G618">
        <v>59000</v>
      </c>
      <c r="H618">
        <v>8</v>
      </c>
      <c r="I618">
        <v>26680</v>
      </c>
      <c r="J618" s="10" t="s">
        <v>278</v>
      </c>
      <c r="K618" s="10">
        <v>26680</v>
      </c>
      <c r="L618" s="10">
        <v>53360</v>
      </c>
      <c r="M618" s="12" t="s">
        <v>262</v>
      </c>
    </row>
    <row r="619" spans="1:13" ht="16.8" x14ac:dyDescent="0.3">
      <c r="A619" s="7" t="s">
        <v>697</v>
      </c>
      <c r="B619" s="8">
        <v>44611</v>
      </c>
      <c r="C619" s="15" t="s">
        <v>272</v>
      </c>
      <c r="D619" s="10" t="s">
        <v>222</v>
      </c>
      <c r="E619">
        <v>1</v>
      </c>
      <c r="F619">
        <v>59000</v>
      </c>
      <c r="G619">
        <v>59000</v>
      </c>
      <c r="H619">
        <v>12</v>
      </c>
      <c r="I619">
        <v>51920</v>
      </c>
      <c r="J619" s="10" t="s">
        <v>278</v>
      </c>
      <c r="K619" s="10">
        <v>51920</v>
      </c>
      <c r="L619" s="10">
        <v>51920</v>
      </c>
      <c r="M619" s="12" t="s">
        <v>225</v>
      </c>
    </row>
    <row r="620" spans="1:13" ht="16.8" x14ac:dyDescent="0.3">
      <c r="A620" s="7" t="s">
        <v>698</v>
      </c>
      <c r="B620" s="8">
        <v>45024</v>
      </c>
      <c r="C620" s="15" t="s">
        <v>273</v>
      </c>
      <c r="D620" s="10" t="s">
        <v>223</v>
      </c>
      <c r="E620">
        <v>1</v>
      </c>
      <c r="F620">
        <v>55000</v>
      </c>
      <c r="G620">
        <v>49000</v>
      </c>
      <c r="H620">
        <v>13</v>
      </c>
      <c r="I620">
        <v>47850</v>
      </c>
      <c r="J620" s="10" t="s">
        <v>278</v>
      </c>
      <c r="K620" s="10">
        <v>47850</v>
      </c>
      <c r="L620" s="10">
        <v>47850</v>
      </c>
      <c r="M620" s="12" t="s">
        <v>239</v>
      </c>
    </row>
    <row r="621" spans="1:13" ht="16.8" x14ac:dyDescent="0.3">
      <c r="A621" s="7" t="s">
        <v>699</v>
      </c>
      <c r="B621" s="8">
        <v>44357</v>
      </c>
      <c r="C621" s="15" t="s">
        <v>275</v>
      </c>
      <c r="D621" s="10" t="s">
        <v>223</v>
      </c>
      <c r="E621">
        <v>5</v>
      </c>
      <c r="F621">
        <v>49000</v>
      </c>
      <c r="G621">
        <v>59000</v>
      </c>
      <c r="H621">
        <v>9</v>
      </c>
      <c r="I621">
        <v>44590</v>
      </c>
      <c r="J621" s="10" t="s">
        <v>278</v>
      </c>
      <c r="K621" s="10">
        <v>44590</v>
      </c>
      <c r="L621" s="10">
        <v>222950</v>
      </c>
      <c r="M621" s="12" t="s">
        <v>21</v>
      </c>
    </row>
    <row r="622" spans="1:13" ht="16.8" x14ac:dyDescent="0.3">
      <c r="A622" s="7" t="s">
        <v>700</v>
      </c>
      <c r="B622" s="8">
        <v>44721</v>
      </c>
      <c r="C622" s="15" t="s">
        <v>272</v>
      </c>
      <c r="D622" s="10" t="s">
        <v>224</v>
      </c>
      <c r="E622">
        <v>1</v>
      </c>
      <c r="F622">
        <v>55000</v>
      </c>
      <c r="G622">
        <v>69000</v>
      </c>
      <c r="H622">
        <v>14</v>
      </c>
      <c r="I622">
        <v>47300</v>
      </c>
      <c r="J622" s="10" t="s">
        <v>278</v>
      </c>
      <c r="K622" s="10">
        <v>47300</v>
      </c>
      <c r="L622" s="10">
        <v>47300</v>
      </c>
      <c r="M622" s="12" t="s">
        <v>243</v>
      </c>
    </row>
    <row r="623" spans="1:13" ht="16.8" x14ac:dyDescent="0.3">
      <c r="A623" s="7" t="s">
        <v>701</v>
      </c>
      <c r="B623" s="8">
        <v>44885</v>
      </c>
      <c r="C623" s="15" t="s">
        <v>273</v>
      </c>
      <c r="D623" s="10" t="s">
        <v>224</v>
      </c>
      <c r="E623">
        <v>3</v>
      </c>
      <c r="F623">
        <v>55000</v>
      </c>
      <c r="G623">
        <v>59000</v>
      </c>
      <c r="H623">
        <v>6</v>
      </c>
      <c r="I623">
        <v>59000</v>
      </c>
      <c r="J623" s="10" t="s">
        <v>279</v>
      </c>
      <c r="K623" s="10">
        <v>59000</v>
      </c>
      <c r="L623" s="10">
        <v>177000</v>
      </c>
      <c r="M623" s="12" t="s">
        <v>228</v>
      </c>
    </row>
    <row r="624" spans="1:13" ht="16.8" x14ac:dyDescent="0.3">
      <c r="A624" s="7" t="s">
        <v>702</v>
      </c>
      <c r="B624" s="8">
        <v>45035</v>
      </c>
      <c r="C624" s="15" t="s">
        <v>5</v>
      </c>
      <c r="D624" s="10" t="s">
        <v>224</v>
      </c>
      <c r="E624">
        <v>4</v>
      </c>
      <c r="F624">
        <v>49000</v>
      </c>
      <c r="G624">
        <v>39000</v>
      </c>
      <c r="H624">
        <v>14</v>
      </c>
      <c r="I624">
        <v>42140</v>
      </c>
      <c r="J624" s="10" t="s">
        <v>278</v>
      </c>
      <c r="K624" s="10">
        <v>42140</v>
      </c>
      <c r="L624" s="10">
        <v>168560</v>
      </c>
      <c r="M624" s="12" t="s">
        <v>237</v>
      </c>
    </row>
    <row r="625" spans="1:13" ht="16.8" x14ac:dyDescent="0.3">
      <c r="A625" s="7" t="s">
        <v>703</v>
      </c>
      <c r="B625" s="8">
        <v>44561</v>
      </c>
      <c r="C625" s="15" t="s">
        <v>274</v>
      </c>
      <c r="D625" s="10" t="s">
        <v>224</v>
      </c>
      <c r="E625">
        <v>3</v>
      </c>
      <c r="F625">
        <v>65000</v>
      </c>
      <c r="G625">
        <v>59000</v>
      </c>
      <c r="H625">
        <v>6</v>
      </c>
      <c r="I625">
        <v>61100</v>
      </c>
      <c r="J625" s="10" t="s">
        <v>278</v>
      </c>
      <c r="K625" s="10">
        <v>61100</v>
      </c>
      <c r="L625" s="10">
        <v>183300</v>
      </c>
      <c r="M625" s="12" t="s">
        <v>21</v>
      </c>
    </row>
    <row r="626" spans="1:13" ht="16.8" x14ac:dyDescent="0.3">
      <c r="A626" s="7" t="s">
        <v>704</v>
      </c>
      <c r="B626" s="8">
        <v>44321</v>
      </c>
      <c r="C626" s="15" t="s">
        <v>4</v>
      </c>
      <c r="D626" s="10" t="s">
        <v>224</v>
      </c>
      <c r="E626">
        <v>4</v>
      </c>
      <c r="F626">
        <v>65000</v>
      </c>
      <c r="G626">
        <v>39000</v>
      </c>
      <c r="H626">
        <v>15</v>
      </c>
      <c r="I626">
        <v>55250</v>
      </c>
      <c r="J626" s="10" t="s">
        <v>278</v>
      </c>
      <c r="K626" s="10">
        <v>55250</v>
      </c>
      <c r="L626" s="10">
        <v>221000</v>
      </c>
      <c r="M626" s="12" t="s">
        <v>259</v>
      </c>
    </row>
    <row r="627" spans="1:13" ht="16.8" x14ac:dyDescent="0.3">
      <c r="A627" s="7" t="s">
        <v>705</v>
      </c>
      <c r="B627" s="8">
        <v>44673</v>
      </c>
      <c r="C627" s="15" t="s">
        <v>4</v>
      </c>
      <c r="D627" s="10" t="s">
        <v>222</v>
      </c>
      <c r="E627">
        <v>2</v>
      </c>
      <c r="F627">
        <v>39000</v>
      </c>
      <c r="G627">
        <v>45000</v>
      </c>
      <c r="H627">
        <v>15</v>
      </c>
      <c r="I627">
        <v>45000</v>
      </c>
      <c r="J627" s="10" t="s">
        <v>279</v>
      </c>
      <c r="K627" s="10">
        <v>45000</v>
      </c>
      <c r="L627" s="10">
        <v>90000</v>
      </c>
      <c r="M627" s="12" t="s">
        <v>16</v>
      </c>
    </row>
    <row r="628" spans="1:13" ht="16.8" x14ac:dyDescent="0.3">
      <c r="A628" s="7" t="s">
        <v>706</v>
      </c>
      <c r="B628" s="8">
        <v>44488</v>
      </c>
      <c r="C628" s="15" t="s">
        <v>5</v>
      </c>
      <c r="D628" s="10" t="s">
        <v>222</v>
      </c>
      <c r="E628">
        <v>5</v>
      </c>
      <c r="F628">
        <v>65000</v>
      </c>
      <c r="G628">
        <v>35000</v>
      </c>
      <c r="H628">
        <v>11</v>
      </c>
      <c r="I628">
        <v>35000</v>
      </c>
      <c r="J628" s="10" t="s">
        <v>279</v>
      </c>
      <c r="K628" s="10">
        <v>35000</v>
      </c>
      <c r="L628" s="10">
        <v>175000</v>
      </c>
      <c r="M628" s="12" t="s">
        <v>243</v>
      </c>
    </row>
    <row r="629" spans="1:13" ht="16.8" x14ac:dyDescent="0.3">
      <c r="A629" s="7" t="s">
        <v>707</v>
      </c>
      <c r="B629" s="8">
        <v>45254</v>
      </c>
      <c r="C629" s="15" t="s">
        <v>275</v>
      </c>
      <c r="D629" s="10" t="s">
        <v>222</v>
      </c>
      <c r="E629">
        <v>2</v>
      </c>
      <c r="F629">
        <v>69000</v>
      </c>
      <c r="G629">
        <v>59000</v>
      </c>
      <c r="H629">
        <v>9</v>
      </c>
      <c r="I629">
        <v>59000</v>
      </c>
      <c r="J629" s="10" t="s">
        <v>279</v>
      </c>
      <c r="K629" s="10">
        <v>59000</v>
      </c>
      <c r="L629" s="10">
        <v>118000</v>
      </c>
      <c r="M629" s="12" t="s">
        <v>236</v>
      </c>
    </row>
    <row r="630" spans="1:13" ht="16.8" x14ac:dyDescent="0.3">
      <c r="A630" s="7" t="s">
        <v>708</v>
      </c>
      <c r="B630" s="8">
        <v>44994</v>
      </c>
      <c r="C630" s="15" t="s">
        <v>5</v>
      </c>
      <c r="D630" s="10" t="s">
        <v>222</v>
      </c>
      <c r="E630">
        <v>2</v>
      </c>
      <c r="F630">
        <v>49000</v>
      </c>
      <c r="G630">
        <v>39000</v>
      </c>
      <c r="H630">
        <v>9</v>
      </c>
      <c r="I630">
        <v>39000</v>
      </c>
      <c r="J630" s="10" t="s">
        <v>279</v>
      </c>
      <c r="K630" s="10">
        <v>39000</v>
      </c>
      <c r="L630" s="10">
        <v>78000</v>
      </c>
      <c r="M630" s="12" t="s">
        <v>228</v>
      </c>
    </row>
    <row r="631" spans="1:13" ht="16.8" x14ac:dyDescent="0.3">
      <c r="A631" s="7" t="s">
        <v>709</v>
      </c>
      <c r="B631" s="8">
        <v>45075</v>
      </c>
      <c r="C631" s="15" t="s">
        <v>6</v>
      </c>
      <c r="D631" s="10" t="s">
        <v>223</v>
      </c>
      <c r="E631">
        <v>4</v>
      </c>
      <c r="F631">
        <v>29000</v>
      </c>
      <c r="G631">
        <v>49000</v>
      </c>
      <c r="H631">
        <v>9</v>
      </c>
      <c r="I631">
        <v>49000</v>
      </c>
      <c r="J631" s="10" t="s">
        <v>279</v>
      </c>
      <c r="K631" s="10">
        <v>49000</v>
      </c>
      <c r="L631" s="10">
        <v>196000</v>
      </c>
      <c r="M631" s="12" t="s">
        <v>246</v>
      </c>
    </row>
    <row r="632" spans="1:13" ht="16.8" x14ac:dyDescent="0.3">
      <c r="A632" s="7" t="s">
        <v>710</v>
      </c>
      <c r="B632" s="8">
        <v>44926</v>
      </c>
      <c r="C632" s="15" t="s">
        <v>275</v>
      </c>
      <c r="D632" s="10" t="s">
        <v>224</v>
      </c>
      <c r="E632">
        <v>3</v>
      </c>
      <c r="F632">
        <v>65000</v>
      </c>
      <c r="G632">
        <v>45000</v>
      </c>
      <c r="H632">
        <v>6</v>
      </c>
      <c r="I632">
        <v>45000</v>
      </c>
      <c r="J632" s="10" t="s">
        <v>279</v>
      </c>
      <c r="K632" s="10">
        <v>45000</v>
      </c>
      <c r="L632" s="10">
        <v>135000</v>
      </c>
      <c r="M632" s="12" t="s">
        <v>11</v>
      </c>
    </row>
    <row r="633" spans="1:13" ht="16.8" x14ac:dyDescent="0.3">
      <c r="A633" s="7" t="s">
        <v>711</v>
      </c>
      <c r="B633" s="8">
        <v>44829</v>
      </c>
      <c r="C633" s="15" t="s">
        <v>275</v>
      </c>
      <c r="D633" s="10" t="s">
        <v>224</v>
      </c>
      <c r="E633">
        <v>2</v>
      </c>
      <c r="F633">
        <v>59000</v>
      </c>
      <c r="G633">
        <v>65000</v>
      </c>
      <c r="H633">
        <v>5</v>
      </c>
      <c r="I633">
        <v>65000</v>
      </c>
      <c r="J633" s="10" t="s">
        <v>279</v>
      </c>
      <c r="K633" s="10">
        <v>65000</v>
      </c>
      <c r="L633" s="10">
        <v>130000</v>
      </c>
      <c r="M633" s="12" t="s">
        <v>254</v>
      </c>
    </row>
    <row r="634" spans="1:13" ht="16.8" x14ac:dyDescent="0.3">
      <c r="A634" s="7" t="s">
        <v>712</v>
      </c>
      <c r="B634" s="8">
        <v>44219</v>
      </c>
      <c r="C634" s="15" t="s">
        <v>273</v>
      </c>
      <c r="D634" s="10" t="s">
        <v>223</v>
      </c>
      <c r="E634">
        <v>1</v>
      </c>
      <c r="F634">
        <v>65000</v>
      </c>
      <c r="G634">
        <v>59000</v>
      </c>
      <c r="H634">
        <v>10</v>
      </c>
      <c r="I634">
        <v>59000</v>
      </c>
      <c r="J634" s="10" t="s">
        <v>279</v>
      </c>
      <c r="K634" s="10">
        <v>59000</v>
      </c>
      <c r="L634" s="10">
        <v>59000</v>
      </c>
      <c r="M634" s="12" t="s">
        <v>235</v>
      </c>
    </row>
    <row r="635" spans="1:13" ht="16.8" x14ac:dyDescent="0.3">
      <c r="A635" s="7" t="s">
        <v>713</v>
      </c>
      <c r="B635" s="8">
        <v>45087</v>
      </c>
      <c r="C635" s="15" t="s">
        <v>272</v>
      </c>
      <c r="D635" s="10" t="s">
        <v>222</v>
      </c>
      <c r="E635">
        <v>2</v>
      </c>
      <c r="F635">
        <v>49000</v>
      </c>
      <c r="G635">
        <v>69000</v>
      </c>
      <c r="H635">
        <v>15</v>
      </c>
      <c r="I635">
        <v>69000</v>
      </c>
      <c r="J635" s="10" t="s">
        <v>279</v>
      </c>
      <c r="K635" s="10">
        <v>69000</v>
      </c>
      <c r="L635" s="10">
        <v>138000</v>
      </c>
      <c r="M635" s="12" t="s">
        <v>230</v>
      </c>
    </row>
    <row r="636" spans="1:13" ht="16.8" x14ac:dyDescent="0.3">
      <c r="A636" s="7" t="s">
        <v>714</v>
      </c>
      <c r="B636" s="8">
        <v>45270</v>
      </c>
      <c r="C636" s="15" t="s">
        <v>6</v>
      </c>
      <c r="D636" s="10" t="s">
        <v>223</v>
      </c>
      <c r="E636">
        <v>1</v>
      </c>
      <c r="F636">
        <v>59000</v>
      </c>
      <c r="G636">
        <v>65000</v>
      </c>
      <c r="H636">
        <v>11</v>
      </c>
      <c r="I636">
        <v>65000</v>
      </c>
      <c r="J636" s="10" t="s">
        <v>279</v>
      </c>
      <c r="K636" s="10">
        <v>65000</v>
      </c>
      <c r="L636" s="10">
        <v>65000</v>
      </c>
      <c r="M636" s="12" t="s">
        <v>15</v>
      </c>
    </row>
    <row r="637" spans="1:13" ht="16.8" x14ac:dyDescent="0.3">
      <c r="A637" s="7" t="s">
        <v>715</v>
      </c>
      <c r="B637" s="8">
        <v>44716</v>
      </c>
      <c r="C637" s="15" t="s">
        <v>271</v>
      </c>
      <c r="D637" s="10" t="s">
        <v>222</v>
      </c>
      <c r="E637">
        <v>4</v>
      </c>
      <c r="F637">
        <v>49000</v>
      </c>
      <c r="G637">
        <v>39000</v>
      </c>
      <c r="H637">
        <v>7</v>
      </c>
      <c r="I637">
        <v>45570</v>
      </c>
      <c r="J637" s="10" t="s">
        <v>278</v>
      </c>
      <c r="K637" s="10">
        <v>45570</v>
      </c>
      <c r="L637" s="10">
        <v>182280</v>
      </c>
      <c r="M637" s="12" t="s">
        <v>257</v>
      </c>
    </row>
    <row r="638" spans="1:13" ht="16.8" x14ac:dyDescent="0.3">
      <c r="A638" s="7" t="s">
        <v>716</v>
      </c>
      <c r="B638" s="8">
        <v>44540</v>
      </c>
      <c r="C638" s="15" t="s">
        <v>273</v>
      </c>
      <c r="D638" s="10" t="s">
        <v>222</v>
      </c>
      <c r="E638">
        <v>5</v>
      </c>
      <c r="F638">
        <v>65000</v>
      </c>
      <c r="G638">
        <v>29000</v>
      </c>
      <c r="H638">
        <v>10</v>
      </c>
      <c r="I638">
        <v>58500</v>
      </c>
      <c r="J638" s="10" t="s">
        <v>278</v>
      </c>
      <c r="K638" s="10">
        <v>58500</v>
      </c>
      <c r="L638" s="10">
        <v>292500</v>
      </c>
      <c r="M638" s="12" t="s">
        <v>242</v>
      </c>
    </row>
    <row r="639" spans="1:13" ht="16.8" x14ac:dyDescent="0.3">
      <c r="A639" s="7" t="s">
        <v>717</v>
      </c>
      <c r="B639" s="8">
        <v>44710</v>
      </c>
      <c r="C639" s="15" t="s">
        <v>5</v>
      </c>
      <c r="D639" s="10" t="s">
        <v>224</v>
      </c>
      <c r="E639">
        <v>5</v>
      </c>
      <c r="F639">
        <v>75000</v>
      </c>
      <c r="G639">
        <v>65000</v>
      </c>
      <c r="H639">
        <v>6</v>
      </c>
      <c r="I639">
        <v>65000</v>
      </c>
      <c r="J639" s="10" t="s">
        <v>279</v>
      </c>
      <c r="K639" s="10">
        <v>65000</v>
      </c>
      <c r="L639" s="10">
        <v>325000</v>
      </c>
      <c r="M639" s="12" t="s">
        <v>225</v>
      </c>
    </row>
    <row r="640" spans="1:13" ht="16.8" x14ac:dyDescent="0.3">
      <c r="A640" s="7" t="s">
        <v>718</v>
      </c>
      <c r="B640" s="8">
        <v>44763</v>
      </c>
      <c r="C640" s="15" t="s">
        <v>274</v>
      </c>
      <c r="D640" s="10" t="s">
        <v>224</v>
      </c>
      <c r="E640">
        <v>4</v>
      </c>
      <c r="F640">
        <v>59000</v>
      </c>
      <c r="G640">
        <v>49000</v>
      </c>
      <c r="H640">
        <v>11</v>
      </c>
      <c r="I640">
        <v>49000</v>
      </c>
      <c r="J640" s="10" t="s">
        <v>279</v>
      </c>
      <c r="K640" s="10">
        <v>49000</v>
      </c>
      <c r="L640" s="10">
        <v>196000</v>
      </c>
      <c r="M640" s="12" t="s">
        <v>262</v>
      </c>
    </row>
    <row r="641" spans="1:13" ht="16.8" x14ac:dyDescent="0.3">
      <c r="A641" s="7" t="s">
        <v>719</v>
      </c>
      <c r="B641" s="8">
        <v>44825</v>
      </c>
      <c r="C641" s="15" t="s">
        <v>273</v>
      </c>
      <c r="D641" s="10" t="s">
        <v>222</v>
      </c>
      <c r="E641">
        <v>3</v>
      </c>
      <c r="F641">
        <v>75000</v>
      </c>
      <c r="G641">
        <v>65000</v>
      </c>
      <c r="H641">
        <v>9</v>
      </c>
      <c r="I641">
        <v>68250</v>
      </c>
      <c r="J641" s="10" t="s">
        <v>278</v>
      </c>
      <c r="K641" s="10">
        <v>68250</v>
      </c>
      <c r="L641" s="10">
        <v>204750</v>
      </c>
      <c r="M641" s="12" t="s">
        <v>256</v>
      </c>
    </row>
    <row r="642" spans="1:13" ht="16.8" x14ac:dyDescent="0.3">
      <c r="A642" s="7" t="s">
        <v>720</v>
      </c>
      <c r="B642" s="8">
        <v>44239</v>
      </c>
      <c r="C642" s="15" t="s">
        <v>6</v>
      </c>
      <c r="D642" s="10" t="s">
        <v>223</v>
      </c>
      <c r="E642">
        <v>1</v>
      </c>
      <c r="F642">
        <v>29000</v>
      </c>
      <c r="G642">
        <v>49000</v>
      </c>
      <c r="H642">
        <v>8</v>
      </c>
      <c r="I642">
        <v>49000</v>
      </c>
      <c r="J642" s="10" t="s">
        <v>279</v>
      </c>
      <c r="K642" s="10">
        <v>49000</v>
      </c>
      <c r="L642" s="10">
        <v>49000</v>
      </c>
      <c r="M642" s="12" t="s">
        <v>21</v>
      </c>
    </row>
    <row r="643" spans="1:13" ht="16.8" x14ac:dyDescent="0.3">
      <c r="A643" s="7" t="s">
        <v>721</v>
      </c>
      <c r="B643" s="8">
        <v>44397</v>
      </c>
      <c r="C643" s="15" t="s">
        <v>274</v>
      </c>
      <c r="D643" s="10" t="s">
        <v>222</v>
      </c>
      <c r="E643">
        <v>1</v>
      </c>
      <c r="F643">
        <v>55000</v>
      </c>
      <c r="G643">
        <v>49000</v>
      </c>
      <c r="H643">
        <v>14</v>
      </c>
      <c r="I643">
        <v>47300</v>
      </c>
      <c r="J643" s="10" t="s">
        <v>278</v>
      </c>
      <c r="K643" s="10">
        <v>47300</v>
      </c>
      <c r="L643" s="10">
        <v>47300</v>
      </c>
      <c r="M643" s="12" t="s">
        <v>12</v>
      </c>
    </row>
    <row r="644" spans="1:13" ht="16.8" x14ac:dyDescent="0.3">
      <c r="A644" s="7" t="s">
        <v>722</v>
      </c>
      <c r="B644" s="8">
        <v>44428</v>
      </c>
      <c r="C644" s="15" t="s">
        <v>6</v>
      </c>
      <c r="D644" s="10" t="s">
        <v>223</v>
      </c>
      <c r="E644">
        <v>3</v>
      </c>
      <c r="F644">
        <v>35000</v>
      </c>
      <c r="G644">
        <v>49000</v>
      </c>
      <c r="H644">
        <v>13</v>
      </c>
      <c r="I644">
        <v>30450</v>
      </c>
      <c r="J644" s="10" t="s">
        <v>278</v>
      </c>
      <c r="K644" s="10">
        <v>30450</v>
      </c>
      <c r="L644" s="10">
        <v>91350</v>
      </c>
      <c r="M644" s="12" t="s">
        <v>254</v>
      </c>
    </row>
    <row r="645" spans="1:13" ht="16.8" x14ac:dyDescent="0.3">
      <c r="A645" s="7" t="s">
        <v>723</v>
      </c>
      <c r="B645" s="8">
        <v>44293</v>
      </c>
      <c r="C645" s="15" t="s">
        <v>4</v>
      </c>
      <c r="D645" s="10" t="s">
        <v>223</v>
      </c>
      <c r="E645">
        <v>2</v>
      </c>
      <c r="F645">
        <v>55000</v>
      </c>
      <c r="G645">
        <v>39000</v>
      </c>
      <c r="H645">
        <v>5</v>
      </c>
      <c r="I645">
        <v>39000</v>
      </c>
      <c r="J645" s="10" t="s">
        <v>279</v>
      </c>
      <c r="K645" s="10">
        <v>39000</v>
      </c>
      <c r="L645" s="10">
        <v>78000</v>
      </c>
      <c r="M645" s="12" t="s">
        <v>244</v>
      </c>
    </row>
    <row r="646" spans="1:13" ht="16.8" x14ac:dyDescent="0.3">
      <c r="A646" s="7" t="s">
        <v>724</v>
      </c>
      <c r="B646" s="8">
        <v>45074</v>
      </c>
      <c r="C646" s="15" t="s">
        <v>271</v>
      </c>
      <c r="D646" s="10" t="s">
        <v>224</v>
      </c>
      <c r="E646">
        <v>3</v>
      </c>
      <c r="F646">
        <v>65000</v>
      </c>
      <c r="G646">
        <v>35000</v>
      </c>
      <c r="H646">
        <v>7</v>
      </c>
      <c r="I646">
        <v>35000</v>
      </c>
      <c r="J646" s="10" t="s">
        <v>279</v>
      </c>
      <c r="K646" s="10">
        <v>35000</v>
      </c>
      <c r="L646" s="10">
        <v>105000</v>
      </c>
      <c r="M646" s="12" t="s">
        <v>251</v>
      </c>
    </row>
    <row r="647" spans="1:13" ht="16.8" x14ac:dyDescent="0.3">
      <c r="A647" s="7" t="s">
        <v>725</v>
      </c>
      <c r="B647" s="8">
        <v>44604</v>
      </c>
      <c r="C647" s="15" t="s">
        <v>272</v>
      </c>
      <c r="D647" s="10" t="s">
        <v>222</v>
      </c>
      <c r="E647">
        <v>3</v>
      </c>
      <c r="F647">
        <v>49000</v>
      </c>
      <c r="G647">
        <v>59000</v>
      </c>
      <c r="H647">
        <v>12</v>
      </c>
      <c r="I647">
        <v>59000</v>
      </c>
      <c r="J647" s="10" t="s">
        <v>279</v>
      </c>
      <c r="K647" s="10">
        <v>59000</v>
      </c>
      <c r="L647" s="10">
        <v>177000</v>
      </c>
      <c r="M647" s="12" t="s">
        <v>238</v>
      </c>
    </row>
    <row r="648" spans="1:13" ht="16.8" x14ac:dyDescent="0.3">
      <c r="A648" s="7" t="s">
        <v>726</v>
      </c>
      <c r="B648" s="8">
        <v>44957</v>
      </c>
      <c r="C648" s="15" t="s">
        <v>271</v>
      </c>
      <c r="D648" s="10" t="s">
        <v>222</v>
      </c>
      <c r="E648">
        <v>2</v>
      </c>
      <c r="F648">
        <v>49000</v>
      </c>
      <c r="G648">
        <v>59000</v>
      </c>
      <c r="H648">
        <v>15</v>
      </c>
      <c r="I648">
        <v>59000</v>
      </c>
      <c r="J648" s="10" t="s">
        <v>279</v>
      </c>
      <c r="K648" s="10">
        <v>59000</v>
      </c>
      <c r="L648" s="10">
        <v>118000</v>
      </c>
      <c r="M648" s="12" t="s">
        <v>254</v>
      </c>
    </row>
    <row r="649" spans="1:13" ht="16.8" x14ac:dyDescent="0.3">
      <c r="A649" s="7" t="s">
        <v>727</v>
      </c>
      <c r="B649" s="8">
        <v>44821</v>
      </c>
      <c r="C649" s="15" t="s">
        <v>273</v>
      </c>
      <c r="D649" s="10" t="s">
        <v>223</v>
      </c>
      <c r="E649">
        <v>3</v>
      </c>
      <c r="F649">
        <v>59000</v>
      </c>
      <c r="G649">
        <v>55000</v>
      </c>
      <c r="H649">
        <v>8</v>
      </c>
      <c r="I649">
        <v>55000</v>
      </c>
      <c r="J649" s="10" t="s">
        <v>279</v>
      </c>
      <c r="K649" s="10">
        <v>55000</v>
      </c>
      <c r="L649" s="10">
        <v>165000</v>
      </c>
      <c r="M649" s="12" t="s">
        <v>14</v>
      </c>
    </row>
    <row r="650" spans="1:13" ht="16.8" x14ac:dyDescent="0.3">
      <c r="A650" s="7" t="s">
        <v>728</v>
      </c>
      <c r="B650" s="8">
        <v>44689</v>
      </c>
      <c r="C650" s="15" t="s">
        <v>270</v>
      </c>
      <c r="D650" s="10" t="s">
        <v>222</v>
      </c>
      <c r="E650">
        <v>4</v>
      </c>
      <c r="F650">
        <v>59000</v>
      </c>
      <c r="G650">
        <v>49000</v>
      </c>
      <c r="H650">
        <v>11</v>
      </c>
      <c r="I650">
        <v>49000</v>
      </c>
      <c r="J650" s="10" t="s">
        <v>279</v>
      </c>
      <c r="K650" s="10">
        <v>49000</v>
      </c>
      <c r="L650" s="10">
        <v>196000</v>
      </c>
      <c r="M650" s="12" t="s">
        <v>242</v>
      </c>
    </row>
    <row r="651" spans="1:13" ht="16.8" x14ac:dyDescent="0.3">
      <c r="A651" s="7" t="s">
        <v>729</v>
      </c>
      <c r="B651" s="8">
        <v>44929</v>
      </c>
      <c r="C651" s="15" t="s">
        <v>4</v>
      </c>
      <c r="D651" s="10" t="s">
        <v>224</v>
      </c>
      <c r="E651">
        <v>4</v>
      </c>
      <c r="F651">
        <v>49000</v>
      </c>
      <c r="G651">
        <v>55000</v>
      </c>
      <c r="H651">
        <v>9</v>
      </c>
      <c r="I651">
        <v>44590</v>
      </c>
      <c r="J651" s="10" t="s">
        <v>278</v>
      </c>
      <c r="K651" s="10">
        <v>44590</v>
      </c>
      <c r="L651" s="10">
        <v>178360</v>
      </c>
      <c r="M651" s="12" t="s">
        <v>246</v>
      </c>
    </row>
    <row r="652" spans="1:13" ht="16.8" x14ac:dyDescent="0.3">
      <c r="A652" s="7" t="s">
        <v>730</v>
      </c>
      <c r="B652" s="8">
        <v>44273</v>
      </c>
      <c r="C652" s="15" t="s">
        <v>4</v>
      </c>
      <c r="D652" s="10" t="s">
        <v>222</v>
      </c>
      <c r="E652">
        <v>4</v>
      </c>
      <c r="F652">
        <v>45000</v>
      </c>
      <c r="G652">
        <v>39000</v>
      </c>
      <c r="H652">
        <v>13</v>
      </c>
      <c r="I652">
        <v>39000</v>
      </c>
      <c r="J652" s="10" t="s">
        <v>279</v>
      </c>
      <c r="K652" s="10">
        <v>39000</v>
      </c>
      <c r="L652" s="10">
        <v>156000</v>
      </c>
      <c r="M652" s="12" t="s">
        <v>14</v>
      </c>
    </row>
    <row r="653" spans="1:13" ht="16.8" x14ac:dyDescent="0.3">
      <c r="A653" s="7" t="s">
        <v>731</v>
      </c>
      <c r="B653" s="8">
        <v>44317</v>
      </c>
      <c r="C653" s="15" t="s">
        <v>271</v>
      </c>
      <c r="D653" s="10" t="s">
        <v>223</v>
      </c>
      <c r="E653">
        <v>5</v>
      </c>
      <c r="F653">
        <v>59000</v>
      </c>
      <c r="G653">
        <v>29000</v>
      </c>
      <c r="H653">
        <v>5</v>
      </c>
      <c r="I653">
        <v>56050</v>
      </c>
      <c r="J653" s="10" t="s">
        <v>278</v>
      </c>
      <c r="K653" s="10">
        <v>56050</v>
      </c>
      <c r="L653" s="10">
        <v>280250</v>
      </c>
      <c r="M653" s="12" t="s">
        <v>252</v>
      </c>
    </row>
    <row r="654" spans="1:13" ht="16.8" x14ac:dyDescent="0.3">
      <c r="A654" s="7" t="s">
        <v>732</v>
      </c>
      <c r="B654" s="8">
        <v>44600</v>
      </c>
      <c r="C654" s="15" t="s">
        <v>6</v>
      </c>
      <c r="D654" s="10" t="s">
        <v>224</v>
      </c>
      <c r="E654">
        <v>4</v>
      </c>
      <c r="F654">
        <v>65000</v>
      </c>
      <c r="G654">
        <v>65000</v>
      </c>
      <c r="H654">
        <v>12</v>
      </c>
      <c r="I654">
        <v>65000</v>
      </c>
      <c r="J654" s="10" t="s">
        <v>279</v>
      </c>
      <c r="K654" s="10">
        <v>65000</v>
      </c>
      <c r="L654" s="10">
        <v>260000</v>
      </c>
      <c r="M654" s="12" t="s">
        <v>18</v>
      </c>
    </row>
    <row r="655" spans="1:13" ht="16.8" x14ac:dyDescent="0.3">
      <c r="A655" s="7" t="s">
        <v>733</v>
      </c>
      <c r="B655" s="8">
        <v>44219</v>
      </c>
      <c r="C655" s="15" t="s">
        <v>274</v>
      </c>
      <c r="D655" s="10" t="s">
        <v>223</v>
      </c>
      <c r="E655">
        <v>2</v>
      </c>
      <c r="F655">
        <v>39000</v>
      </c>
      <c r="G655">
        <v>59000</v>
      </c>
      <c r="H655">
        <v>6</v>
      </c>
      <c r="I655">
        <v>36660</v>
      </c>
      <c r="J655" s="10" t="s">
        <v>278</v>
      </c>
      <c r="K655" s="10">
        <v>36660</v>
      </c>
      <c r="L655" s="10">
        <v>73320</v>
      </c>
      <c r="M655" s="12" t="s">
        <v>250</v>
      </c>
    </row>
    <row r="656" spans="1:13" ht="16.8" x14ac:dyDescent="0.3">
      <c r="A656" s="7" t="s">
        <v>734</v>
      </c>
      <c r="B656" s="8">
        <v>44529</v>
      </c>
      <c r="C656" s="15" t="s">
        <v>272</v>
      </c>
      <c r="D656" s="10" t="s">
        <v>223</v>
      </c>
      <c r="E656">
        <v>5</v>
      </c>
      <c r="F656">
        <v>65000</v>
      </c>
      <c r="G656">
        <v>49000</v>
      </c>
      <c r="H656">
        <v>11</v>
      </c>
      <c r="I656">
        <v>57850</v>
      </c>
      <c r="J656" s="10" t="s">
        <v>278</v>
      </c>
      <c r="K656" s="10">
        <v>57850</v>
      </c>
      <c r="L656" s="10">
        <v>289250</v>
      </c>
      <c r="M656" s="12" t="s">
        <v>231</v>
      </c>
    </row>
    <row r="657" spans="1:13" ht="16.8" x14ac:dyDescent="0.3">
      <c r="A657" s="7" t="s">
        <v>735</v>
      </c>
      <c r="B657" s="8">
        <v>44551</v>
      </c>
      <c r="C657" s="15" t="s">
        <v>274</v>
      </c>
      <c r="D657" s="10" t="s">
        <v>223</v>
      </c>
      <c r="E657">
        <v>2</v>
      </c>
      <c r="F657">
        <v>29000</v>
      </c>
      <c r="G657">
        <v>59000</v>
      </c>
      <c r="H657">
        <v>9</v>
      </c>
      <c r="I657">
        <v>59000</v>
      </c>
      <c r="J657" s="10" t="s">
        <v>279</v>
      </c>
      <c r="K657" s="10">
        <v>59000</v>
      </c>
      <c r="L657" s="10">
        <v>118000</v>
      </c>
      <c r="M657" s="12" t="s">
        <v>248</v>
      </c>
    </row>
    <row r="658" spans="1:13" ht="16.8" x14ac:dyDescent="0.3">
      <c r="A658" s="7" t="s">
        <v>736</v>
      </c>
      <c r="B658" s="8">
        <v>44709</v>
      </c>
      <c r="C658" s="15" t="s">
        <v>274</v>
      </c>
      <c r="D658" s="10" t="s">
        <v>224</v>
      </c>
      <c r="E658">
        <v>4</v>
      </c>
      <c r="F658">
        <v>49000</v>
      </c>
      <c r="G658">
        <v>55000</v>
      </c>
      <c r="H658">
        <v>12</v>
      </c>
      <c r="I658">
        <v>55000</v>
      </c>
      <c r="J658" s="10" t="s">
        <v>279</v>
      </c>
      <c r="K658" s="10">
        <v>55000</v>
      </c>
      <c r="L658" s="10">
        <v>220000</v>
      </c>
      <c r="M658" s="12" t="s">
        <v>244</v>
      </c>
    </row>
    <row r="659" spans="1:13" ht="16.8" x14ac:dyDescent="0.3">
      <c r="A659" s="7" t="s">
        <v>737</v>
      </c>
      <c r="B659" s="8">
        <v>45118</v>
      </c>
      <c r="C659" s="15" t="s">
        <v>6</v>
      </c>
      <c r="D659" s="10" t="s">
        <v>222</v>
      </c>
      <c r="E659">
        <v>2</v>
      </c>
      <c r="F659">
        <v>29000</v>
      </c>
      <c r="G659">
        <v>65000</v>
      </c>
      <c r="H659">
        <v>6</v>
      </c>
      <c r="I659">
        <v>27260</v>
      </c>
      <c r="J659" s="10" t="s">
        <v>278</v>
      </c>
      <c r="K659" s="10">
        <v>27260</v>
      </c>
      <c r="L659" s="10">
        <v>54520</v>
      </c>
      <c r="M659" s="12" t="s">
        <v>237</v>
      </c>
    </row>
    <row r="660" spans="1:13" ht="16.8" x14ac:dyDescent="0.3">
      <c r="A660" s="7" t="s">
        <v>738</v>
      </c>
      <c r="B660" s="8">
        <v>44522</v>
      </c>
      <c r="C660" s="15" t="s">
        <v>3</v>
      </c>
      <c r="D660" s="10" t="s">
        <v>222</v>
      </c>
      <c r="E660">
        <v>5</v>
      </c>
      <c r="F660">
        <v>65000</v>
      </c>
      <c r="G660">
        <v>65000</v>
      </c>
      <c r="H660">
        <v>13</v>
      </c>
      <c r="I660">
        <v>56550</v>
      </c>
      <c r="J660" s="10" t="s">
        <v>278</v>
      </c>
      <c r="K660" s="10">
        <v>56550</v>
      </c>
      <c r="L660" s="10">
        <v>282750</v>
      </c>
      <c r="M660" s="12" t="s">
        <v>18</v>
      </c>
    </row>
    <row r="661" spans="1:13" ht="16.8" x14ac:dyDescent="0.3">
      <c r="A661" s="7" t="s">
        <v>739</v>
      </c>
      <c r="B661" s="8">
        <v>44750</v>
      </c>
      <c r="C661" s="15" t="s">
        <v>275</v>
      </c>
      <c r="D661" s="10" t="s">
        <v>224</v>
      </c>
      <c r="E661">
        <v>4</v>
      </c>
      <c r="F661">
        <v>35000</v>
      </c>
      <c r="G661">
        <v>59000</v>
      </c>
      <c r="H661">
        <v>11</v>
      </c>
      <c r="I661">
        <v>59000</v>
      </c>
      <c r="J661" s="10" t="s">
        <v>279</v>
      </c>
      <c r="K661" s="10">
        <v>59000</v>
      </c>
      <c r="L661" s="10">
        <v>236000</v>
      </c>
      <c r="M661" s="12" t="s">
        <v>258</v>
      </c>
    </row>
    <row r="662" spans="1:13" ht="16.8" x14ac:dyDescent="0.3">
      <c r="A662" s="7" t="s">
        <v>740</v>
      </c>
      <c r="B662" s="8">
        <v>45047</v>
      </c>
      <c r="C662" s="15" t="s">
        <v>274</v>
      </c>
      <c r="D662" s="10" t="s">
        <v>223</v>
      </c>
      <c r="E662">
        <v>1</v>
      </c>
      <c r="F662">
        <v>35000</v>
      </c>
      <c r="G662">
        <v>49000</v>
      </c>
      <c r="H662">
        <v>6</v>
      </c>
      <c r="I662">
        <v>49000</v>
      </c>
      <c r="J662" s="10" t="s">
        <v>279</v>
      </c>
      <c r="K662" s="10">
        <v>49000</v>
      </c>
      <c r="L662" s="10">
        <v>49000</v>
      </c>
      <c r="M662" s="12" t="s">
        <v>247</v>
      </c>
    </row>
    <row r="663" spans="1:13" ht="16.8" x14ac:dyDescent="0.3">
      <c r="A663" s="7" t="s">
        <v>741</v>
      </c>
      <c r="B663" s="8">
        <v>44859</v>
      </c>
      <c r="C663" s="15" t="s">
        <v>271</v>
      </c>
      <c r="D663" s="10" t="s">
        <v>223</v>
      </c>
      <c r="E663">
        <v>1</v>
      </c>
      <c r="F663">
        <v>75000</v>
      </c>
      <c r="G663">
        <v>49000</v>
      </c>
      <c r="H663">
        <v>11</v>
      </c>
      <c r="I663">
        <v>66750</v>
      </c>
      <c r="J663" s="10" t="s">
        <v>278</v>
      </c>
      <c r="K663" s="10">
        <v>66750</v>
      </c>
      <c r="L663" s="10">
        <v>66750</v>
      </c>
      <c r="M663" s="12" t="s">
        <v>254</v>
      </c>
    </row>
    <row r="664" spans="1:13" ht="16.8" x14ac:dyDescent="0.3">
      <c r="A664" s="7" t="s">
        <v>742</v>
      </c>
      <c r="B664" s="8">
        <v>44210</v>
      </c>
      <c r="C664" s="15" t="s">
        <v>3</v>
      </c>
      <c r="D664" s="10" t="s">
        <v>224</v>
      </c>
      <c r="E664">
        <v>3</v>
      </c>
      <c r="F664">
        <v>35000</v>
      </c>
      <c r="G664">
        <v>65000</v>
      </c>
      <c r="H664">
        <v>11</v>
      </c>
      <c r="I664">
        <v>65000</v>
      </c>
      <c r="J664" s="10" t="s">
        <v>279</v>
      </c>
      <c r="K664" s="10">
        <v>65000</v>
      </c>
      <c r="L664" s="10">
        <v>195000</v>
      </c>
      <c r="M664" s="12" t="s">
        <v>236</v>
      </c>
    </row>
    <row r="665" spans="1:13" ht="16.8" x14ac:dyDescent="0.3">
      <c r="A665" s="7" t="s">
        <v>743</v>
      </c>
      <c r="B665" s="8">
        <v>45173</v>
      </c>
      <c r="C665" s="15" t="s">
        <v>270</v>
      </c>
      <c r="D665" s="10" t="s">
        <v>224</v>
      </c>
      <c r="E665">
        <v>2</v>
      </c>
      <c r="F665">
        <v>55000</v>
      </c>
      <c r="G665">
        <v>59000</v>
      </c>
      <c r="H665">
        <v>10</v>
      </c>
      <c r="I665">
        <v>59000</v>
      </c>
      <c r="J665" s="10" t="s">
        <v>279</v>
      </c>
      <c r="K665" s="10">
        <v>59000</v>
      </c>
      <c r="L665" s="10">
        <v>118000</v>
      </c>
      <c r="M665" s="12" t="s">
        <v>251</v>
      </c>
    </row>
    <row r="666" spans="1:13" ht="16.8" x14ac:dyDescent="0.3">
      <c r="A666" s="7" t="s">
        <v>744</v>
      </c>
      <c r="B666" s="8">
        <v>45096</v>
      </c>
      <c r="C666" s="15" t="s">
        <v>272</v>
      </c>
      <c r="D666" s="10" t="s">
        <v>224</v>
      </c>
      <c r="E666">
        <v>3</v>
      </c>
      <c r="F666">
        <v>49000</v>
      </c>
      <c r="G666">
        <v>65000</v>
      </c>
      <c r="H666">
        <v>6</v>
      </c>
      <c r="I666">
        <v>65000</v>
      </c>
      <c r="J666" s="10" t="s">
        <v>279</v>
      </c>
      <c r="K666" s="10">
        <v>65000</v>
      </c>
      <c r="L666" s="10">
        <v>195000</v>
      </c>
      <c r="M666" s="12" t="s">
        <v>256</v>
      </c>
    </row>
    <row r="667" spans="1:13" ht="16.8" x14ac:dyDescent="0.3">
      <c r="A667" s="7" t="s">
        <v>745</v>
      </c>
      <c r="B667" s="8">
        <v>44228</v>
      </c>
      <c r="C667" s="15" t="s">
        <v>274</v>
      </c>
      <c r="D667" s="10" t="s">
        <v>223</v>
      </c>
      <c r="E667">
        <v>3</v>
      </c>
      <c r="F667">
        <v>55000</v>
      </c>
      <c r="G667">
        <v>39000</v>
      </c>
      <c r="H667">
        <v>15</v>
      </c>
      <c r="I667">
        <v>39000</v>
      </c>
      <c r="J667" s="10" t="s">
        <v>279</v>
      </c>
      <c r="K667" s="10">
        <v>39000</v>
      </c>
      <c r="L667" s="10">
        <v>117000</v>
      </c>
      <c r="M667" s="12" t="s">
        <v>21</v>
      </c>
    </row>
    <row r="668" spans="1:13" ht="16.8" x14ac:dyDescent="0.3">
      <c r="A668" s="7" t="s">
        <v>746</v>
      </c>
      <c r="B668" s="8">
        <v>44639</v>
      </c>
      <c r="C668" s="15" t="s">
        <v>6</v>
      </c>
      <c r="D668" s="10" t="s">
        <v>222</v>
      </c>
      <c r="E668">
        <v>5</v>
      </c>
      <c r="F668">
        <v>35000</v>
      </c>
      <c r="G668">
        <v>35000</v>
      </c>
      <c r="H668">
        <v>7</v>
      </c>
      <c r="I668">
        <v>35000</v>
      </c>
      <c r="J668" s="10" t="s">
        <v>279</v>
      </c>
      <c r="K668" s="10">
        <v>35000</v>
      </c>
      <c r="L668" s="10">
        <v>175000</v>
      </c>
      <c r="M668" s="12" t="s">
        <v>230</v>
      </c>
    </row>
    <row r="669" spans="1:13" ht="16.8" x14ac:dyDescent="0.3">
      <c r="A669" s="7" t="s">
        <v>747</v>
      </c>
      <c r="B669" s="8">
        <v>44971</v>
      </c>
      <c r="C669" s="15" t="s">
        <v>3</v>
      </c>
      <c r="D669" s="10" t="s">
        <v>224</v>
      </c>
      <c r="E669">
        <v>5</v>
      </c>
      <c r="F669">
        <v>59000</v>
      </c>
      <c r="G669">
        <v>59000</v>
      </c>
      <c r="H669">
        <v>5</v>
      </c>
      <c r="I669">
        <v>56050</v>
      </c>
      <c r="J669" s="10" t="s">
        <v>278</v>
      </c>
      <c r="K669" s="10">
        <v>56050</v>
      </c>
      <c r="L669" s="10">
        <v>280250</v>
      </c>
      <c r="M669" s="12" t="s">
        <v>11</v>
      </c>
    </row>
    <row r="670" spans="1:13" ht="16.8" x14ac:dyDescent="0.3">
      <c r="A670" s="7" t="s">
        <v>748</v>
      </c>
      <c r="B670" s="8">
        <v>44814</v>
      </c>
      <c r="C670" s="15" t="s">
        <v>274</v>
      </c>
      <c r="D670" s="10" t="s">
        <v>223</v>
      </c>
      <c r="E670">
        <v>2</v>
      </c>
      <c r="F670">
        <v>35000</v>
      </c>
      <c r="G670">
        <v>35000</v>
      </c>
      <c r="H670">
        <v>10</v>
      </c>
      <c r="I670">
        <v>35000</v>
      </c>
      <c r="J670" s="10" t="s">
        <v>279</v>
      </c>
      <c r="K670" s="10">
        <v>35000</v>
      </c>
      <c r="L670" s="10">
        <v>70000</v>
      </c>
      <c r="M670" s="12" t="s">
        <v>11</v>
      </c>
    </row>
    <row r="671" spans="1:13" ht="16.8" x14ac:dyDescent="0.3">
      <c r="A671" s="7" t="s">
        <v>749</v>
      </c>
      <c r="B671" s="8">
        <v>44796</v>
      </c>
      <c r="C671" s="15" t="s">
        <v>271</v>
      </c>
      <c r="D671" s="10" t="s">
        <v>222</v>
      </c>
      <c r="E671">
        <v>4</v>
      </c>
      <c r="F671">
        <v>49000</v>
      </c>
      <c r="G671">
        <v>29000</v>
      </c>
      <c r="H671">
        <v>8</v>
      </c>
      <c r="I671">
        <v>29000</v>
      </c>
      <c r="J671" s="10" t="s">
        <v>279</v>
      </c>
      <c r="K671" s="10">
        <v>29000</v>
      </c>
      <c r="L671" s="10">
        <v>116000</v>
      </c>
      <c r="M671" s="12" t="s">
        <v>246</v>
      </c>
    </row>
    <row r="672" spans="1:13" ht="16.8" x14ac:dyDescent="0.3">
      <c r="A672" s="7" t="s">
        <v>750</v>
      </c>
      <c r="B672" s="8">
        <v>44693</v>
      </c>
      <c r="C672" s="15" t="s">
        <v>4</v>
      </c>
      <c r="D672" s="10" t="s">
        <v>224</v>
      </c>
      <c r="E672">
        <v>5</v>
      </c>
      <c r="F672">
        <v>49000</v>
      </c>
      <c r="G672">
        <v>49000</v>
      </c>
      <c r="H672">
        <v>14</v>
      </c>
      <c r="I672">
        <v>42140</v>
      </c>
      <c r="J672" s="10" t="s">
        <v>278</v>
      </c>
      <c r="K672" s="10">
        <v>42140</v>
      </c>
      <c r="L672" s="10">
        <v>210700</v>
      </c>
      <c r="M672" s="12" t="s">
        <v>248</v>
      </c>
    </row>
    <row r="673" spans="1:13" ht="16.8" x14ac:dyDescent="0.3">
      <c r="A673" s="7" t="s">
        <v>751</v>
      </c>
      <c r="B673" s="8">
        <v>44234</v>
      </c>
      <c r="C673" s="15" t="s">
        <v>272</v>
      </c>
      <c r="D673" s="10" t="s">
        <v>224</v>
      </c>
      <c r="E673">
        <v>4</v>
      </c>
      <c r="F673">
        <v>55000</v>
      </c>
      <c r="G673">
        <v>69000</v>
      </c>
      <c r="H673">
        <v>14</v>
      </c>
      <c r="I673">
        <v>47300</v>
      </c>
      <c r="J673" s="10" t="s">
        <v>278</v>
      </c>
      <c r="K673" s="10">
        <v>47300</v>
      </c>
      <c r="L673" s="10">
        <v>189200</v>
      </c>
      <c r="M673" s="12" t="s">
        <v>245</v>
      </c>
    </row>
    <row r="674" spans="1:13" ht="16.8" x14ac:dyDescent="0.3">
      <c r="A674" s="7" t="s">
        <v>752</v>
      </c>
      <c r="B674" s="8">
        <v>44367</v>
      </c>
      <c r="C674" s="15" t="s">
        <v>272</v>
      </c>
      <c r="D674" s="10" t="s">
        <v>222</v>
      </c>
      <c r="E674">
        <v>3</v>
      </c>
      <c r="F674">
        <v>55000</v>
      </c>
      <c r="G674">
        <v>39000</v>
      </c>
      <c r="H674">
        <v>12</v>
      </c>
      <c r="I674">
        <v>39000</v>
      </c>
      <c r="J674" s="10" t="s">
        <v>279</v>
      </c>
      <c r="K674" s="10">
        <v>39000</v>
      </c>
      <c r="L674" s="10">
        <v>117000</v>
      </c>
      <c r="M674" s="12" t="s">
        <v>246</v>
      </c>
    </row>
    <row r="675" spans="1:13" ht="16.8" x14ac:dyDescent="0.3">
      <c r="A675" s="7" t="s">
        <v>753</v>
      </c>
      <c r="B675" s="8">
        <v>44631</v>
      </c>
      <c r="C675" s="15" t="s">
        <v>271</v>
      </c>
      <c r="D675" s="10" t="s">
        <v>222</v>
      </c>
      <c r="E675">
        <v>2</v>
      </c>
      <c r="F675">
        <v>49000</v>
      </c>
      <c r="G675">
        <v>45000</v>
      </c>
      <c r="H675">
        <v>5</v>
      </c>
      <c r="I675">
        <v>45000</v>
      </c>
      <c r="J675" s="10" t="s">
        <v>279</v>
      </c>
      <c r="K675" s="10">
        <v>45000</v>
      </c>
      <c r="L675" s="10">
        <v>90000</v>
      </c>
      <c r="M675" s="12" t="s">
        <v>248</v>
      </c>
    </row>
    <row r="676" spans="1:13" ht="16.8" x14ac:dyDescent="0.3">
      <c r="A676" s="7" t="s">
        <v>754</v>
      </c>
      <c r="B676" s="8">
        <v>44347</v>
      </c>
      <c r="C676" s="15" t="s">
        <v>270</v>
      </c>
      <c r="D676" s="10" t="s">
        <v>222</v>
      </c>
      <c r="E676">
        <v>4</v>
      </c>
      <c r="F676">
        <v>65000</v>
      </c>
      <c r="G676">
        <v>69000</v>
      </c>
      <c r="H676">
        <v>15</v>
      </c>
      <c r="I676">
        <v>69000</v>
      </c>
      <c r="J676" s="10" t="s">
        <v>279</v>
      </c>
      <c r="K676" s="10">
        <v>69000</v>
      </c>
      <c r="L676" s="10">
        <v>276000</v>
      </c>
      <c r="M676" s="12" t="s">
        <v>20</v>
      </c>
    </row>
    <row r="677" spans="1:13" ht="16.8" x14ac:dyDescent="0.3">
      <c r="A677" s="7" t="s">
        <v>755</v>
      </c>
      <c r="B677" s="8">
        <v>44290</v>
      </c>
      <c r="C677" s="15" t="s">
        <v>6</v>
      </c>
      <c r="D677" s="10" t="s">
        <v>222</v>
      </c>
      <c r="E677">
        <v>1</v>
      </c>
      <c r="F677">
        <v>65000</v>
      </c>
      <c r="G677">
        <v>29000</v>
      </c>
      <c r="H677">
        <v>15</v>
      </c>
      <c r="I677">
        <v>55250</v>
      </c>
      <c r="J677" s="10" t="s">
        <v>278</v>
      </c>
      <c r="K677" s="10">
        <v>55250</v>
      </c>
      <c r="L677" s="10">
        <v>55250</v>
      </c>
      <c r="M677" s="12" t="s">
        <v>262</v>
      </c>
    </row>
    <row r="678" spans="1:13" ht="16.8" x14ac:dyDescent="0.3">
      <c r="A678" s="7" t="s">
        <v>756</v>
      </c>
      <c r="B678" s="8">
        <v>44567</v>
      </c>
      <c r="C678" s="15" t="s">
        <v>272</v>
      </c>
      <c r="D678" s="10" t="s">
        <v>223</v>
      </c>
      <c r="E678">
        <v>5</v>
      </c>
      <c r="F678">
        <v>29000</v>
      </c>
      <c r="G678">
        <v>69000</v>
      </c>
      <c r="H678">
        <v>5</v>
      </c>
      <c r="I678">
        <v>27550</v>
      </c>
      <c r="J678" s="10" t="s">
        <v>278</v>
      </c>
      <c r="K678" s="10">
        <v>27550</v>
      </c>
      <c r="L678" s="10">
        <v>137750</v>
      </c>
      <c r="M678" s="12" t="s">
        <v>13</v>
      </c>
    </row>
    <row r="679" spans="1:13" ht="16.8" x14ac:dyDescent="0.3">
      <c r="A679" s="7" t="s">
        <v>757</v>
      </c>
      <c r="B679" s="8">
        <v>44910</v>
      </c>
      <c r="C679" s="15" t="s">
        <v>274</v>
      </c>
      <c r="D679" s="10" t="s">
        <v>222</v>
      </c>
      <c r="E679">
        <v>2</v>
      </c>
      <c r="F679">
        <v>29000</v>
      </c>
      <c r="G679">
        <v>65000</v>
      </c>
      <c r="H679">
        <v>15</v>
      </c>
      <c r="I679">
        <v>65000</v>
      </c>
      <c r="J679" s="10" t="s">
        <v>279</v>
      </c>
      <c r="K679" s="10">
        <v>65000</v>
      </c>
      <c r="L679" s="10">
        <v>130000</v>
      </c>
      <c r="M679" s="12" t="s">
        <v>228</v>
      </c>
    </row>
    <row r="680" spans="1:13" ht="16.8" x14ac:dyDescent="0.3">
      <c r="A680" s="7" t="s">
        <v>758</v>
      </c>
      <c r="B680" s="8">
        <v>44967</v>
      </c>
      <c r="C680" s="15" t="s">
        <v>275</v>
      </c>
      <c r="D680" s="10" t="s">
        <v>222</v>
      </c>
      <c r="E680">
        <v>3</v>
      </c>
      <c r="F680">
        <v>65000</v>
      </c>
      <c r="G680">
        <v>59000</v>
      </c>
      <c r="H680">
        <v>15</v>
      </c>
      <c r="I680">
        <v>59000</v>
      </c>
      <c r="J680" s="10" t="s">
        <v>279</v>
      </c>
      <c r="K680" s="10">
        <v>59000</v>
      </c>
      <c r="L680" s="10">
        <v>177000</v>
      </c>
      <c r="M680" s="12" t="s">
        <v>236</v>
      </c>
    </row>
    <row r="681" spans="1:13" ht="16.8" x14ac:dyDescent="0.3">
      <c r="A681" s="7" t="s">
        <v>759</v>
      </c>
      <c r="B681" s="8">
        <v>44222</v>
      </c>
      <c r="C681" s="15" t="s">
        <v>275</v>
      </c>
      <c r="D681" s="10" t="s">
        <v>222</v>
      </c>
      <c r="E681">
        <v>2</v>
      </c>
      <c r="F681">
        <v>55000</v>
      </c>
      <c r="G681">
        <v>49000</v>
      </c>
      <c r="H681">
        <v>7</v>
      </c>
      <c r="I681">
        <v>51150</v>
      </c>
      <c r="J681" s="10" t="s">
        <v>278</v>
      </c>
      <c r="K681" s="10">
        <v>51150</v>
      </c>
      <c r="L681" s="10">
        <v>102300</v>
      </c>
      <c r="M681" s="12" t="s">
        <v>247</v>
      </c>
    </row>
    <row r="682" spans="1:13" ht="16.8" x14ac:dyDescent="0.3">
      <c r="A682" s="7" t="s">
        <v>760</v>
      </c>
      <c r="B682" s="8">
        <v>44858</v>
      </c>
      <c r="C682" s="15" t="s">
        <v>3</v>
      </c>
      <c r="D682" s="10" t="s">
        <v>222</v>
      </c>
      <c r="E682">
        <v>5</v>
      </c>
      <c r="F682">
        <v>59000</v>
      </c>
      <c r="G682">
        <v>55000</v>
      </c>
      <c r="H682">
        <v>9</v>
      </c>
      <c r="I682">
        <v>53690</v>
      </c>
      <c r="J682" s="10" t="s">
        <v>278</v>
      </c>
      <c r="K682" s="10">
        <v>53690</v>
      </c>
      <c r="L682" s="10">
        <v>268450</v>
      </c>
      <c r="M682" s="12" t="s">
        <v>249</v>
      </c>
    </row>
    <row r="683" spans="1:13" ht="16.8" x14ac:dyDescent="0.3">
      <c r="A683" s="7" t="s">
        <v>761</v>
      </c>
      <c r="B683" s="8">
        <v>44710</v>
      </c>
      <c r="C683" s="15" t="s">
        <v>5</v>
      </c>
      <c r="D683" s="10" t="s">
        <v>224</v>
      </c>
      <c r="E683">
        <v>2</v>
      </c>
      <c r="F683">
        <v>65000</v>
      </c>
      <c r="G683">
        <v>49000</v>
      </c>
      <c r="H683">
        <v>12</v>
      </c>
      <c r="I683">
        <v>49000</v>
      </c>
      <c r="J683" s="10" t="s">
        <v>279</v>
      </c>
      <c r="K683" s="10">
        <v>49000</v>
      </c>
      <c r="L683" s="10">
        <v>98000</v>
      </c>
      <c r="M683" s="12" t="s">
        <v>250</v>
      </c>
    </row>
    <row r="684" spans="1:13" ht="16.8" x14ac:dyDescent="0.3">
      <c r="A684" s="7" t="s">
        <v>762</v>
      </c>
      <c r="B684" s="8">
        <v>44327</v>
      </c>
      <c r="C684" s="15" t="s">
        <v>270</v>
      </c>
      <c r="D684" s="10" t="s">
        <v>224</v>
      </c>
      <c r="E684">
        <v>3</v>
      </c>
      <c r="F684">
        <v>69000</v>
      </c>
      <c r="G684">
        <v>59000</v>
      </c>
      <c r="H684">
        <v>13</v>
      </c>
      <c r="I684">
        <v>59000</v>
      </c>
      <c r="J684" s="10" t="s">
        <v>279</v>
      </c>
      <c r="K684" s="10">
        <v>59000</v>
      </c>
      <c r="L684" s="10">
        <v>177000</v>
      </c>
      <c r="M684" s="12" t="s">
        <v>248</v>
      </c>
    </row>
    <row r="685" spans="1:13" ht="16.8" x14ac:dyDescent="0.3">
      <c r="A685" s="7" t="s">
        <v>763</v>
      </c>
      <c r="B685" s="8">
        <v>44250</v>
      </c>
      <c r="C685" s="15" t="s">
        <v>5</v>
      </c>
      <c r="D685" s="10" t="s">
        <v>222</v>
      </c>
      <c r="E685">
        <v>4</v>
      </c>
      <c r="F685">
        <v>65000</v>
      </c>
      <c r="G685">
        <v>59000</v>
      </c>
      <c r="H685">
        <v>14</v>
      </c>
      <c r="I685">
        <v>55900</v>
      </c>
      <c r="J685" s="10" t="s">
        <v>278</v>
      </c>
      <c r="K685" s="10">
        <v>55900</v>
      </c>
      <c r="L685" s="10">
        <v>223600</v>
      </c>
      <c r="M685" s="12" t="s">
        <v>231</v>
      </c>
    </row>
    <row r="686" spans="1:13" ht="16.8" x14ac:dyDescent="0.3">
      <c r="A686" s="7" t="s">
        <v>764</v>
      </c>
      <c r="B686" s="8">
        <v>45060</v>
      </c>
      <c r="C686" s="15" t="s">
        <v>271</v>
      </c>
      <c r="D686" s="10" t="s">
        <v>223</v>
      </c>
      <c r="E686">
        <v>2</v>
      </c>
      <c r="F686">
        <v>65000</v>
      </c>
      <c r="G686">
        <v>49000</v>
      </c>
      <c r="H686">
        <v>7</v>
      </c>
      <c r="I686">
        <v>49000</v>
      </c>
      <c r="J686" s="10" t="s">
        <v>279</v>
      </c>
      <c r="K686" s="10">
        <v>49000</v>
      </c>
      <c r="L686" s="10">
        <v>98000</v>
      </c>
      <c r="M686" s="12" t="s">
        <v>229</v>
      </c>
    </row>
    <row r="687" spans="1:13" ht="16.8" x14ac:dyDescent="0.3">
      <c r="A687" s="7" t="s">
        <v>765</v>
      </c>
      <c r="B687" s="8">
        <v>44363</v>
      </c>
      <c r="C687" s="15" t="s">
        <v>6</v>
      </c>
      <c r="D687" s="10" t="s">
        <v>222</v>
      </c>
      <c r="E687">
        <v>4</v>
      </c>
      <c r="F687">
        <v>69000</v>
      </c>
      <c r="G687">
        <v>59000</v>
      </c>
      <c r="H687">
        <v>11</v>
      </c>
      <c r="I687">
        <v>61410</v>
      </c>
      <c r="J687" s="10" t="s">
        <v>278</v>
      </c>
      <c r="K687" s="10">
        <v>61410</v>
      </c>
      <c r="L687" s="10">
        <v>245640</v>
      </c>
      <c r="M687" s="12" t="s">
        <v>261</v>
      </c>
    </row>
    <row r="688" spans="1:13" ht="16.8" x14ac:dyDescent="0.3">
      <c r="A688" s="7" t="s">
        <v>766</v>
      </c>
      <c r="B688" s="8">
        <v>44770</v>
      </c>
      <c r="C688" s="15" t="s">
        <v>275</v>
      </c>
      <c r="D688" s="10" t="s">
        <v>224</v>
      </c>
      <c r="E688">
        <v>1</v>
      </c>
      <c r="F688">
        <v>65000</v>
      </c>
      <c r="G688">
        <v>65000</v>
      </c>
      <c r="H688">
        <v>13</v>
      </c>
      <c r="I688">
        <v>65000</v>
      </c>
      <c r="J688" s="10" t="s">
        <v>279</v>
      </c>
      <c r="K688" s="10">
        <v>65000</v>
      </c>
      <c r="L688" s="10">
        <v>65000</v>
      </c>
      <c r="M688" s="12" t="s">
        <v>254</v>
      </c>
    </row>
    <row r="689" spans="1:13" ht="16.8" x14ac:dyDescent="0.3">
      <c r="A689" s="7" t="s">
        <v>767</v>
      </c>
      <c r="B689" s="8">
        <v>45104</v>
      </c>
      <c r="C689" s="15" t="s">
        <v>5</v>
      </c>
      <c r="D689" s="10" t="s">
        <v>224</v>
      </c>
      <c r="E689">
        <v>5</v>
      </c>
      <c r="F689">
        <v>59000</v>
      </c>
      <c r="G689">
        <v>59000</v>
      </c>
      <c r="H689">
        <v>12</v>
      </c>
      <c r="I689">
        <v>51920</v>
      </c>
      <c r="J689" s="10" t="s">
        <v>278</v>
      </c>
      <c r="K689" s="10">
        <v>51920</v>
      </c>
      <c r="L689" s="10">
        <v>259600</v>
      </c>
      <c r="M689" s="12" t="s">
        <v>240</v>
      </c>
    </row>
    <row r="690" spans="1:13" ht="16.8" x14ac:dyDescent="0.3">
      <c r="A690" s="7" t="s">
        <v>768</v>
      </c>
      <c r="B690" s="8">
        <v>44842</v>
      </c>
      <c r="C690" s="15" t="s">
        <v>275</v>
      </c>
      <c r="D690" s="10" t="s">
        <v>224</v>
      </c>
      <c r="E690">
        <v>2</v>
      </c>
      <c r="F690">
        <v>59000</v>
      </c>
      <c r="G690">
        <v>69000</v>
      </c>
      <c r="H690">
        <v>8</v>
      </c>
      <c r="I690">
        <v>69000</v>
      </c>
      <c r="J690" s="10" t="s">
        <v>279</v>
      </c>
      <c r="K690" s="10">
        <v>69000</v>
      </c>
      <c r="L690" s="10">
        <v>138000</v>
      </c>
      <c r="M690" s="12" t="s">
        <v>10</v>
      </c>
    </row>
    <row r="691" spans="1:13" ht="16.8" x14ac:dyDescent="0.3">
      <c r="A691" s="7" t="s">
        <v>769</v>
      </c>
      <c r="B691" s="8">
        <v>44649</v>
      </c>
      <c r="C691" s="15" t="s">
        <v>274</v>
      </c>
      <c r="D691" s="10" t="s">
        <v>224</v>
      </c>
      <c r="E691">
        <v>3</v>
      </c>
      <c r="F691">
        <v>59000</v>
      </c>
      <c r="G691">
        <v>65000</v>
      </c>
      <c r="H691">
        <v>11</v>
      </c>
      <c r="I691">
        <v>52510</v>
      </c>
      <c r="J691" s="10" t="s">
        <v>278</v>
      </c>
      <c r="K691" s="10">
        <v>52510</v>
      </c>
      <c r="L691" s="10">
        <v>157530</v>
      </c>
      <c r="M691" s="12" t="s">
        <v>252</v>
      </c>
    </row>
    <row r="692" spans="1:13" ht="16.8" x14ac:dyDescent="0.3">
      <c r="A692" s="7" t="s">
        <v>770</v>
      </c>
      <c r="B692" s="8">
        <v>44368</v>
      </c>
      <c r="C692" s="15" t="s">
        <v>5</v>
      </c>
      <c r="D692" s="10" t="s">
        <v>224</v>
      </c>
      <c r="E692">
        <v>2</v>
      </c>
      <c r="F692">
        <v>45000</v>
      </c>
      <c r="G692">
        <v>39000</v>
      </c>
      <c r="H692">
        <v>13</v>
      </c>
      <c r="I692">
        <v>39150</v>
      </c>
      <c r="J692" s="10" t="s">
        <v>278</v>
      </c>
      <c r="K692" s="10">
        <v>39150</v>
      </c>
      <c r="L692" s="10">
        <v>78300</v>
      </c>
      <c r="M692" s="12" t="s">
        <v>257</v>
      </c>
    </row>
    <row r="693" spans="1:13" ht="16.8" x14ac:dyDescent="0.3">
      <c r="A693" s="7" t="s">
        <v>771</v>
      </c>
      <c r="B693" s="8">
        <v>44304</v>
      </c>
      <c r="C693" s="15" t="s">
        <v>271</v>
      </c>
      <c r="D693" s="10" t="s">
        <v>223</v>
      </c>
      <c r="E693">
        <v>3</v>
      </c>
      <c r="F693">
        <v>65000</v>
      </c>
      <c r="G693">
        <v>59000</v>
      </c>
      <c r="H693">
        <v>6</v>
      </c>
      <c r="I693">
        <v>61100</v>
      </c>
      <c r="J693" s="10" t="s">
        <v>278</v>
      </c>
      <c r="K693" s="10">
        <v>61100</v>
      </c>
      <c r="L693" s="10">
        <v>183300</v>
      </c>
      <c r="M693" s="12" t="s">
        <v>234</v>
      </c>
    </row>
    <row r="694" spans="1:13" ht="16.8" x14ac:dyDescent="0.3">
      <c r="A694" s="7" t="s">
        <v>772</v>
      </c>
      <c r="B694" s="8">
        <v>45192</v>
      </c>
      <c r="C694" s="15" t="s">
        <v>3</v>
      </c>
      <c r="D694" s="10" t="s">
        <v>224</v>
      </c>
      <c r="E694">
        <v>5</v>
      </c>
      <c r="F694">
        <v>69000</v>
      </c>
      <c r="G694">
        <v>49000</v>
      </c>
      <c r="H694">
        <v>10</v>
      </c>
      <c r="I694">
        <v>62100</v>
      </c>
      <c r="J694" s="10" t="s">
        <v>278</v>
      </c>
      <c r="K694" s="10">
        <v>62100</v>
      </c>
      <c r="L694" s="10">
        <v>310500</v>
      </c>
      <c r="M694" s="12" t="s">
        <v>19</v>
      </c>
    </row>
    <row r="695" spans="1:13" ht="16.8" x14ac:dyDescent="0.3">
      <c r="A695" s="7" t="s">
        <v>773</v>
      </c>
      <c r="B695" s="8">
        <v>45171</v>
      </c>
      <c r="C695" s="15" t="s">
        <v>274</v>
      </c>
      <c r="D695" s="10" t="s">
        <v>224</v>
      </c>
      <c r="E695">
        <v>1</v>
      </c>
      <c r="F695">
        <v>35000</v>
      </c>
      <c r="G695">
        <v>65000</v>
      </c>
      <c r="H695">
        <v>12</v>
      </c>
      <c r="I695">
        <v>65000</v>
      </c>
      <c r="J695" s="10" t="s">
        <v>279</v>
      </c>
      <c r="K695" s="10">
        <v>65000</v>
      </c>
      <c r="L695" s="10">
        <v>65000</v>
      </c>
      <c r="M695" s="12" t="s">
        <v>252</v>
      </c>
    </row>
    <row r="696" spans="1:13" ht="16.8" x14ac:dyDescent="0.3">
      <c r="A696" s="7" t="s">
        <v>774</v>
      </c>
      <c r="B696" s="8">
        <v>44649</v>
      </c>
      <c r="C696" s="15" t="s">
        <v>273</v>
      </c>
      <c r="D696" s="10" t="s">
        <v>224</v>
      </c>
      <c r="E696">
        <v>3</v>
      </c>
      <c r="F696">
        <v>65000</v>
      </c>
      <c r="G696">
        <v>65000</v>
      </c>
      <c r="H696">
        <v>7</v>
      </c>
      <c r="I696">
        <v>60449.999999999993</v>
      </c>
      <c r="J696" s="10" t="s">
        <v>278</v>
      </c>
      <c r="K696" s="10">
        <v>60449.999999999993</v>
      </c>
      <c r="L696" s="10">
        <v>181349.99999999997</v>
      </c>
      <c r="M696" s="12" t="s">
        <v>13</v>
      </c>
    </row>
    <row r="697" spans="1:13" ht="16.8" x14ac:dyDescent="0.3">
      <c r="A697" s="7" t="s">
        <v>775</v>
      </c>
      <c r="B697" s="8">
        <v>45218</v>
      </c>
      <c r="C697" s="15" t="s">
        <v>274</v>
      </c>
      <c r="D697" s="10" t="s">
        <v>223</v>
      </c>
      <c r="E697">
        <v>4</v>
      </c>
      <c r="F697">
        <v>49000</v>
      </c>
      <c r="G697">
        <v>49000</v>
      </c>
      <c r="H697">
        <v>7</v>
      </c>
      <c r="I697">
        <v>45570</v>
      </c>
      <c r="J697" s="10" t="s">
        <v>278</v>
      </c>
      <c r="K697" s="10">
        <v>45570</v>
      </c>
      <c r="L697" s="10">
        <v>182280</v>
      </c>
      <c r="M697" s="12" t="s">
        <v>234</v>
      </c>
    </row>
    <row r="698" spans="1:13" ht="16.8" x14ac:dyDescent="0.3">
      <c r="A698" s="7" t="s">
        <v>776</v>
      </c>
      <c r="B698" s="8">
        <v>44614</v>
      </c>
      <c r="C698" s="15" t="s">
        <v>270</v>
      </c>
      <c r="D698" s="10" t="s">
        <v>223</v>
      </c>
      <c r="E698">
        <v>5</v>
      </c>
      <c r="F698">
        <v>49000</v>
      </c>
      <c r="G698">
        <v>35000</v>
      </c>
      <c r="H698">
        <v>9</v>
      </c>
      <c r="I698">
        <v>44590</v>
      </c>
      <c r="J698" s="10" t="s">
        <v>278</v>
      </c>
      <c r="K698" s="10">
        <v>44590</v>
      </c>
      <c r="L698" s="10">
        <v>222950</v>
      </c>
      <c r="M698" s="12" t="s">
        <v>17</v>
      </c>
    </row>
    <row r="699" spans="1:13" ht="16.8" x14ac:dyDescent="0.3">
      <c r="A699" s="7" t="s">
        <v>777</v>
      </c>
      <c r="B699" s="8">
        <v>44640</v>
      </c>
      <c r="C699" s="15" t="s">
        <v>3</v>
      </c>
      <c r="D699" s="10" t="s">
        <v>222</v>
      </c>
      <c r="E699">
        <v>1</v>
      </c>
      <c r="F699">
        <v>35000</v>
      </c>
      <c r="G699">
        <v>69000</v>
      </c>
      <c r="H699">
        <v>8</v>
      </c>
      <c r="I699">
        <v>32200</v>
      </c>
      <c r="J699" s="10" t="s">
        <v>278</v>
      </c>
      <c r="K699" s="10">
        <v>32200</v>
      </c>
      <c r="L699" s="10">
        <v>32200</v>
      </c>
      <c r="M699" s="12" t="s">
        <v>227</v>
      </c>
    </row>
    <row r="700" spans="1:13" ht="16.8" x14ac:dyDescent="0.3">
      <c r="A700" s="7" t="s">
        <v>778</v>
      </c>
      <c r="B700" s="8">
        <v>44446</v>
      </c>
      <c r="C700" s="15" t="s">
        <v>270</v>
      </c>
      <c r="D700" s="10" t="s">
        <v>224</v>
      </c>
      <c r="E700">
        <v>4</v>
      </c>
      <c r="F700">
        <v>35000</v>
      </c>
      <c r="G700">
        <v>49000</v>
      </c>
      <c r="H700">
        <v>6</v>
      </c>
      <c r="I700">
        <v>49000</v>
      </c>
      <c r="J700" s="10" t="s">
        <v>279</v>
      </c>
      <c r="K700" s="10">
        <v>49000</v>
      </c>
      <c r="L700" s="10">
        <v>196000</v>
      </c>
      <c r="M700" s="12" t="s">
        <v>261</v>
      </c>
    </row>
    <row r="701" spans="1:13" ht="16.8" x14ac:dyDescent="0.3">
      <c r="A701" s="7" t="s">
        <v>779</v>
      </c>
      <c r="B701" s="8">
        <v>44632</v>
      </c>
      <c r="C701" s="15" t="s">
        <v>6</v>
      </c>
      <c r="D701" s="10" t="s">
        <v>223</v>
      </c>
      <c r="E701">
        <v>4</v>
      </c>
      <c r="F701">
        <v>59000</v>
      </c>
      <c r="G701">
        <v>59000</v>
      </c>
      <c r="H701">
        <v>15</v>
      </c>
      <c r="I701">
        <v>59000</v>
      </c>
      <c r="J701" s="10" t="s">
        <v>279</v>
      </c>
      <c r="K701" s="10">
        <v>59000</v>
      </c>
      <c r="L701" s="10">
        <v>236000</v>
      </c>
      <c r="M701" s="12" t="s">
        <v>10</v>
      </c>
    </row>
    <row r="702" spans="1:13" ht="16.8" x14ac:dyDescent="0.3">
      <c r="A702" s="7" t="s">
        <v>780</v>
      </c>
      <c r="B702" s="8">
        <v>44198</v>
      </c>
      <c r="C702" s="15" t="s">
        <v>272</v>
      </c>
      <c r="D702" s="10" t="s">
        <v>222</v>
      </c>
      <c r="E702">
        <v>2</v>
      </c>
      <c r="F702">
        <v>65000</v>
      </c>
      <c r="G702">
        <v>49000</v>
      </c>
      <c r="H702">
        <v>6</v>
      </c>
      <c r="I702">
        <v>61100</v>
      </c>
      <c r="J702" s="10" t="s">
        <v>278</v>
      </c>
      <c r="K702" s="10">
        <v>61100</v>
      </c>
      <c r="L702" s="10">
        <v>122200</v>
      </c>
      <c r="M702" s="12" t="s">
        <v>254</v>
      </c>
    </row>
    <row r="703" spans="1:13" ht="16.8" x14ac:dyDescent="0.3">
      <c r="A703" s="7" t="s">
        <v>781</v>
      </c>
      <c r="B703" s="8">
        <v>45101</v>
      </c>
      <c r="C703" s="15" t="s">
        <v>275</v>
      </c>
      <c r="D703" s="10" t="s">
        <v>223</v>
      </c>
      <c r="E703">
        <v>4</v>
      </c>
      <c r="F703">
        <v>69000</v>
      </c>
      <c r="G703">
        <v>49000</v>
      </c>
      <c r="H703">
        <v>10</v>
      </c>
      <c r="I703">
        <v>62100</v>
      </c>
      <c r="J703" s="10" t="s">
        <v>278</v>
      </c>
      <c r="K703" s="10">
        <v>62100</v>
      </c>
      <c r="L703" s="10">
        <v>248400</v>
      </c>
      <c r="M703" s="12" t="s">
        <v>249</v>
      </c>
    </row>
    <row r="704" spans="1:13" ht="16.8" x14ac:dyDescent="0.3">
      <c r="A704" s="7" t="s">
        <v>782</v>
      </c>
      <c r="B704" s="8">
        <v>44906</v>
      </c>
      <c r="C704" s="15" t="s">
        <v>272</v>
      </c>
      <c r="D704" s="10" t="s">
        <v>222</v>
      </c>
      <c r="E704">
        <v>4</v>
      </c>
      <c r="F704">
        <v>49000</v>
      </c>
      <c r="G704">
        <v>59000</v>
      </c>
      <c r="H704">
        <v>6</v>
      </c>
      <c r="I704">
        <v>59000</v>
      </c>
      <c r="J704" s="10" t="s">
        <v>279</v>
      </c>
      <c r="K704" s="10">
        <v>59000</v>
      </c>
      <c r="L704" s="10">
        <v>236000</v>
      </c>
      <c r="M704" s="12" t="s">
        <v>18</v>
      </c>
    </row>
    <row r="705" spans="1:13" ht="16.8" x14ac:dyDescent="0.3">
      <c r="A705" s="7" t="s">
        <v>783</v>
      </c>
      <c r="B705" s="8">
        <v>44674</v>
      </c>
      <c r="C705" s="15" t="s">
        <v>6</v>
      </c>
      <c r="D705" s="10" t="s">
        <v>222</v>
      </c>
      <c r="E705">
        <v>4</v>
      </c>
      <c r="F705">
        <v>45000</v>
      </c>
      <c r="G705">
        <v>59000</v>
      </c>
      <c r="H705">
        <v>12</v>
      </c>
      <c r="I705">
        <v>39600</v>
      </c>
      <c r="J705" s="10" t="s">
        <v>278</v>
      </c>
      <c r="K705" s="10">
        <v>39600</v>
      </c>
      <c r="L705" s="10">
        <v>158400</v>
      </c>
      <c r="M705" s="12" t="s">
        <v>236</v>
      </c>
    </row>
    <row r="706" spans="1:13" ht="16.8" x14ac:dyDescent="0.3">
      <c r="A706" s="7" t="s">
        <v>784</v>
      </c>
      <c r="B706" s="8">
        <v>44556</v>
      </c>
      <c r="C706" s="15" t="s">
        <v>6</v>
      </c>
      <c r="D706" s="10" t="s">
        <v>224</v>
      </c>
      <c r="E706">
        <v>3</v>
      </c>
      <c r="F706">
        <v>59000</v>
      </c>
      <c r="G706">
        <v>49000</v>
      </c>
      <c r="H706">
        <v>6</v>
      </c>
      <c r="I706">
        <v>49000</v>
      </c>
      <c r="J706" s="10" t="s">
        <v>279</v>
      </c>
      <c r="K706" s="10">
        <v>49000</v>
      </c>
      <c r="L706" s="10">
        <v>147000</v>
      </c>
      <c r="M706" s="12" t="s">
        <v>18</v>
      </c>
    </row>
    <row r="707" spans="1:13" ht="16.8" x14ac:dyDescent="0.3">
      <c r="A707" s="7" t="s">
        <v>785</v>
      </c>
      <c r="B707" s="8">
        <v>44789</v>
      </c>
      <c r="C707" s="15" t="s">
        <v>3</v>
      </c>
      <c r="D707" s="10" t="s">
        <v>223</v>
      </c>
      <c r="E707">
        <v>2</v>
      </c>
      <c r="F707">
        <v>59000</v>
      </c>
      <c r="G707">
        <v>65000</v>
      </c>
      <c r="H707">
        <v>13</v>
      </c>
      <c r="I707">
        <v>65000</v>
      </c>
      <c r="J707" s="10" t="s">
        <v>279</v>
      </c>
      <c r="K707" s="10">
        <v>65000</v>
      </c>
      <c r="L707" s="10">
        <v>130000</v>
      </c>
      <c r="M707" s="12" t="s">
        <v>260</v>
      </c>
    </row>
    <row r="708" spans="1:13" ht="16.8" x14ac:dyDescent="0.3">
      <c r="A708" s="7" t="s">
        <v>786</v>
      </c>
      <c r="B708" s="8">
        <v>45181</v>
      </c>
      <c r="C708" s="15" t="s">
        <v>271</v>
      </c>
      <c r="D708" s="10" t="s">
        <v>222</v>
      </c>
      <c r="E708">
        <v>4</v>
      </c>
      <c r="F708">
        <v>65000</v>
      </c>
      <c r="G708">
        <v>59000</v>
      </c>
      <c r="H708">
        <v>7</v>
      </c>
      <c r="I708">
        <v>60449.999999999993</v>
      </c>
      <c r="J708" s="10" t="s">
        <v>278</v>
      </c>
      <c r="K708" s="10">
        <v>60449.999999999993</v>
      </c>
      <c r="L708" s="10">
        <v>241799.99999999997</v>
      </c>
      <c r="M708" s="12" t="s">
        <v>258</v>
      </c>
    </row>
    <row r="709" spans="1:13" ht="16.8" x14ac:dyDescent="0.3">
      <c r="A709" s="7" t="s">
        <v>787</v>
      </c>
      <c r="B709" s="8">
        <v>44505</v>
      </c>
      <c r="C709" s="15" t="s">
        <v>5</v>
      </c>
      <c r="D709" s="10" t="s">
        <v>223</v>
      </c>
      <c r="E709">
        <v>1</v>
      </c>
      <c r="F709">
        <v>65000</v>
      </c>
      <c r="G709">
        <v>75000</v>
      </c>
      <c r="H709">
        <v>15</v>
      </c>
      <c r="I709">
        <v>75000</v>
      </c>
      <c r="J709" s="10" t="s">
        <v>279</v>
      </c>
      <c r="K709" s="10">
        <v>75000</v>
      </c>
      <c r="L709" s="10">
        <v>75000</v>
      </c>
      <c r="M709" s="12" t="s">
        <v>246</v>
      </c>
    </row>
    <row r="710" spans="1:13" ht="16.8" x14ac:dyDescent="0.3">
      <c r="A710" s="7" t="s">
        <v>788</v>
      </c>
      <c r="B710" s="8">
        <v>44370</v>
      </c>
      <c r="C710" s="15" t="s">
        <v>4</v>
      </c>
      <c r="D710" s="10" t="s">
        <v>224</v>
      </c>
      <c r="E710">
        <v>1</v>
      </c>
      <c r="F710">
        <v>65000</v>
      </c>
      <c r="G710">
        <v>69000</v>
      </c>
      <c r="H710">
        <v>8</v>
      </c>
      <c r="I710">
        <v>69000</v>
      </c>
      <c r="J710" s="10" t="s">
        <v>279</v>
      </c>
      <c r="K710" s="10">
        <v>69000</v>
      </c>
      <c r="L710" s="10">
        <v>69000</v>
      </c>
      <c r="M710" s="12" t="s">
        <v>231</v>
      </c>
    </row>
    <row r="711" spans="1:13" ht="16.8" x14ac:dyDescent="0.3">
      <c r="A711" s="7" t="s">
        <v>789</v>
      </c>
      <c r="B711" s="8">
        <v>44420</v>
      </c>
      <c r="C711" s="15" t="s">
        <v>5</v>
      </c>
      <c r="D711" s="10" t="s">
        <v>222</v>
      </c>
      <c r="E711">
        <v>5</v>
      </c>
      <c r="F711">
        <v>35000</v>
      </c>
      <c r="G711">
        <v>39000</v>
      </c>
      <c r="H711">
        <v>6</v>
      </c>
      <c r="I711">
        <v>32900</v>
      </c>
      <c r="J711" s="10" t="s">
        <v>278</v>
      </c>
      <c r="K711" s="10">
        <v>32900</v>
      </c>
      <c r="L711" s="10">
        <v>164500</v>
      </c>
      <c r="M711" s="12" t="s">
        <v>259</v>
      </c>
    </row>
    <row r="712" spans="1:13" ht="16.8" x14ac:dyDescent="0.3">
      <c r="A712" s="7" t="s">
        <v>790</v>
      </c>
      <c r="B712" s="8">
        <v>45198</v>
      </c>
      <c r="C712" s="15" t="s">
        <v>271</v>
      </c>
      <c r="D712" s="10" t="s">
        <v>223</v>
      </c>
      <c r="E712">
        <v>5</v>
      </c>
      <c r="F712">
        <v>65000</v>
      </c>
      <c r="G712">
        <v>65000</v>
      </c>
      <c r="H712">
        <v>10</v>
      </c>
      <c r="I712">
        <v>58500</v>
      </c>
      <c r="J712" s="10" t="s">
        <v>278</v>
      </c>
      <c r="K712" s="10">
        <v>58500</v>
      </c>
      <c r="L712" s="10">
        <v>292500</v>
      </c>
      <c r="M712" s="12" t="s">
        <v>241</v>
      </c>
    </row>
    <row r="713" spans="1:13" ht="16.8" x14ac:dyDescent="0.3">
      <c r="A713" s="7" t="s">
        <v>791</v>
      </c>
      <c r="B713" s="8">
        <v>45095</v>
      </c>
      <c r="C713" s="15" t="s">
        <v>3</v>
      </c>
      <c r="D713" s="10" t="s">
        <v>224</v>
      </c>
      <c r="E713">
        <v>3</v>
      </c>
      <c r="F713">
        <v>65000</v>
      </c>
      <c r="G713">
        <v>69000</v>
      </c>
      <c r="H713">
        <v>8</v>
      </c>
      <c r="I713">
        <v>59800</v>
      </c>
      <c r="J713" s="10" t="s">
        <v>278</v>
      </c>
      <c r="K713" s="10">
        <v>59800</v>
      </c>
      <c r="L713" s="10">
        <v>179400</v>
      </c>
      <c r="M713" s="12" t="s">
        <v>256</v>
      </c>
    </row>
    <row r="714" spans="1:13" ht="16.8" x14ac:dyDescent="0.3">
      <c r="A714" s="7" t="s">
        <v>792</v>
      </c>
      <c r="B714" s="8">
        <v>44994</v>
      </c>
      <c r="C714" s="15" t="s">
        <v>5</v>
      </c>
      <c r="D714" s="10" t="s">
        <v>224</v>
      </c>
      <c r="E714">
        <v>5</v>
      </c>
      <c r="F714">
        <v>59000</v>
      </c>
      <c r="G714">
        <v>39000</v>
      </c>
      <c r="H714">
        <v>14</v>
      </c>
      <c r="I714">
        <v>39000</v>
      </c>
      <c r="J714" s="10" t="s">
        <v>279</v>
      </c>
      <c r="K714" s="10">
        <v>39000</v>
      </c>
      <c r="L714" s="10">
        <v>195000</v>
      </c>
      <c r="M714" s="12" t="s">
        <v>250</v>
      </c>
    </row>
    <row r="715" spans="1:13" ht="16.8" x14ac:dyDescent="0.3">
      <c r="A715" s="7" t="s">
        <v>793</v>
      </c>
      <c r="B715" s="8">
        <v>44460</v>
      </c>
      <c r="C715" s="15" t="s">
        <v>273</v>
      </c>
      <c r="D715" s="10" t="s">
        <v>224</v>
      </c>
      <c r="E715">
        <v>3</v>
      </c>
      <c r="F715">
        <v>49000</v>
      </c>
      <c r="G715">
        <v>59000</v>
      </c>
      <c r="H715">
        <v>7</v>
      </c>
      <c r="I715">
        <v>45570</v>
      </c>
      <c r="J715" s="10" t="s">
        <v>278</v>
      </c>
      <c r="K715" s="10">
        <v>45570</v>
      </c>
      <c r="L715" s="10">
        <v>136710</v>
      </c>
      <c r="M715" s="12" t="s">
        <v>243</v>
      </c>
    </row>
    <row r="716" spans="1:13" ht="16.8" x14ac:dyDescent="0.3">
      <c r="A716" s="7" t="s">
        <v>794</v>
      </c>
      <c r="B716" s="8">
        <v>44708</v>
      </c>
      <c r="C716" s="15" t="s">
        <v>273</v>
      </c>
      <c r="D716" s="10" t="s">
        <v>224</v>
      </c>
      <c r="E716">
        <v>1</v>
      </c>
      <c r="F716">
        <v>35000</v>
      </c>
      <c r="G716">
        <v>65000</v>
      </c>
      <c r="H716">
        <v>10</v>
      </c>
      <c r="I716">
        <v>65000</v>
      </c>
      <c r="J716" s="10" t="s">
        <v>279</v>
      </c>
      <c r="K716" s="10">
        <v>65000</v>
      </c>
      <c r="L716" s="10">
        <v>65000</v>
      </c>
      <c r="M716" s="12" t="s">
        <v>14</v>
      </c>
    </row>
    <row r="717" spans="1:13" ht="16.8" x14ac:dyDescent="0.3">
      <c r="A717" s="7" t="s">
        <v>795</v>
      </c>
      <c r="B717" s="8">
        <v>44272</v>
      </c>
      <c r="C717" s="15" t="s">
        <v>3</v>
      </c>
      <c r="D717" s="10" t="s">
        <v>224</v>
      </c>
      <c r="E717">
        <v>2</v>
      </c>
      <c r="F717">
        <v>39000</v>
      </c>
      <c r="G717">
        <v>49000</v>
      </c>
      <c r="H717">
        <v>5</v>
      </c>
      <c r="I717">
        <v>49000</v>
      </c>
      <c r="J717" s="10" t="s">
        <v>279</v>
      </c>
      <c r="K717" s="10">
        <v>49000</v>
      </c>
      <c r="L717" s="10">
        <v>98000</v>
      </c>
      <c r="M717" s="12" t="s">
        <v>17</v>
      </c>
    </row>
    <row r="718" spans="1:13" ht="16.8" x14ac:dyDescent="0.3">
      <c r="A718" s="7" t="s">
        <v>796</v>
      </c>
      <c r="B718" s="8">
        <v>44910</v>
      </c>
      <c r="C718" s="15" t="s">
        <v>273</v>
      </c>
      <c r="D718" s="10" t="s">
        <v>222</v>
      </c>
      <c r="E718">
        <v>1</v>
      </c>
      <c r="F718">
        <v>65000</v>
      </c>
      <c r="G718">
        <v>49000</v>
      </c>
      <c r="H718">
        <v>6</v>
      </c>
      <c r="I718">
        <v>61100</v>
      </c>
      <c r="J718" s="10" t="s">
        <v>278</v>
      </c>
      <c r="K718" s="10">
        <v>61100</v>
      </c>
      <c r="L718" s="10">
        <v>61100</v>
      </c>
      <c r="M718" s="12" t="s">
        <v>243</v>
      </c>
    </row>
    <row r="719" spans="1:13" ht="16.8" x14ac:dyDescent="0.3">
      <c r="A719" s="7" t="s">
        <v>797</v>
      </c>
      <c r="B719" s="8">
        <v>44962</v>
      </c>
      <c r="C719" s="15" t="s">
        <v>6</v>
      </c>
      <c r="D719" s="10" t="s">
        <v>223</v>
      </c>
      <c r="E719">
        <v>4</v>
      </c>
      <c r="F719">
        <v>55000</v>
      </c>
      <c r="G719">
        <v>49000</v>
      </c>
      <c r="H719">
        <v>11</v>
      </c>
      <c r="I719">
        <v>49000</v>
      </c>
      <c r="J719" s="10" t="s">
        <v>279</v>
      </c>
      <c r="K719" s="10">
        <v>49000</v>
      </c>
      <c r="L719" s="10">
        <v>196000</v>
      </c>
      <c r="M719" s="12" t="s">
        <v>11</v>
      </c>
    </row>
    <row r="720" spans="1:13" ht="16.8" x14ac:dyDescent="0.3">
      <c r="A720" s="7" t="s">
        <v>798</v>
      </c>
      <c r="B720" s="8">
        <v>44643</v>
      </c>
      <c r="C720" s="15" t="s">
        <v>4</v>
      </c>
      <c r="D720" s="10" t="s">
        <v>223</v>
      </c>
      <c r="E720">
        <v>4</v>
      </c>
      <c r="F720">
        <v>55000</v>
      </c>
      <c r="G720">
        <v>65000</v>
      </c>
      <c r="H720">
        <v>5</v>
      </c>
      <c r="I720">
        <v>65000</v>
      </c>
      <c r="J720" s="10" t="s">
        <v>279</v>
      </c>
      <c r="K720" s="10">
        <v>65000</v>
      </c>
      <c r="L720" s="10">
        <v>260000</v>
      </c>
      <c r="M720" s="12" t="s">
        <v>260</v>
      </c>
    </row>
    <row r="721" spans="1:13" ht="16.8" x14ac:dyDescent="0.3">
      <c r="A721" s="7" t="s">
        <v>799</v>
      </c>
      <c r="B721" s="8">
        <v>44810</v>
      </c>
      <c r="C721" s="15" t="s">
        <v>273</v>
      </c>
      <c r="D721" s="10" t="s">
        <v>223</v>
      </c>
      <c r="E721">
        <v>4</v>
      </c>
      <c r="F721">
        <v>55000</v>
      </c>
      <c r="G721">
        <v>65000</v>
      </c>
      <c r="H721">
        <v>15</v>
      </c>
      <c r="I721">
        <v>46750</v>
      </c>
      <c r="J721" s="10" t="s">
        <v>278</v>
      </c>
      <c r="K721" s="10">
        <v>46750</v>
      </c>
      <c r="L721" s="10">
        <v>187000</v>
      </c>
      <c r="M721" s="12" t="s">
        <v>228</v>
      </c>
    </row>
    <row r="722" spans="1:13" ht="16.8" x14ac:dyDescent="0.3">
      <c r="A722" s="7" t="s">
        <v>800</v>
      </c>
      <c r="B722" s="8">
        <v>44490</v>
      </c>
      <c r="C722" s="15" t="s">
        <v>270</v>
      </c>
      <c r="D722" s="10" t="s">
        <v>223</v>
      </c>
      <c r="E722">
        <v>5</v>
      </c>
      <c r="F722">
        <v>65000</v>
      </c>
      <c r="G722">
        <v>69000</v>
      </c>
      <c r="H722">
        <v>8</v>
      </c>
      <c r="I722">
        <v>69000</v>
      </c>
      <c r="J722" s="10" t="s">
        <v>279</v>
      </c>
      <c r="K722" s="10">
        <v>69000</v>
      </c>
      <c r="L722" s="10">
        <v>345000</v>
      </c>
      <c r="M722" s="12" t="s">
        <v>253</v>
      </c>
    </row>
    <row r="723" spans="1:13" ht="16.8" x14ac:dyDescent="0.3">
      <c r="A723" s="7" t="s">
        <v>801</v>
      </c>
      <c r="B723" s="8">
        <v>44210</v>
      </c>
      <c r="C723" s="15" t="s">
        <v>271</v>
      </c>
      <c r="D723" s="10" t="s">
        <v>223</v>
      </c>
      <c r="E723">
        <v>4</v>
      </c>
      <c r="F723">
        <v>49000</v>
      </c>
      <c r="G723">
        <v>49000</v>
      </c>
      <c r="H723">
        <v>12</v>
      </c>
      <c r="I723">
        <v>43120</v>
      </c>
      <c r="J723" s="10" t="s">
        <v>278</v>
      </c>
      <c r="K723" s="10">
        <v>43120</v>
      </c>
      <c r="L723" s="10">
        <v>172480</v>
      </c>
      <c r="M723" s="12" t="s">
        <v>20</v>
      </c>
    </row>
    <row r="724" spans="1:13" ht="16.8" x14ac:dyDescent="0.3">
      <c r="A724" s="7" t="s">
        <v>802</v>
      </c>
      <c r="B724" s="8">
        <v>45241</v>
      </c>
      <c r="C724" s="15" t="s">
        <v>5</v>
      </c>
      <c r="D724" s="10" t="s">
        <v>223</v>
      </c>
      <c r="E724">
        <v>5</v>
      </c>
      <c r="F724">
        <v>35000</v>
      </c>
      <c r="G724">
        <v>35000</v>
      </c>
      <c r="H724">
        <v>11</v>
      </c>
      <c r="I724">
        <v>35000</v>
      </c>
      <c r="J724" s="10" t="s">
        <v>279</v>
      </c>
      <c r="K724" s="10">
        <v>35000</v>
      </c>
      <c r="L724" s="10">
        <v>175000</v>
      </c>
      <c r="M724" s="12" t="s">
        <v>241</v>
      </c>
    </row>
    <row r="725" spans="1:13" ht="16.8" x14ac:dyDescent="0.3">
      <c r="A725" s="7" t="s">
        <v>803</v>
      </c>
      <c r="B725" s="8">
        <v>44449</v>
      </c>
      <c r="C725" s="15" t="s">
        <v>4</v>
      </c>
      <c r="D725" s="10" t="s">
        <v>224</v>
      </c>
      <c r="E725">
        <v>1</v>
      </c>
      <c r="F725">
        <v>39000</v>
      </c>
      <c r="G725">
        <v>65000</v>
      </c>
      <c r="H725">
        <v>12</v>
      </c>
      <c r="I725">
        <v>34320</v>
      </c>
      <c r="J725" s="10" t="s">
        <v>278</v>
      </c>
      <c r="K725" s="10">
        <v>34320</v>
      </c>
      <c r="L725" s="10">
        <v>34320</v>
      </c>
      <c r="M725" s="12" t="s">
        <v>250</v>
      </c>
    </row>
    <row r="726" spans="1:13" ht="16.8" x14ac:dyDescent="0.3">
      <c r="A726" s="7" t="s">
        <v>804</v>
      </c>
      <c r="B726" s="8">
        <v>44365</v>
      </c>
      <c r="C726" s="15" t="s">
        <v>4</v>
      </c>
      <c r="D726" s="10" t="s">
        <v>224</v>
      </c>
      <c r="E726">
        <v>5</v>
      </c>
      <c r="F726">
        <v>65000</v>
      </c>
      <c r="G726">
        <v>65000</v>
      </c>
      <c r="H726">
        <v>15</v>
      </c>
      <c r="I726">
        <v>65000</v>
      </c>
      <c r="J726" s="10" t="s">
        <v>279</v>
      </c>
      <c r="K726" s="10">
        <v>65000</v>
      </c>
      <c r="L726" s="10">
        <v>325000</v>
      </c>
      <c r="M726" s="12" t="s">
        <v>246</v>
      </c>
    </row>
    <row r="727" spans="1:13" ht="16.8" x14ac:dyDescent="0.3">
      <c r="A727" s="7" t="s">
        <v>805</v>
      </c>
      <c r="B727" s="8">
        <v>44204</v>
      </c>
      <c r="C727" s="15" t="s">
        <v>3</v>
      </c>
      <c r="D727" s="10" t="s">
        <v>224</v>
      </c>
      <c r="E727">
        <v>3</v>
      </c>
      <c r="F727">
        <v>49000</v>
      </c>
      <c r="G727">
        <v>65000</v>
      </c>
      <c r="H727">
        <v>14</v>
      </c>
      <c r="I727">
        <v>42140</v>
      </c>
      <c r="J727" s="10" t="s">
        <v>278</v>
      </c>
      <c r="K727" s="10">
        <v>42140</v>
      </c>
      <c r="L727" s="10">
        <v>126420</v>
      </c>
      <c r="M727" s="12" t="s">
        <v>21</v>
      </c>
    </row>
    <row r="728" spans="1:13" ht="16.8" x14ac:dyDescent="0.3">
      <c r="A728" s="7" t="s">
        <v>806</v>
      </c>
      <c r="B728" s="8">
        <v>45283</v>
      </c>
      <c r="C728" s="15" t="s">
        <v>5</v>
      </c>
      <c r="D728" s="10" t="s">
        <v>222</v>
      </c>
      <c r="E728">
        <v>3</v>
      </c>
      <c r="F728">
        <v>55000</v>
      </c>
      <c r="G728">
        <v>65000</v>
      </c>
      <c r="H728">
        <v>7</v>
      </c>
      <c r="I728">
        <v>65000</v>
      </c>
      <c r="J728" s="10" t="s">
        <v>279</v>
      </c>
      <c r="K728" s="10">
        <v>65000</v>
      </c>
      <c r="L728" s="10">
        <v>195000</v>
      </c>
      <c r="M728" s="12" t="s">
        <v>248</v>
      </c>
    </row>
    <row r="729" spans="1:13" ht="16.8" x14ac:dyDescent="0.3">
      <c r="A729" s="7" t="s">
        <v>807</v>
      </c>
      <c r="B729" s="8">
        <v>44842</v>
      </c>
      <c r="C729" s="15" t="s">
        <v>272</v>
      </c>
      <c r="D729" s="10" t="s">
        <v>224</v>
      </c>
      <c r="E729">
        <v>2</v>
      </c>
      <c r="F729">
        <v>69000</v>
      </c>
      <c r="G729">
        <v>29000</v>
      </c>
      <c r="H729">
        <v>10</v>
      </c>
      <c r="I729">
        <v>62100</v>
      </c>
      <c r="J729" s="10" t="s">
        <v>278</v>
      </c>
      <c r="K729" s="10">
        <v>62100</v>
      </c>
      <c r="L729" s="10">
        <v>124200</v>
      </c>
      <c r="M729" s="12" t="s">
        <v>225</v>
      </c>
    </row>
    <row r="730" spans="1:13" ht="16.8" x14ac:dyDescent="0.3">
      <c r="A730" s="7" t="s">
        <v>808</v>
      </c>
      <c r="B730" s="8">
        <v>44774</v>
      </c>
      <c r="C730" s="15" t="s">
        <v>6</v>
      </c>
      <c r="D730" s="10" t="s">
        <v>222</v>
      </c>
      <c r="E730">
        <v>4</v>
      </c>
      <c r="F730">
        <v>65000</v>
      </c>
      <c r="G730">
        <v>59000</v>
      </c>
      <c r="H730">
        <v>15</v>
      </c>
      <c r="I730">
        <v>55250</v>
      </c>
      <c r="J730" s="10" t="s">
        <v>278</v>
      </c>
      <c r="K730" s="10">
        <v>55250</v>
      </c>
      <c r="L730" s="10">
        <v>221000</v>
      </c>
      <c r="M730" s="12" t="s">
        <v>261</v>
      </c>
    </row>
    <row r="731" spans="1:13" ht="16.8" x14ac:dyDescent="0.3">
      <c r="A731" s="7" t="s">
        <v>809</v>
      </c>
      <c r="B731" s="8">
        <v>44984</v>
      </c>
      <c r="C731" s="15" t="s">
        <v>271</v>
      </c>
      <c r="D731" s="10" t="s">
        <v>224</v>
      </c>
      <c r="E731">
        <v>5</v>
      </c>
      <c r="F731">
        <v>45000</v>
      </c>
      <c r="G731">
        <v>45000</v>
      </c>
      <c r="H731">
        <v>6</v>
      </c>
      <c r="I731">
        <v>42300</v>
      </c>
      <c r="J731" s="10" t="s">
        <v>278</v>
      </c>
      <c r="K731" s="10">
        <v>42300</v>
      </c>
      <c r="L731" s="10">
        <v>211500</v>
      </c>
      <c r="M731" s="12" t="s">
        <v>16</v>
      </c>
    </row>
    <row r="732" spans="1:13" ht="16.8" x14ac:dyDescent="0.3">
      <c r="A732" s="7" t="s">
        <v>810</v>
      </c>
      <c r="B732" s="8">
        <v>44301</v>
      </c>
      <c r="C732" s="15" t="s">
        <v>273</v>
      </c>
      <c r="D732" s="10" t="s">
        <v>223</v>
      </c>
      <c r="E732">
        <v>5</v>
      </c>
      <c r="F732">
        <v>49000</v>
      </c>
      <c r="G732">
        <v>59000</v>
      </c>
      <c r="H732">
        <v>6</v>
      </c>
      <c r="I732">
        <v>59000</v>
      </c>
      <c r="J732" s="10" t="s">
        <v>279</v>
      </c>
      <c r="K732" s="10">
        <v>59000</v>
      </c>
      <c r="L732" s="10">
        <v>295000</v>
      </c>
      <c r="M732" s="12" t="s">
        <v>13</v>
      </c>
    </row>
    <row r="733" spans="1:13" ht="16.8" x14ac:dyDescent="0.3">
      <c r="A733" s="7" t="s">
        <v>811</v>
      </c>
      <c r="B733" s="8">
        <v>45016</v>
      </c>
      <c r="C733" s="15" t="s">
        <v>274</v>
      </c>
      <c r="D733" s="10" t="s">
        <v>223</v>
      </c>
      <c r="E733">
        <v>5</v>
      </c>
      <c r="F733">
        <v>75000</v>
      </c>
      <c r="G733">
        <v>59000</v>
      </c>
      <c r="H733">
        <v>13</v>
      </c>
      <c r="I733">
        <v>65250</v>
      </c>
      <c r="J733" s="10" t="s">
        <v>278</v>
      </c>
      <c r="K733" s="10">
        <v>65250</v>
      </c>
      <c r="L733" s="10">
        <v>326250</v>
      </c>
      <c r="M733" s="12" t="s">
        <v>10</v>
      </c>
    </row>
    <row r="734" spans="1:13" ht="16.8" x14ac:dyDescent="0.3">
      <c r="A734" s="7" t="s">
        <v>812</v>
      </c>
      <c r="B734" s="8">
        <v>44740</v>
      </c>
      <c r="C734" s="15" t="s">
        <v>271</v>
      </c>
      <c r="D734" s="10" t="s">
        <v>222</v>
      </c>
      <c r="E734">
        <v>1</v>
      </c>
      <c r="F734">
        <v>65000</v>
      </c>
      <c r="G734">
        <v>69000</v>
      </c>
      <c r="H734">
        <v>13</v>
      </c>
      <c r="I734">
        <v>56550</v>
      </c>
      <c r="J734" s="10" t="s">
        <v>278</v>
      </c>
      <c r="K734" s="10">
        <v>56550</v>
      </c>
      <c r="L734" s="10">
        <v>56550</v>
      </c>
      <c r="M734" s="12" t="s">
        <v>18</v>
      </c>
    </row>
    <row r="735" spans="1:13" ht="16.8" x14ac:dyDescent="0.3">
      <c r="A735" s="7" t="s">
        <v>813</v>
      </c>
      <c r="B735" s="8">
        <v>44530</v>
      </c>
      <c r="C735" s="15" t="s">
        <v>274</v>
      </c>
      <c r="D735" s="10" t="s">
        <v>222</v>
      </c>
      <c r="E735">
        <v>4</v>
      </c>
      <c r="F735">
        <v>59000</v>
      </c>
      <c r="G735">
        <v>55000</v>
      </c>
      <c r="H735">
        <v>12</v>
      </c>
      <c r="I735">
        <v>51920</v>
      </c>
      <c r="J735" s="10" t="s">
        <v>278</v>
      </c>
      <c r="K735" s="10">
        <v>51920</v>
      </c>
      <c r="L735" s="10">
        <v>207680</v>
      </c>
      <c r="M735" s="12" t="s">
        <v>230</v>
      </c>
    </row>
    <row r="736" spans="1:13" ht="16.8" x14ac:dyDescent="0.3">
      <c r="A736" s="7" t="s">
        <v>814</v>
      </c>
      <c r="B736" s="8">
        <v>45074</v>
      </c>
      <c r="C736" s="15" t="s">
        <v>272</v>
      </c>
      <c r="D736" s="10" t="s">
        <v>223</v>
      </c>
      <c r="E736">
        <v>1</v>
      </c>
      <c r="F736">
        <v>39000</v>
      </c>
      <c r="G736">
        <v>35000</v>
      </c>
      <c r="H736">
        <v>8</v>
      </c>
      <c r="I736">
        <v>35000</v>
      </c>
      <c r="J736" s="10" t="s">
        <v>279</v>
      </c>
      <c r="K736" s="10">
        <v>35000</v>
      </c>
      <c r="L736" s="10">
        <v>35000</v>
      </c>
      <c r="M736" s="12" t="s">
        <v>13</v>
      </c>
    </row>
    <row r="737" spans="1:13" ht="16.8" x14ac:dyDescent="0.3">
      <c r="A737" s="7" t="s">
        <v>815</v>
      </c>
      <c r="B737" s="8">
        <v>45239</v>
      </c>
      <c r="C737" s="15" t="s">
        <v>6</v>
      </c>
      <c r="D737" s="10" t="s">
        <v>224</v>
      </c>
      <c r="E737">
        <v>2</v>
      </c>
      <c r="F737">
        <v>35000</v>
      </c>
      <c r="G737">
        <v>49000</v>
      </c>
      <c r="H737">
        <v>13</v>
      </c>
      <c r="I737">
        <v>30450</v>
      </c>
      <c r="J737" s="10" t="s">
        <v>278</v>
      </c>
      <c r="K737" s="10">
        <v>30450</v>
      </c>
      <c r="L737" s="10">
        <v>60900</v>
      </c>
      <c r="M737" s="12" t="s">
        <v>12</v>
      </c>
    </row>
    <row r="738" spans="1:13" ht="16.8" x14ac:dyDescent="0.3">
      <c r="A738" s="7" t="s">
        <v>816</v>
      </c>
      <c r="B738" s="8">
        <v>44745</v>
      </c>
      <c r="C738" s="15" t="s">
        <v>273</v>
      </c>
      <c r="D738" s="10" t="s">
        <v>224</v>
      </c>
      <c r="E738">
        <v>4</v>
      </c>
      <c r="F738">
        <v>65000</v>
      </c>
      <c r="G738">
        <v>65000</v>
      </c>
      <c r="H738">
        <v>12</v>
      </c>
      <c r="I738">
        <v>57200</v>
      </c>
      <c r="J738" s="10" t="s">
        <v>278</v>
      </c>
      <c r="K738" s="10">
        <v>57200</v>
      </c>
      <c r="L738" s="10">
        <v>228800</v>
      </c>
      <c r="M738" s="12" t="s">
        <v>254</v>
      </c>
    </row>
    <row r="739" spans="1:13" ht="16.8" x14ac:dyDescent="0.3">
      <c r="A739" s="7" t="s">
        <v>817</v>
      </c>
      <c r="B739" s="8">
        <v>45111</v>
      </c>
      <c r="C739" s="15" t="s">
        <v>5</v>
      </c>
      <c r="D739" s="10" t="s">
        <v>222</v>
      </c>
      <c r="E739">
        <v>5</v>
      </c>
      <c r="F739">
        <v>59000</v>
      </c>
      <c r="G739">
        <v>59000</v>
      </c>
      <c r="H739">
        <v>7</v>
      </c>
      <c r="I739">
        <v>54869.999999999993</v>
      </c>
      <c r="J739" s="10" t="s">
        <v>278</v>
      </c>
      <c r="K739" s="10">
        <v>54869.999999999993</v>
      </c>
      <c r="L739" s="10">
        <v>274349.99999999994</v>
      </c>
      <c r="M739" s="12" t="s">
        <v>250</v>
      </c>
    </row>
    <row r="740" spans="1:13" ht="16.8" x14ac:dyDescent="0.3">
      <c r="A740" s="7" t="s">
        <v>818</v>
      </c>
      <c r="B740" s="8">
        <v>45107</v>
      </c>
      <c r="C740" s="15" t="s">
        <v>272</v>
      </c>
      <c r="D740" s="10" t="s">
        <v>222</v>
      </c>
      <c r="E740">
        <v>5</v>
      </c>
      <c r="F740">
        <v>35000</v>
      </c>
      <c r="G740">
        <v>29000</v>
      </c>
      <c r="H740">
        <v>7</v>
      </c>
      <c r="I740">
        <v>29000</v>
      </c>
      <c r="J740" s="10" t="s">
        <v>279</v>
      </c>
      <c r="K740" s="10">
        <v>29000</v>
      </c>
      <c r="L740" s="10">
        <v>145000</v>
      </c>
      <c r="M740" s="12" t="s">
        <v>12</v>
      </c>
    </row>
    <row r="741" spans="1:13" ht="16.8" x14ac:dyDescent="0.3">
      <c r="A741" s="7" t="s">
        <v>819</v>
      </c>
      <c r="B741" s="8">
        <v>44423</v>
      </c>
      <c r="C741" s="15" t="s">
        <v>275</v>
      </c>
      <c r="D741" s="10" t="s">
        <v>223</v>
      </c>
      <c r="E741">
        <v>4</v>
      </c>
      <c r="F741">
        <v>59000</v>
      </c>
      <c r="G741">
        <v>65000</v>
      </c>
      <c r="H741">
        <v>12</v>
      </c>
      <c r="I741">
        <v>65000</v>
      </c>
      <c r="J741" s="10" t="s">
        <v>279</v>
      </c>
      <c r="K741" s="10">
        <v>65000</v>
      </c>
      <c r="L741" s="10">
        <v>260000</v>
      </c>
      <c r="M741" s="12" t="s">
        <v>11</v>
      </c>
    </row>
    <row r="742" spans="1:13" ht="16.8" x14ac:dyDescent="0.3">
      <c r="A742" s="7" t="s">
        <v>820</v>
      </c>
      <c r="B742" s="8">
        <v>44728</v>
      </c>
      <c r="C742" s="15" t="s">
        <v>5</v>
      </c>
      <c r="D742" s="10" t="s">
        <v>222</v>
      </c>
      <c r="E742">
        <v>5</v>
      </c>
      <c r="F742">
        <v>49000</v>
      </c>
      <c r="G742">
        <v>69000</v>
      </c>
      <c r="H742">
        <v>5</v>
      </c>
      <c r="I742">
        <v>46550</v>
      </c>
      <c r="J742" s="10" t="s">
        <v>278</v>
      </c>
      <c r="K742" s="10">
        <v>46550</v>
      </c>
      <c r="L742" s="10">
        <v>232750</v>
      </c>
      <c r="M742" s="12" t="s">
        <v>250</v>
      </c>
    </row>
    <row r="743" spans="1:13" ht="16.8" x14ac:dyDescent="0.3">
      <c r="A743" s="7" t="s">
        <v>821</v>
      </c>
      <c r="B743" s="8">
        <v>44827</v>
      </c>
      <c r="C743" s="15" t="s">
        <v>272</v>
      </c>
      <c r="D743" s="10" t="s">
        <v>223</v>
      </c>
      <c r="E743">
        <v>2</v>
      </c>
      <c r="F743">
        <v>59000</v>
      </c>
      <c r="G743">
        <v>75000</v>
      </c>
      <c r="H743">
        <v>5</v>
      </c>
      <c r="I743">
        <v>56050</v>
      </c>
      <c r="J743" s="10" t="s">
        <v>278</v>
      </c>
      <c r="K743" s="10">
        <v>56050</v>
      </c>
      <c r="L743" s="10">
        <v>112100</v>
      </c>
      <c r="M743" s="12" t="s">
        <v>227</v>
      </c>
    </row>
    <row r="744" spans="1:13" ht="16.8" x14ac:dyDescent="0.3">
      <c r="A744" s="7" t="s">
        <v>822</v>
      </c>
      <c r="B744" s="8">
        <v>44961</v>
      </c>
      <c r="C744" s="15" t="s">
        <v>3</v>
      </c>
      <c r="D744" s="10" t="s">
        <v>223</v>
      </c>
      <c r="E744">
        <v>2</v>
      </c>
      <c r="F744">
        <v>59000</v>
      </c>
      <c r="G744">
        <v>29000</v>
      </c>
      <c r="H744">
        <v>5</v>
      </c>
      <c r="I744">
        <v>29000</v>
      </c>
      <c r="J744" s="10" t="s">
        <v>279</v>
      </c>
      <c r="K744" s="10">
        <v>29000</v>
      </c>
      <c r="L744" s="10">
        <v>58000</v>
      </c>
      <c r="M744" s="12" t="s">
        <v>226</v>
      </c>
    </row>
    <row r="745" spans="1:13" ht="16.8" x14ac:dyDescent="0.3">
      <c r="A745" s="7" t="s">
        <v>823</v>
      </c>
      <c r="B745" s="8">
        <v>44233</v>
      </c>
      <c r="C745" s="15" t="s">
        <v>6</v>
      </c>
      <c r="D745" s="10" t="s">
        <v>224</v>
      </c>
      <c r="E745">
        <v>1</v>
      </c>
      <c r="F745">
        <v>69000</v>
      </c>
      <c r="G745">
        <v>59000</v>
      </c>
      <c r="H745">
        <v>11</v>
      </c>
      <c r="I745">
        <v>59000</v>
      </c>
      <c r="J745" s="10" t="s">
        <v>279</v>
      </c>
      <c r="K745" s="10">
        <v>59000</v>
      </c>
      <c r="L745" s="10">
        <v>59000</v>
      </c>
      <c r="M745" s="12" t="s">
        <v>238</v>
      </c>
    </row>
    <row r="746" spans="1:13" ht="16.8" x14ac:dyDescent="0.3">
      <c r="A746" s="7" t="s">
        <v>824</v>
      </c>
      <c r="B746" s="8">
        <v>44350</v>
      </c>
      <c r="C746" s="15" t="s">
        <v>6</v>
      </c>
      <c r="D746" s="10" t="s">
        <v>223</v>
      </c>
      <c r="E746">
        <v>4</v>
      </c>
      <c r="F746">
        <v>59000</v>
      </c>
      <c r="G746">
        <v>65000</v>
      </c>
      <c r="H746">
        <v>10</v>
      </c>
      <c r="I746">
        <v>53100</v>
      </c>
      <c r="J746" s="10" t="s">
        <v>278</v>
      </c>
      <c r="K746" s="10">
        <v>53100</v>
      </c>
      <c r="L746" s="10">
        <v>212400</v>
      </c>
      <c r="M746" s="12" t="s">
        <v>227</v>
      </c>
    </row>
    <row r="747" spans="1:13" ht="16.8" x14ac:dyDescent="0.3">
      <c r="A747" s="7" t="s">
        <v>825</v>
      </c>
      <c r="B747" s="8">
        <v>45033</v>
      </c>
      <c r="C747" s="15" t="s">
        <v>3</v>
      </c>
      <c r="D747" s="10" t="s">
        <v>223</v>
      </c>
      <c r="E747">
        <v>3</v>
      </c>
      <c r="F747">
        <v>39000</v>
      </c>
      <c r="G747">
        <v>49000</v>
      </c>
      <c r="H747">
        <v>11</v>
      </c>
      <c r="I747">
        <v>49000</v>
      </c>
      <c r="J747" s="10" t="s">
        <v>279</v>
      </c>
      <c r="K747" s="10">
        <v>49000</v>
      </c>
      <c r="L747" s="10">
        <v>147000</v>
      </c>
      <c r="M747" s="12" t="s">
        <v>231</v>
      </c>
    </row>
    <row r="748" spans="1:13" ht="16.8" x14ac:dyDescent="0.3">
      <c r="A748" s="7" t="s">
        <v>826</v>
      </c>
      <c r="B748" s="8">
        <v>44831</v>
      </c>
      <c r="C748" s="15" t="s">
        <v>6</v>
      </c>
      <c r="D748" s="10" t="s">
        <v>222</v>
      </c>
      <c r="E748">
        <v>1</v>
      </c>
      <c r="F748">
        <v>49000</v>
      </c>
      <c r="G748">
        <v>59000</v>
      </c>
      <c r="H748">
        <v>11</v>
      </c>
      <c r="I748">
        <v>43610</v>
      </c>
      <c r="J748" s="10" t="s">
        <v>278</v>
      </c>
      <c r="K748" s="10">
        <v>43610</v>
      </c>
      <c r="L748" s="10">
        <v>43610</v>
      </c>
      <c r="M748" s="12" t="s">
        <v>239</v>
      </c>
    </row>
    <row r="749" spans="1:13" ht="16.8" x14ac:dyDescent="0.3">
      <c r="A749" s="7" t="s">
        <v>827</v>
      </c>
      <c r="B749" s="8">
        <v>44372</v>
      </c>
      <c r="C749" s="15" t="s">
        <v>272</v>
      </c>
      <c r="D749" s="10" t="s">
        <v>223</v>
      </c>
      <c r="E749">
        <v>2</v>
      </c>
      <c r="F749">
        <v>65000</v>
      </c>
      <c r="G749">
        <v>65000</v>
      </c>
      <c r="H749">
        <v>5</v>
      </c>
      <c r="I749">
        <v>65000</v>
      </c>
      <c r="J749" s="10" t="s">
        <v>279</v>
      </c>
      <c r="K749" s="10">
        <v>65000</v>
      </c>
      <c r="L749" s="10">
        <v>130000</v>
      </c>
      <c r="M749" s="12" t="s">
        <v>243</v>
      </c>
    </row>
    <row r="750" spans="1:13" ht="16.8" x14ac:dyDescent="0.3">
      <c r="A750" s="7" t="s">
        <v>828</v>
      </c>
      <c r="B750" s="8">
        <v>45119</v>
      </c>
      <c r="C750" s="15" t="s">
        <v>5</v>
      </c>
      <c r="D750" s="10" t="s">
        <v>222</v>
      </c>
      <c r="E750">
        <v>1</v>
      </c>
      <c r="F750">
        <v>69000</v>
      </c>
      <c r="G750">
        <v>49000</v>
      </c>
      <c r="H750">
        <v>15</v>
      </c>
      <c r="I750">
        <v>58650</v>
      </c>
      <c r="J750" s="10" t="s">
        <v>278</v>
      </c>
      <c r="K750" s="10">
        <v>58650</v>
      </c>
      <c r="L750" s="10">
        <v>58650</v>
      </c>
      <c r="M750" s="12" t="s">
        <v>231</v>
      </c>
    </row>
    <row r="751" spans="1:13" ht="16.8" x14ac:dyDescent="0.3">
      <c r="A751" s="7" t="s">
        <v>829</v>
      </c>
      <c r="B751" s="8">
        <v>44695</v>
      </c>
      <c r="C751" s="15" t="s">
        <v>5</v>
      </c>
      <c r="D751" s="10" t="s">
        <v>222</v>
      </c>
      <c r="E751">
        <v>3</v>
      </c>
      <c r="F751">
        <v>39000</v>
      </c>
      <c r="G751">
        <v>65000</v>
      </c>
      <c r="H751">
        <v>13</v>
      </c>
      <c r="I751">
        <v>65000</v>
      </c>
      <c r="J751" s="10" t="s">
        <v>279</v>
      </c>
      <c r="K751" s="10">
        <v>65000</v>
      </c>
      <c r="L751" s="10">
        <v>195000</v>
      </c>
      <c r="M751" s="12" t="s">
        <v>239</v>
      </c>
    </row>
    <row r="752" spans="1:13" ht="16.8" x14ac:dyDescent="0.3">
      <c r="A752" s="7" t="s">
        <v>830</v>
      </c>
      <c r="B752" s="8">
        <v>44644</v>
      </c>
      <c r="C752" s="15" t="s">
        <v>272</v>
      </c>
      <c r="D752" s="10" t="s">
        <v>223</v>
      </c>
      <c r="E752">
        <v>1</v>
      </c>
      <c r="F752">
        <v>49000</v>
      </c>
      <c r="G752">
        <v>55000</v>
      </c>
      <c r="H752">
        <v>10</v>
      </c>
      <c r="I752">
        <v>55000</v>
      </c>
      <c r="J752" s="10" t="s">
        <v>279</v>
      </c>
      <c r="K752" s="10">
        <v>55000</v>
      </c>
      <c r="L752" s="10">
        <v>55000</v>
      </c>
      <c r="M752" s="12" t="s">
        <v>228</v>
      </c>
    </row>
    <row r="753" spans="1:13" ht="16.8" x14ac:dyDescent="0.3">
      <c r="A753" s="7" t="s">
        <v>831</v>
      </c>
      <c r="B753" s="8">
        <v>45061</v>
      </c>
      <c r="C753" s="15" t="s">
        <v>274</v>
      </c>
      <c r="D753" s="10" t="s">
        <v>223</v>
      </c>
      <c r="E753">
        <v>4</v>
      </c>
      <c r="F753">
        <v>65000</v>
      </c>
      <c r="G753">
        <v>39000</v>
      </c>
      <c r="H753">
        <v>6</v>
      </c>
      <c r="I753">
        <v>61100</v>
      </c>
      <c r="J753" s="10" t="s">
        <v>278</v>
      </c>
      <c r="K753" s="10">
        <v>61100</v>
      </c>
      <c r="L753" s="10">
        <v>244400</v>
      </c>
      <c r="M753" s="12" t="s">
        <v>17</v>
      </c>
    </row>
    <row r="754" spans="1:13" ht="16.8" x14ac:dyDescent="0.3">
      <c r="A754" s="7" t="s">
        <v>832</v>
      </c>
      <c r="B754" s="8">
        <v>44249</v>
      </c>
      <c r="C754" s="15" t="s">
        <v>274</v>
      </c>
      <c r="D754" s="10" t="s">
        <v>224</v>
      </c>
      <c r="E754">
        <v>5</v>
      </c>
      <c r="F754">
        <v>65000</v>
      </c>
      <c r="G754">
        <v>49000</v>
      </c>
      <c r="H754">
        <v>10</v>
      </c>
      <c r="I754">
        <v>58500</v>
      </c>
      <c r="J754" s="10" t="s">
        <v>278</v>
      </c>
      <c r="K754" s="10">
        <v>58500</v>
      </c>
      <c r="L754" s="10">
        <v>292500</v>
      </c>
      <c r="M754" s="12" t="s">
        <v>243</v>
      </c>
    </row>
    <row r="755" spans="1:13" ht="16.8" x14ac:dyDescent="0.3">
      <c r="A755" s="7" t="s">
        <v>833</v>
      </c>
      <c r="B755" s="8">
        <v>44271</v>
      </c>
      <c r="C755" s="15" t="s">
        <v>273</v>
      </c>
      <c r="D755" s="10" t="s">
        <v>223</v>
      </c>
      <c r="E755">
        <v>1</v>
      </c>
      <c r="F755">
        <v>59000</v>
      </c>
      <c r="G755">
        <v>69000</v>
      </c>
      <c r="H755">
        <v>5</v>
      </c>
      <c r="I755">
        <v>69000</v>
      </c>
      <c r="J755" s="10" t="s">
        <v>279</v>
      </c>
      <c r="K755" s="10">
        <v>69000</v>
      </c>
      <c r="L755" s="10">
        <v>69000</v>
      </c>
      <c r="M755" s="12" t="s">
        <v>234</v>
      </c>
    </row>
    <row r="756" spans="1:13" ht="16.8" x14ac:dyDescent="0.3">
      <c r="A756" s="7" t="s">
        <v>834</v>
      </c>
      <c r="B756" s="8">
        <v>45149</v>
      </c>
      <c r="C756" s="15" t="s">
        <v>4</v>
      </c>
      <c r="D756" s="10" t="s">
        <v>224</v>
      </c>
      <c r="E756">
        <v>2</v>
      </c>
      <c r="F756">
        <v>69000</v>
      </c>
      <c r="G756">
        <v>69000</v>
      </c>
      <c r="H756">
        <v>10</v>
      </c>
      <c r="I756">
        <v>62100</v>
      </c>
      <c r="J756" s="10" t="s">
        <v>278</v>
      </c>
      <c r="K756" s="10">
        <v>62100</v>
      </c>
      <c r="L756" s="10">
        <v>124200</v>
      </c>
      <c r="M756" s="12" t="s">
        <v>12</v>
      </c>
    </row>
    <row r="757" spans="1:13" ht="16.8" x14ac:dyDescent="0.3">
      <c r="A757" s="7" t="s">
        <v>835</v>
      </c>
      <c r="B757" s="8">
        <v>44256</v>
      </c>
      <c r="C757" s="15" t="s">
        <v>6</v>
      </c>
      <c r="D757" s="10" t="s">
        <v>224</v>
      </c>
      <c r="E757">
        <v>4</v>
      </c>
      <c r="F757">
        <v>59000</v>
      </c>
      <c r="G757">
        <v>29000</v>
      </c>
      <c r="H757">
        <v>14</v>
      </c>
      <c r="I757">
        <v>50740</v>
      </c>
      <c r="J757" s="10" t="s">
        <v>278</v>
      </c>
      <c r="K757" s="10">
        <v>50740</v>
      </c>
      <c r="L757" s="10">
        <v>202960</v>
      </c>
      <c r="M757" s="12" t="s">
        <v>15</v>
      </c>
    </row>
    <row r="758" spans="1:13" ht="16.8" x14ac:dyDescent="0.3">
      <c r="A758" s="7" t="s">
        <v>836</v>
      </c>
      <c r="B758" s="8">
        <v>44536</v>
      </c>
      <c r="C758" s="15" t="s">
        <v>3</v>
      </c>
      <c r="D758" s="10" t="s">
        <v>224</v>
      </c>
      <c r="E758">
        <v>1</v>
      </c>
      <c r="F758">
        <v>49000</v>
      </c>
      <c r="G758">
        <v>39000</v>
      </c>
      <c r="H758">
        <v>10</v>
      </c>
      <c r="I758">
        <v>44100</v>
      </c>
      <c r="J758" s="10" t="s">
        <v>278</v>
      </c>
      <c r="K758" s="10">
        <v>44100</v>
      </c>
      <c r="L758" s="10">
        <v>44100</v>
      </c>
      <c r="M758" s="12" t="s">
        <v>18</v>
      </c>
    </row>
    <row r="759" spans="1:13" ht="16.8" x14ac:dyDescent="0.3">
      <c r="A759" s="7" t="s">
        <v>837</v>
      </c>
      <c r="B759" s="8">
        <v>44511</v>
      </c>
      <c r="C759" s="15" t="s">
        <v>4</v>
      </c>
      <c r="D759" s="10" t="s">
        <v>222</v>
      </c>
      <c r="E759">
        <v>3</v>
      </c>
      <c r="F759">
        <v>65000</v>
      </c>
      <c r="G759">
        <v>49000</v>
      </c>
      <c r="H759">
        <v>5</v>
      </c>
      <c r="I759">
        <v>61750</v>
      </c>
      <c r="J759" s="10" t="s">
        <v>278</v>
      </c>
      <c r="K759" s="10">
        <v>61750</v>
      </c>
      <c r="L759" s="10">
        <v>185250</v>
      </c>
      <c r="M759" s="12" t="s">
        <v>236</v>
      </c>
    </row>
    <row r="760" spans="1:13" ht="16.8" x14ac:dyDescent="0.3">
      <c r="A760" s="7" t="s">
        <v>838</v>
      </c>
      <c r="B760" s="8">
        <v>44820</v>
      </c>
      <c r="C760" s="15" t="s">
        <v>270</v>
      </c>
      <c r="D760" s="10" t="s">
        <v>222</v>
      </c>
      <c r="E760">
        <v>4</v>
      </c>
      <c r="F760">
        <v>49000</v>
      </c>
      <c r="G760">
        <v>49000</v>
      </c>
      <c r="H760">
        <v>9</v>
      </c>
      <c r="I760">
        <v>44590</v>
      </c>
      <c r="J760" s="10" t="s">
        <v>278</v>
      </c>
      <c r="K760" s="10">
        <v>44590</v>
      </c>
      <c r="L760" s="10">
        <v>178360</v>
      </c>
      <c r="M760" s="12" t="s">
        <v>225</v>
      </c>
    </row>
    <row r="761" spans="1:13" ht="16.8" x14ac:dyDescent="0.3">
      <c r="A761" s="7" t="s">
        <v>839</v>
      </c>
      <c r="B761" s="8">
        <v>44874</v>
      </c>
      <c r="C761" s="15" t="s">
        <v>271</v>
      </c>
      <c r="D761" s="10" t="s">
        <v>222</v>
      </c>
      <c r="E761">
        <v>1</v>
      </c>
      <c r="F761">
        <v>65000</v>
      </c>
      <c r="G761">
        <v>65000</v>
      </c>
      <c r="H761">
        <v>5</v>
      </c>
      <c r="I761">
        <v>65000</v>
      </c>
      <c r="J761" s="10" t="s">
        <v>279</v>
      </c>
      <c r="K761" s="10">
        <v>65000</v>
      </c>
      <c r="L761" s="10">
        <v>65000</v>
      </c>
      <c r="M761" s="12" t="s">
        <v>238</v>
      </c>
    </row>
    <row r="762" spans="1:13" ht="16.8" x14ac:dyDescent="0.3">
      <c r="A762" s="7" t="s">
        <v>840</v>
      </c>
      <c r="B762" s="8">
        <v>44871</v>
      </c>
      <c r="C762" s="15" t="s">
        <v>4</v>
      </c>
      <c r="D762" s="10" t="s">
        <v>223</v>
      </c>
      <c r="E762">
        <v>4</v>
      </c>
      <c r="F762">
        <v>49000</v>
      </c>
      <c r="G762">
        <v>69000</v>
      </c>
      <c r="H762">
        <v>13</v>
      </c>
      <c r="I762">
        <v>42630</v>
      </c>
      <c r="J762" s="10" t="s">
        <v>278</v>
      </c>
      <c r="K762" s="10">
        <v>42630</v>
      </c>
      <c r="L762" s="10">
        <v>170520</v>
      </c>
      <c r="M762" s="12" t="s">
        <v>21</v>
      </c>
    </row>
    <row r="763" spans="1:13" ht="16.8" x14ac:dyDescent="0.3">
      <c r="A763" s="7" t="s">
        <v>841</v>
      </c>
      <c r="B763" s="8">
        <v>44381</v>
      </c>
      <c r="C763" s="15" t="s">
        <v>4</v>
      </c>
      <c r="D763" s="10" t="s">
        <v>222</v>
      </c>
      <c r="E763">
        <v>5</v>
      </c>
      <c r="F763">
        <v>39000</v>
      </c>
      <c r="G763">
        <v>49000</v>
      </c>
      <c r="H763">
        <v>7</v>
      </c>
      <c r="I763">
        <v>49000</v>
      </c>
      <c r="J763" s="10" t="s">
        <v>279</v>
      </c>
      <c r="K763" s="10">
        <v>49000</v>
      </c>
      <c r="L763" s="10">
        <v>245000</v>
      </c>
      <c r="M763" s="12" t="s">
        <v>235</v>
      </c>
    </row>
    <row r="764" spans="1:13" ht="16.8" x14ac:dyDescent="0.3">
      <c r="A764" s="7" t="s">
        <v>842</v>
      </c>
      <c r="B764" s="8">
        <v>45290</v>
      </c>
      <c r="C764" s="15" t="s">
        <v>275</v>
      </c>
      <c r="D764" s="10" t="s">
        <v>222</v>
      </c>
      <c r="E764">
        <v>4</v>
      </c>
      <c r="F764">
        <v>49000</v>
      </c>
      <c r="G764">
        <v>49000</v>
      </c>
      <c r="H764">
        <v>14</v>
      </c>
      <c r="I764">
        <v>49000</v>
      </c>
      <c r="J764" s="10" t="s">
        <v>279</v>
      </c>
      <c r="K764" s="10">
        <v>49000</v>
      </c>
      <c r="L764" s="10">
        <v>196000</v>
      </c>
      <c r="M764" s="12" t="s">
        <v>227</v>
      </c>
    </row>
    <row r="765" spans="1:13" ht="16.8" x14ac:dyDescent="0.3">
      <c r="A765" s="7" t="s">
        <v>843</v>
      </c>
      <c r="B765" s="8">
        <v>44271</v>
      </c>
      <c r="C765" s="15" t="s">
        <v>272</v>
      </c>
      <c r="D765" s="10" t="s">
        <v>222</v>
      </c>
      <c r="E765">
        <v>2</v>
      </c>
      <c r="F765">
        <v>55000</v>
      </c>
      <c r="G765">
        <v>49000</v>
      </c>
      <c r="H765">
        <v>6</v>
      </c>
      <c r="I765">
        <v>51700</v>
      </c>
      <c r="J765" s="10" t="s">
        <v>278</v>
      </c>
      <c r="K765" s="10">
        <v>51700</v>
      </c>
      <c r="L765" s="10">
        <v>103400</v>
      </c>
      <c r="M765" s="12" t="s">
        <v>235</v>
      </c>
    </row>
    <row r="766" spans="1:13" ht="16.8" x14ac:dyDescent="0.3">
      <c r="A766" s="7" t="s">
        <v>844</v>
      </c>
      <c r="B766" s="8">
        <v>45021</v>
      </c>
      <c r="C766" s="15" t="s">
        <v>275</v>
      </c>
      <c r="D766" s="10" t="s">
        <v>223</v>
      </c>
      <c r="E766">
        <v>1</v>
      </c>
      <c r="F766">
        <v>69000</v>
      </c>
      <c r="G766">
        <v>65000</v>
      </c>
      <c r="H766">
        <v>8</v>
      </c>
      <c r="I766">
        <v>65000</v>
      </c>
      <c r="J766" s="10" t="s">
        <v>279</v>
      </c>
      <c r="K766" s="10">
        <v>65000</v>
      </c>
      <c r="L766" s="10">
        <v>65000</v>
      </c>
      <c r="M766" s="12" t="s">
        <v>19</v>
      </c>
    </row>
    <row r="767" spans="1:13" ht="16.8" x14ac:dyDescent="0.3">
      <c r="A767" s="7" t="s">
        <v>845</v>
      </c>
      <c r="B767" s="8">
        <v>44410</v>
      </c>
      <c r="C767" s="15" t="s">
        <v>270</v>
      </c>
      <c r="D767" s="10" t="s">
        <v>222</v>
      </c>
      <c r="E767">
        <v>2</v>
      </c>
      <c r="F767">
        <v>65000</v>
      </c>
      <c r="G767">
        <v>75000</v>
      </c>
      <c r="H767">
        <v>10</v>
      </c>
      <c r="I767">
        <v>58500</v>
      </c>
      <c r="J767" s="10" t="s">
        <v>278</v>
      </c>
      <c r="K767" s="10">
        <v>58500</v>
      </c>
      <c r="L767" s="10">
        <v>117000</v>
      </c>
      <c r="M767" s="12" t="s">
        <v>248</v>
      </c>
    </row>
    <row r="768" spans="1:13" ht="16.8" x14ac:dyDescent="0.3">
      <c r="A768" s="7" t="s">
        <v>846</v>
      </c>
      <c r="B768" s="8">
        <v>44856</v>
      </c>
      <c r="C768" s="15" t="s">
        <v>6</v>
      </c>
      <c r="D768" s="10" t="s">
        <v>223</v>
      </c>
      <c r="E768">
        <v>1</v>
      </c>
      <c r="F768">
        <v>55000</v>
      </c>
      <c r="G768">
        <v>59000</v>
      </c>
      <c r="H768">
        <v>5</v>
      </c>
      <c r="I768">
        <v>52250</v>
      </c>
      <c r="J768" s="10" t="s">
        <v>278</v>
      </c>
      <c r="K768" s="10">
        <v>52250</v>
      </c>
      <c r="L768" s="10">
        <v>52250</v>
      </c>
      <c r="M768" s="12" t="s">
        <v>15</v>
      </c>
    </row>
    <row r="769" spans="1:13" ht="16.8" x14ac:dyDescent="0.3">
      <c r="A769" s="7" t="s">
        <v>847</v>
      </c>
      <c r="B769" s="8">
        <v>44556</v>
      </c>
      <c r="C769" s="15" t="s">
        <v>5</v>
      </c>
      <c r="D769" s="10" t="s">
        <v>224</v>
      </c>
      <c r="E769">
        <v>4</v>
      </c>
      <c r="F769">
        <v>59000</v>
      </c>
      <c r="G769">
        <v>65000</v>
      </c>
      <c r="H769">
        <v>7</v>
      </c>
      <c r="I769">
        <v>65000</v>
      </c>
      <c r="J769" s="10" t="s">
        <v>279</v>
      </c>
      <c r="K769" s="10">
        <v>65000</v>
      </c>
      <c r="L769" s="10">
        <v>260000</v>
      </c>
      <c r="M769" s="12" t="s">
        <v>235</v>
      </c>
    </row>
    <row r="770" spans="1:13" ht="16.8" x14ac:dyDescent="0.3">
      <c r="A770" s="7" t="s">
        <v>848</v>
      </c>
      <c r="B770" s="8">
        <v>44324</v>
      </c>
      <c r="C770" s="15" t="s">
        <v>6</v>
      </c>
      <c r="D770" s="10" t="s">
        <v>224</v>
      </c>
      <c r="E770">
        <v>2</v>
      </c>
      <c r="F770">
        <v>35000</v>
      </c>
      <c r="G770">
        <v>59000</v>
      </c>
      <c r="H770">
        <v>9</v>
      </c>
      <c r="I770">
        <v>59000</v>
      </c>
      <c r="J770" s="10" t="s">
        <v>279</v>
      </c>
      <c r="K770" s="10">
        <v>59000</v>
      </c>
      <c r="L770" s="10">
        <v>118000</v>
      </c>
      <c r="M770" s="12" t="s">
        <v>231</v>
      </c>
    </row>
    <row r="771" spans="1:13" ht="16.8" x14ac:dyDescent="0.3">
      <c r="A771" s="7" t="s">
        <v>849</v>
      </c>
      <c r="B771" s="8">
        <v>44568</v>
      </c>
      <c r="C771" s="15" t="s">
        <v>273</v>
      </c>
      <c r="D771" s="10" t="s">
        <v>224</v>
      </c>
      <c r="E771">
        <v>2</v>
      </c>
      <c r="F771">
        <v>59000</v>
      </c>
      <c r="G771">
        <v>55000</v>
      </c>
      <c r="H771">
        <v>11</v>
      </c>
      <c r="I771">
        <v>52510</v>
      </c>
      <c r="J771" s="10" t="s">
        <v>278</v>
      </c>
      <c r="K771" s="10">
        <v>52510</v>
      </c>
      <c r="L771" s="10">
        <v>105020</v>
      </c>
      <c r="M771" s="12" t="s">
        <v>16</v>
      </c>
    </row>
    <row r="772" spans="1:13" ht="16.8" x14ac:dyDescent="0.3">
      <c r="A772" s="7" t="s">
        <v>850</v>
      </c>
      <c r="B772" s="8">
        <v>44882</v>
      </c>
      <c r="C772" s="15" t="s">
        <v>5</v>
      </c>
      <c r="D772" s="10" t="s">
        <v>224</v>
      </c>
      <c r="E772">
        <v>3</v>
      </c>
      <c r="F772">
        <v>65000</v>
      </c>
      <c r="G772">
        <v>59000</v>
      </c>
      <c r="H772">
        <v>15</v>
      </c>
      <c r="I772">
        <v>59000</v>
      </c>
      <c r="J772" s="10" t="s">
        <v>279</v>
      </c>
      <c r="K772" s="10">
        <v>59000</v>
      </c>
      <c r="L772" s="10">
        <v>177000</v>
      </c>
      <c r="M772" s="12" t="s">
        <v>258</v>
      </c>
    </row>
    <row r="773" spans="1:13" ht="16.8" x14ac:dyDescent="0.3">
      <c r="A773" s="7" t="s">
        <v>851</v>
      </c>
      <c r="B773" s="8">
        <v>44645</v>
      </c>
      <c r="C773" s="15" t="s">
        <v>270</v>
      </c>
      <c r="D773" s="10" t="s">
        <v>222</v>
      </c>
      <c r="E773">
        <v>5</v>
      </c>
      <c r="F773">
        <v>55000</v>
      </c>
      <c r="G773">
        <v>59000</v>
      </c>
      <c r="H773">
        <v>6</v>
      </c>
      <c r="I773">
        <v>51700</v>
      </c>
      <c r="J773" s="10" t="s">
        <v>278</v>
      </c>
      <c r="K773" s="10">
        <v>51700</v>
      </c>
      <c r="L773" s="10">
        <v>258500</v>
      </c>
      <c r="M773" s="12" t="s">
        <v>242</v>
      </c>
    </row>
    <row r="774" spans="1:13" ht="16.8" x14ac:dyDescent="0.3">
      <c r="A774" s="7" t="s">
        <v>852</v>
      </c>
      <c r="B774" s="8">
        <v>44697</v>
      </c>
      <c r="C774" s="15" t="s">
        <v>272</v>
      </c>
      <c r="D774" s="10" t="s">
        <v>223</v>
      </c>
      <c r="E774">
        <v>5</v>
      </c>
      <c r="F774">
        <v>49000</v>
      </c>
      <c r="G774">
        <v>65000</v>
      </c>
      <c r="H774">
        <v>13</v>
      </c>
      <c r="I774">
        <v>65000</v>
      </c>
      <c r="J774" s="10" t="s">
        <v>279</v>
      </c>
      <c r="K774" s="10">
        <v>65000</v>
      </c>
      <c r="L774" s="10">
        <v>325000</v>
      </c>
      <c r="M774" s="12" t="s">
        <v>13</v>
      </c>
    </row>
    <row r="775" spans="1:13" ht="16.8" x14ac:dyDescent="0.3">
      <c r="A775" s="7" t="s">
        <v>853</v>
      </c>
      <c r="B775" s="8">
        <v>44715</v>
      </c>
      <c r="C775" s="15" t="s">
        <v>273</v>
      </c>
      <c r="D775" s="10" t="s">
        <v>223</v>
      </c>
      <c r="E775">
        <v>4</v>
      </c>
      <c r="F775">
        <v>55000</v>
      </c>
      <c r="G775">
        <v>59000</v>
      </c>
      <c r="H775">
        <v>8</v>
      </c>
      <c r="I775">
        <v>50600</v>
      </c>
      <c r="J775" s="10" t="s">
        <v>278</v>
      </c>
      <c r="K775" s="10">
        <v>50600</v>
      </c>
      <c r="L775" s="10">
        <v>202400</v>
      </c>
      <c r="M775" s="12" t="s">
        <v>249</v>
      </c>
    </row>
    <row r="776" spans="1:13" ht="16.8" x14ac:dyDescent="0.3">
      <c r="A776" s="7" t="s">
        <v>854</v>
      </c>
      <c r="B776" s="8">
        <v>44659</v>
      </c>
      <c r="C776" s="15" t="s">
        <v>271</v>
      </c>
      <c r="D776" s="10" t="s">
        <v>223</v>
      </c>
      <c r="E776">
        <v>5</v>
      </c>
      <c r="F776">
        <v>65000</v>
      </c>
      <c r="G776">
        <v>35000</v>
      </c>
      <c r="H776">
        <v>9</v>
      </c>
      <c r="I776">
        <v>35000</v>
      </c>
      <c r="J776" s="10" t="s">
        <v>279</v>
      </c>
      <c r="K776" s="10">
        <v>35000</v>
      </c>
      <c r="L776" s="10">
        <v>175000</v>
      </c>
      <c r="M776" s="12" t="s">
        <v>239</v>
      </c>
    </row>
    <row r="777" spans="1:13" ht="16.8" x14ac:dyDescent="0.3">
      <c r="A777" s="7" t="s">
        <v>855</v>
      </c>
      <c r="B777" s="8">
        <v>44425</v>
      </c>
      <c r="C777" s="15" t="s">
        <v>272</v>
      </c>
      <c r="D777" s="10" t="s">
        <v>223</v>
      </c>
      <c r="E777">
        <v>2</v>
      </c>
      <c r="F777">
        <v>59000</v>
      </c>
      <c r="G777">
        <v>59000</v>
      </c>
      <c r="H777">
        <v>7</v>
      </c>
      <c r="I777">
        <v>54869.999999999993</v>
      </c>
      <c r="J777" s="10" t="s">
        <v>278</v>
      </c>
      <c r="K777" s="10">
        <v>54869.999999999993</v>
      </c>
      <c r="L777" s="10">
        <v>109739.99999999999</v>
      </c>
      <c r="M777" s="12" t="s">
        <v>226</v>
      </c>
    </row>
    <row r="778" spans="1:13" ht="16.8" x14ac:dyDescent="0.3">
      <c r="A778" s="7" t="s">
        <v>856</v>
      </c>
      <c r="B778" s="8">
        <v>44809</v>
      </c>
      <c r="C778" s="15" t="s">
        <v>6</v>
      </c>
      <c r="D778" s="10" t="s">
        <v>222</v>
      </c>
      <c r="E778">
        <v>3</v>
      </c>
      <c r="F778">
        <v>39000</v>
      </c>
      <c r="G778">
        <v>59000</v>
      </c>
      <c r="H778">
        <v>11</v>
      </c>
      <c r="I778">
        <v>59000</v>
      </c>
      <c r="J778" s="10" t="s">
        <v>279</v>
      </c>
      <c r="K778" s="10">
        <v>59000</v>
      </c>
      <c r="L778" s="10">
        <v>177000</v>
      </c>
      <c r="M778" s="12" t="s">
        <v>226</v>
      </c>
    </row>
    <row r="779" spans="1:13" ht="16.8" x14ac:dyDescent="0.3">
      <c r="A779" s="7" t="s">
        <v>857</v>
      </c>
      <c r="B779" s="8">
        <v>44855</v>
      </c>
      <c r="C779" s="15" t="s">
        <v>273</v>
      </c>
      <c r="D779" s="10" t="s">
        <v>224</v>
      </c>
      <c r="E779">
        <v>4</v>
      </c>
      <c r="F779">
        <v>49000</v>
      </c>
      <c r="G779">
        <v>59000</v>
      </c>
      <c r="H779">
        <v>12</v>
      </c>
      <c r="I779">
        <v>43120</v>
      </c>
      <c r="J779" s="10" t="s">
        <v>278</v>
      </c>
      <c r="K779" s="10">
        <v>43120</v>
      </c>
      <c r="L779" s="10">
        <v>172480</v>
      </c>
      <c r="M779" s="12" t="s">
        <v>262</v>
      </c>
    </row>
    <row r="780" spans="1:13" ht="16.8" x14ac:dyDescent="0.3">
      <c r="A780" s="7" t="s">
        <v>858</v>
      </c>
      <c r="B780" s="8">
        <v>44909</v>
      </c>
      <c r="C780" s="15" t="s">
        <v>270</v>
      </c>
      <c r="D780" s="10" t="s">
        <v>222</v>
      </c>
      <c r="E780">
        <v>2</v>
      </c>
      <c r="F780">
        <v>65000</v>
      </c>
      <c r="G780">
        <v>39000</v>
      </c>
      <c r="H780">
        <v>10</v>
      </c>
      <c r="I780">
        <v>58500</v>
      </c>
      <c r="J780" s="10" t="s">
        <v>278</v>
      </c>
      <c r="K780" s="10">
        <v>58500</v>
      </c>
      <c r="L780" s="10">
        <v>117000</v>
      </c>
      <c r="M780" s="12" t="s">
        <v>15</v>
      </c>
    </row>
    <row r="781" spans="1:13" ht="16.8" x14ac:dyDescent="0.3">
      <c r="A781" s="7" t="s">
        <v>859</v>
      </c>
      <c r="B781" s="8">
        <v>44345</v>
      </c>
      <c r="C781" s="15" t="s">
        <v>273</v>
      </c>
      <c r="D781" s="10" t="s">
        <v>224</v>
      </c>
      <c r="E781">
        <v>3</v>
      </c>
      <c r="F781">
        <v>69000</v>
      </c>
      <c r="G781">
        <v>69000</v>
      </c>
      <c r="H781">
        <v>13</v>
      </c>
      <c r="I781">
        <v>69000</v>
      </c>
      <c r="J781" s="10" t="s">
        <v>279</v>
      </c>
      <c r="K781" s="10">
        <v>69000</v>
      </c>
      <c r="L781" s="10">
        <v>207000</v>
      </c>
      <c r="M781" s="12" t="s">
        <v>232</v>
      </c>
    </row>
    <row r="782" spans="1:13" ht="16.8" x14ac:dyDescent="0.3">
      <c r="A782" s="7" t="s">
        <v>860</v>
      </c>
      <c r="B782" s="8">
        <v>45076</v>
      </c>
      <c r="C782" s="15" t="s">
        <v>270</v>
      </c>
      <c r="D782" s="10" t="s">
        <v>223</v>
      </c>
      <c r="E782">
        <v>1</v>
      </c>
      <c r="F782">
        <v>55000</v>
      </c>
      <c r="G782">
        <v>39000</v>
      </c>
      <c r="H782">
        <v>10</v>
      </c>
      <c r="I782">
        <v>49500</v>
      </c>
      <c r="J782" s="10" t="s">
        <v>278</v>
      </c>
      <c r="K782" s="10">
        <v>49500</v>
      </c>
      <c r="L782" s="10">
        <v>49500</v>
      </c>
      <c r="M782" s="12" t="s">
        <v>254</v>
      </c>
    </row>
    <row r="783" spans="1:13" ht="16.8" x14ac:dyDescent="0.3">
      <c r="A783" s="7" t="s">
        <v>861</v>
      </c>
      <c r="B783" s="8">
        <v>45048</v>
      </c>
      <c r="C783" s="15" t="s">
        <v>271</v>
      </c>
      <c r="D783" s="10" t="s">
        <v>224</v>
      </c>
      <c r="E783">
        <v>5</v>
      </c>
      <c r="F783">
        <v>65000</v>
      </c>
      <c r="G783">
        <v>65000</v>
      </c>
      <c r="H783">
        <v>10</v>
      </c>
      <c r="I783">
        <v>58500</v>
      </c>
      <c r="J783" s="10" t="s">
        <v>278</v>
      </c>
      <c r="K783" s="10">
        <v>58500</v>
      </c>
      <c r="L783" s="10">
        <v>292500</v>
      </c>
      <c r="M783" s="12" t="s">
        <v>255</v>
      </c>
    </row>
    <row r="784" spans="1:13" ht="16.8" x14ac:dyDescent="0.3">
      <c r="A784" s="7" t="s">
        <v>862</v>
      </c>
      <c r="B784" s="8">
        <v>44998</v>
      </c>
      <c r="C784" s="15" t="s">
        <v>273</v>
      </c>
      <c r="D784" s="10" t="s">
        <v>222</v>
      </c>
      <c r="E784">
        <v>5</v>
      </c>
      <c r="F784">
        <v>59000</v>
      </c>
      <c r="G784">
        <v>49000</v>
      </c>
      <c r="H784">
        <v>6</v>
      </c>
      <c r="I784">
        <v>49000</v>
      </c>
      <c r="J784" s="10" t="s">
        <v>279</v>
      </c>
      <c r="K784" s="10">
        <v>49000</v>
      </c>
      <c r="L784" s="10">
        <v>245000</v>
      </c>
      <c r="M784" s="12" t="s">
        <v>246</v>
      </c>
    </row>
    <row r="785" spans="1:13" ht="16.8" x14ac:dyDescent="0.3">
      <c r="A785" s="7" t="s">
        <v>863</v>
      </c>
      <c r="B785" s="8">
        <v>44597</v>
      </c>
      <c r="C785" s="15" t="s">
        <v>274</v>
      </c>
      <c r="D785" s="10" t="s">
        <v>223</v>
      </c>
      <c r="E785">
        <v>2</v>
      </c>
      <c r="F785">
        <v>49000</v>
      </c>
      <c r="G785">
        <v>59000</v>
      </c>
      <c r="H785">
        <v>12</v>
      </c>
      <c r="I785">
        <v>59000</v>
      </c>
      <c r="J785" s="10" t="s">
        <v>279</v>
      </c>
      <c r="K785" s="10">
        <v>59000</v>
      </c>
      <c r="L785" s="10">
        <v>118000</v>
      </c>
      <c r="M785" s="12" t="s">
        <v>259</v>
      </c>
    </row>
    <row r="786" spans="1:13" ht="16.8" x14ac:dyDescent="0.3">
      <c r="A786" s="7" t="s">
        <v>864</v>
      </c>
      <c r="B786" s="8">
        <v>44246</v>
      </c>
      <c r="C786" s="15" t="s">
        <v>4</v>
      </c>
      <c r="D786" s="10" t="s">
        <v>223</v>
      </c>
      <c r="E786">
        <v>1</v>
      </c>
      <c r="F786">
        <v>49000</v>
      </c>
      <c r="G786">
        <v>55000</v>
      </c>
      <c r="H786">
        <v>9</v>
      </c>
      <c r="I786">
        <v>55000</v>
      </c>
      <c r="J786" s="10" t="s">
        <v>279</v>
      </c>
      <c r="K786" s="10">
        <v>55000</v>
      </c>
      <c r="L786" s="10">
        <v>55000</v>
      </c>
      <c r="M786" s="12" t="s">
        <v>15</v>
      </c>
    </row>
    <row r="787" spans="1:13" ht="16.8" x14ac:dyDescent="0.3">
      <c r="A787" s="7" t="s">
        <v>865</v>
      </c>
      <c r="B787" s="8">
        <v>44553</v>
      </c>
      <c r="C787" s="15" t="s">
        <v>273</v>
      </c>
      <c r="D787" s="10" t="s">
        <v>223</v>
      </c>
      <c r="E787">
        <v>2</v>
      </c>
      <c r="F787">
        <v>55000</v>
      </c>
      <c r="G787">
        <v>59000</v>
      </c>
      <c r="H787">
        <v>6</v>
      </c>
      <c r="I787">
        <v>51700</v>
      </c>
      <c r="J787" s="10" t="s">
        <v>278</v>
      </c>
      <c r="K787" s="10">
        <v>51700</v>
      </c>
      <c r="L787" s="10">
        <v>103400</v>
      </c>
      <c r="M787" s="12" t="s">
        <v>255</v>
      </c>
    </row>
    <row r="788" spans="1:13" ht="16.8" x14ac:dyDescent="0.3">
      <c r="A788" s="7" t="s">
        <v>866</v>
      </c>
      <c r="B788" s="8">
        <v>44656</v>
      </c>
      <c r="C788" s="15" t="s">
        <v>273</v>
      </c>
      <c r="D788" s="10" t="s">
        <v>223</v>
      </c>
      <c r="E788">
        <v>4</v>
      </c>
      <c r="F788">
        <v>75000</v>
      </c>
      <c r="G788">
        <v>49000</v>
      </c>
      <c r="H788">
        <v>11</v>
      </c>
      <c r="I788">
        <v>49000</v>
      </c>
      <c r="J788" s="10" t="s">
        <v>279</v>
      </c>
      <c r="K788" s="10">
        <v>49000</v>
      </c>
      <c r="L788" s="10">
        <v>196000</v>
      </c>
      <c r="M788" s="12" t="s">
        <v>253</v>
      </c>
    </row>
    <row r="789" spans="1:13" ht="16.8" x14ac:dyDescent="0.3">
      <c r="A789" s="7" t="s">
        <v>867</v>
      </c>
      <c r="B789" s="8">
        <v>44958</v>
      </c>
      <c r="C789" s="15" t="s">
        <v>271</v>
      </c>
      <c r="D789" s="10" t="s">
        <v>223</v>
      </c>
      <c r="E789">
        <v>4</v>
      </c>
      <c r="F789">
        <v>69000</v>
      </c>
      <c r="G789">
        <v>35000</v>
      </c>
      <c r="H789">
        <v>11</v>
      </c>
      <c r="I789">
        <v>35000</v>
      </c>
      <c r="J789" s="10" t="s">
        <v>279</v>
      </c>
      <c r="K789" s="10">
        <v>35000</v>
      </c>
      <c r="L789" s="10">
        <v>140000</v>
      </c>
      <c r="M789" s="12" t="s">
        <v>256</v>
      </c>
    </row>
    <row r="790" spans="1:13" ht="16.8" x14ac:dyDescent="0.3">
      <c r="A790" s="7" t="s">
        <v>868</v>
      </c>
      <c r="B790" s="8">
        <v>45253</v>
      </c>
      <c r="C790" s="15" t="s">
        <v>5</v>
      </c>
      <c r="D790" s="10" t="s">
        <v>222</v>
      </c>
      <c r="E790">
        <v>3</v>
      </c>
      <c r="F790">
        <v>49000</v>
      </c>
      <c r="G790">
        <v>49000</v>
      </c>
      <c r="H790">
        <v>15</v>
      </c>
      <c r="I790">
        <v>49000</v>
      </c>
      <c r="J790" s="10" t="s">
        <v>279</v>
      </c>
      <c r="K790" s="10">
        <v>49000</v>
      </c>
      <c r="L790" s="10">
        <v>147000</v>
      </c>
      <c r="M790" s="12" t="s">
        <v>244</v>
      </c>
    </row>
    <row r="791" spans="1:13" ht="16.8" x14ac:dyDescent="0.3">
      <c r="A791" s="7" t="s">
        <v>869</v>
      </c>
      <c r="B791" s="8">
        <v>44557</v>
      </c>
      <c r="C791" s="15" t="s">
        <v>270</v>
      </c>
      <c r="D791" s="10" t="s">
        <v>224</v>
      </c>
      <c r="E791">
        <v>2</v>
      </c>
      <c r="F791">
        <v>65000</v>
      </c>
      <c r="G791">
        <v>59000</v>
      </c>
      <c r="H791">
        <v>12</v>
      </c>
      <c r="I791">
        <v>59000</v>
      </c>
      <c r="J791" s="10" t="s">
        <v>279</v>
      </c>
      <c r="K791" s="10">
        <v>59000</v>
      </c>
      <c r="L791" s="10">
        <v>118000</v>
      </c>
      <c r="M791" s="12" t="s">
        <v>244</v>
      </c>
    </row>
    <row r="792" spans="1:13" ht="16.8" x14ac:dyDescent="0.3">
      <c r="A792" s="7" t="s">
        <v>870</v>
      </c>
      <c r="B792" s="8">
        <v>44478</v>
      </c>
      <c r="C792" s="15" t="s">
        <v>5</v>
      </c>
      <c r="D792" s="10" t="s">
        <v>222</v>
      </c>
      <c r="E792">
        <v>3</v>
      </c>
      <c r="F792">
        <v>59000</v>
      </c>
      <c r="G792">
        <v>39000</v>
      </c>
      <c r="H792">
        <v>14</v>
      </c>
      <c r="I792">
        <v>39000</v>
      </c>
      <c r="J792" s="10" t="s">
        <v>279</v>
      </c>
      <c r="K792" s="10">
        <v>39000</v>
      </c>
      <c r="L792" s="10">
        <v>117000</v>
      </c>
      <c r="M792" s="12" t="s">
        <v>21</v>
      </c>
    </row>
    <row r="793" spans="1:13" ht="16.8" x14ac:dyDescent="0.3">
      <c r="A793" s="7" t="s">
        <v>871</v>
      </c>
      <c r="B793" s="8">
        <v>45108</v>
      </c>
      <c r="C793" s="15" t="s">
        <v>6</v>
      </c>
      <c r="D793" s="10" t="s">
        <v>224</v>
      </c>
      <c r="E793">
        <v>4</v>
      </c>
      <c r="F793">
        <v>35000</v>
      </c>
      <c r="G793">
        <v>55000</v>
      </c>
      <c r="H793">
        <v>13</v>
      </c>
      <c r="I793">
        <v>30450</v>
      </c>
      <c r="J793" s="10" t="s">
        <v>278</v>
      </c>
      <c r="K793" s="10">
        <v>30450</v>
      </c>
      <c r="L793" s="10">
        <v>121800</v>
      </c>
      <c r="M793" s="12" t="s">
        <v>18</v>
      </c>
    </row>
    <row r="794" spans="1:13" ht="16.8" x14ac:dyDescent="0.3">
      <c r="A794" s="7" t="s">
        <v>872</v>
      </c>
      <c r="B794" s="8">
        <v>44996</v>
      </c>
      <c r="C794" s="15" t="s">
        <v>271</v>
      </c>
      <c r="D794" s="10" t="s">
        <v>223</v>
      </c>
      <c r="E794">
        <v>3</v>
      </c>
      <c r="F794">
        <v>59000</v>
      </c>
      <c r="G794">
        <v>39000</v>
      </c>
      <c r="H794">
        <v>6</v>
      </c>
      <c r="I794">
        <v>39000</v>
      </c>
      <c r="J794" s="10" t="s">
        <v>279</v>
      </c>
      <c r="K794" s="10">
        <v>39000</v>
      </c>
      <c r="L794" s="10">
        <v>117000</v>
      </c>
      <c r="M794" s="12" t="s">
        <v>233</v>
      </c>
    </row>
    <row r="795" spans="1:13" ht="16.8" x14ac:dyDescent="0.3">
      <c r="A795" s="7" t="s">
        <v>873</v>
      </c>
      <c r="B795" s="8">
        <v>45194</v>
      </c>
      <c r="C795" s="15" t="s">
        <v>273</v>
      </c>
      <c r="D795" s="10" t="s">
        <v>223</v>
      </c>
      <c r="E795">
        <v>3</v>
      </c>
      <c r="F795">
        <v>49000</v>
      </c>
      <c r="G795">
        <v>39000</v>
      </c>
      <c r="H795">
        <v>14</v>
      </c>
      <c r="I795">
        <v>42140</v>
      </c>
      <c r="J795" s="10" t="s">
        <v>278</v>
      </c>
      <c r="K795" s="10">
        <v>42140</v>
      </c>
      <c r="L795" s="10">
        <v>126420</v>
      </c>
      <c r="M795" s="12" t="s">
        <v>254</v>
      </c>
    </row>
    <row r="796" spans="1:13" ht="16.8" x14ac:dyDescent="0.3">
      <c r="A796" s="7" t="s">
        <v>874</v>
      </c>
      <c r="B796" s="8">
        <v>44439</v>
      </c>
      <c r="C796" s="15" t="s">
        <v>4</v>
      </c>
      <c r="D796" s="10" t="s">
        <v>224</v>
      </c>
      <c r="E796">
        <v>3</v>
      </c>
      <c r="F796">
        <v>69000</v>
      </c>
      <c r="G796">
        <v>69000</v>
      </c>
      <c r="H796">
        <v>11</v>
      </c>
      <c r="I796">
        <v>69000</v>
      </c>
      <c r="J796" s="10" t="s">
        <v>279</v>
      </c>
      <c r="K796" s="10">
        <v>69000</v>
      </c>
      <c r="L796" s="10">
        <v>207000</v>
      </c>
      <c r="M796" s="12" t="s">
        <v>239</v>
      </c>
    </row>
    <row r="797" spans="1:13" ht="16.8" x14ac:dyDescent="0.3">
      <c r="A797" s="7" t="s">
        <v>875</v>
      </c>
      <c r="B797" s="8">
        <v>44277</v>
      </c>
      <c r="C797" s="15" t="s">
        <v>6</v>
      </c>
      <c r="D797" s="10" t="s">
        <v>223</v>
      </c>
      <c r="E797">
        <v>3</v>
      </c>
      <c r="F797">
        <v>55000</v>
      </c>
      <c r="G797">
        <v>69000</v>
      </c>
      <c r="H797">
        <v>6</v>
      </c>
      <c r="I797">
        <v>69000</v>
      </c>
      <c r="J797" s="10" t="s">
        <v>279</v>
      </c>
      <c r="K797" s="10">
        <v>69000</v>
      </c>
      <c r="L797" s="10">
        <v>207000</v>
      </c>
      <c r="M797" s="12" t="s">
        <v>236</v>
      </c>
    </row>
  </sheetData>
  <conditionalFormatting sqref="A1:M1 A2:B797 D2:M797 A798:M1048576">
    <cfRule type="containsBlanks" priority="1">
      <formula>LEN(TRIM(A1))=0</formula>
    </cfRule>
  </conditionalFormatting>
  <conditionalFormatting sqref="M1 A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{383F5682-DB62-4887-9D7F-1B2956AD007E}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3F5682-DB62-4887-9D7F-1B2956AD00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33EF-F749-4853-8FFD-E4B5F1639603}">
  <dimension ref="A1:T797"/>
  <sheetViews>
    <sheetView zoomScale="94" zoomScaleNormal="94" workbookViewId="0">
      <selection activeCell="L2" sqref="L2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  <col min="14" max="14" width="11.6640625" customWidth="1"/>
    <col min="17" max="17" width="22.6640625" style="11" customWidth="1"/>
    <col min="18" max="18" width="11.6640625" style="10" customWidth="1"/>
    <col min="19" max="20" width="13.6640625" customWidth="1"/>
  </cols>
  <sheetData>
    <row r="1" spans="1:20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  <c r="Q1" s="6" t="s">
        <v>7</v>
      </c>
      <c r="R1" s="6" t="s">
        <v>8</v>
      </c>
      <c r="S1" s="18" t="s">
        <v>276</v>
      </c>
      <c r="T1" s="30" t="s">
        <v>265</v>
      </c>
    </row>
    <row r="2" spans="1:20" ht="16.8" x14ac:dyDescent="0.3">
      <c r="A2" s="7" t="str">
        <f>"S"&amp;TEXT(ROW()-1,"0000")</f>
        <v>S0001</v>
      </c>
      <c r="B2" s="8">
        <f ca="1">DATE(2021,1,1) + RANDBETWEEN(0,1095)</f>
        <v>44215</v>
      </c>
      <c r="C2" s="15" t="str" cm="1">
        <f t="array" aca="1" ref="C2" ca="1">INDEX($Q$2:$Q$31, RANDBETWEEN(1, COUNTA($Q$2:$Q$31)))</f>
        <v>Iced Black Coffee</v>
      </c>
      <c r="D2" s="10" t="str" cm="1">
        <f t="array" aca="1" ref="D2" ca="1">INDEX($R$2:$R$310, RANDBETWEEN(1, COUNTA($Q$2:$Q$310)))</f>
        <v>L</v>
      </c>
      <c r="E2">
        <f ca="1">RANDBETWEEN(1,5)</f>
        <v>5</v>
      </c>
      <c r="F2" cm="1">
        <f t="array" aca="1" ref="F2" ca="1">INDEX($T$2:$T$31, RANDBETWEEN(1, COUNTA($T$2:$T$31)))</f>
        <v>45000</v>
      </c>
      <c r="G2" cm="1">
        <f t="array" aca="1" ref="G2" ca="1">INDEX($S$2:$S$31, RANDBETWEEN(1, COUNTA($S$2:$S$31)))</f>
        <v>59000</v>
      </c>
      <c r="H2">
        <f ca="1">RANDBETWEEN(5,15)</f>
        <v>7</v>
      </c>
      <c r="I2">
        <f ca="1">IF(J2="Online", F2*(1-H2/100), G2)</f>
        <v>41850</v>
      </c>
      <c r="J2" s="10" t="str">
        <f ca="1">IF(RANDBETWEEN(1,2)=1,"Online","Offline")</f>
        <v>Online</v>
      </c>
      <c r="K2" s="10">
        <f ca="1">I2</f>
        <v>41850</v>
      </c>
      <c r="L2" s="10">
        <f ca="1">E2*K2</f>
        <v>209250</v>
      </c>
      <c r="M2" s="12" t="str" cm="1">
        <f t="array" aca="1" ref="M2" ca="1">INDEX($R$33:$R$82, RANDBETWEEN(1, COUNTA($R$33:$R$82)))</f>
        <v>NV7</v>
      </c>
      <c r="N2">
        <f ca="1" xml:space="preserve"> RANDBETWEEN(2,51)</f>
        <v>16</v>
      </c>
      <c r="P2" s="9"/>
      <c r="Q2" s="14" t="s">
        <v>270</v>
      </c>
      <c r="R2" s="4" t="s">
        <v>224</v>
      </c>
      <c r="S2" s="5">
        <v>29000</v>
      </c>
      <c r="T2" s="17">
        <v>35000</v>
      </c>
    </row>
    <row r="3" spans="1:20" ht="16.8" x14ac:dyDescent="0.3">
      <c r="A3" s="7" t="str">
        <f t="shared" ref="A3:A66" si="0">"S"&amp;TEXT(ROW()-1,"0000")</f>
        <v>S0002</v>
      </c>
      <c r="B3" s="8">
        <f t="shared" ref="B3:B66" ca="1" si="1">DATE(2021,1,1) + RANDBETWEEN(0,1095)</f>
        <v>44849</v>
      </c>
      <c r="C3" s="23" t="str" cm="1">
        <f t="array" aca="1" ref="C3" ca="1">INDEX($Q$2:$Q$31, RANDBETWEEN(1, COUNTA($Q$2:$Q$31)))</f>
        <v>Cookies &amp; Cream</v>
      </c>
      <c r="D3" s="10" t="str" cm="1">
        <f t="array" aca="1" ref="D3" ca="1">INDEX($R$2:$R$310, RANDBETWEEN(1, COUNTA($Q$2:$Q$310)))</f>
        <v>L</v>
      </c>
      <c r="E3">
        <f t="shared" ref="E3:E25" ca="1" si="2">RANDBETWEEN(1,5)</f>
        <v>4</v>
      </c>
      <c r="F3" cm="1">
        <f t="array" aca="1" ref="F3" ca="1">INDEX($S$2:$S$31, RANDBETWEEN(1, COUNTA($S$2:$S$31)))</f>
        <v>49000</v>
      </c>
      <c r="G3" cm="1">
        <f t="array" aca="1" ref="G3" ca="1">INDEX($S$2:$S$31, RANDBETWEEN(1, COUNTA($S$2:$S$31)))</f>
        <v>59000</v>
      </c>
      <c r="H3">
        <f t="shared" ref="H3:H66" ca="1" si="3">RANDBETWEEN(5,15)</f>
        <v>9</v>
      </c>
      <c r="I3">
        <f t="shared" ref="I3:I66" ca="1" si="4">IF(J3="Online", F3*(1-H3/100), G3)</f>
        <v>59000</v>
      </c>
      <c r="J3" s="10" t="str">
        <f t="shared" ref="J3:J66" ca="1" si="5">IF(RANDBETWEEN(1,2)=1,"Online","Offline")</f>
        <v>Offline</v>
      </c>
      <c r="K3" s="10">
        <f t="shared" ref="K3:K66" ca="1" si="6">I3</f>
        <v>59000</v>
      </c>
      <c r="L3" s="10">
        <f t="shared" ref="L3:L66" ca="1" si="7">E3*K3</f>
        <v>236000</v>
      </c>
      <c r="M3" s="12" t="str" cm="1">
        <f t="array" aca="1" ref="M3" ca="1">INDEX($R$33:$R$82, RANDBETWEEN(1, COUNTA($R$33:$R$82)))</f>
        <v>NV27</v>
      </c>
      <c r="N3">
        <f t="shared" ref="N3:N66" ca="1" si="8" xml:space="preserve"> RANDBETWEEN(2,51)</f>
        <v>3</v>
      </c>
      <c r="P3" s="9"/>
      <c r="Q3" s="14" t="s">
        <v>270</v>
      </c>
      <c r="R3" s="4" t="s">
        <v>223</v>
      </c>
      <c r="S3" s="5">
        <v>35000</v>
      </c>
      <c r="T3" s="17">
        <v>39000</v>
      </c>
    </row>
    <row r="4" spans="1:20" ht="16.8" x14ac:dyDescent="0.3">
      <c r="A4" s="7" t="str">
        <f t="shared" si="0"/>
        <v>S0003</v>
      </c>
      <c r="B4" s="8">
        <f t="shared" ca="1" si="1"/>
        <v>44328</v>
      </c>
      <c r="C4" s="15" t="str" cm="1">
        <f t="array" aca="1" ref="C4" ca="1">INDEX($Q$2:$Q$31, RANDBETWEEN(1, COUNTA($Q$2:$Q$31)))</f>
        <v xml:space="preserve">Chocolate Freeze </v>
      </c>
      <c r="D4" s="10" t="str" cm="1">
        <f t="array" aca="1" ref="D4" ca="1">INDEX($R$2:$R$310, RANDBETWEEN(1, COUNTA($Q$2:$Q$310)))</f>
        <v>M</v>
      </c>
      <c r="E4">
        <f t="shared" ca="1" si="2"/>
        <v>2</v>
      </c>
      <c r="F4" cm="1">
        <f t="array" aca="1" ref="F4" ca="1">INDEX($S$2:$S$31, RANDBETWEEN(1, COUNTA($S$2:$S$31)))</f>
        <v>69000</v>
      </c>
      <c r="G4" cm="1">
        <f t="array" aca="1" ref="G4" ca="1">INDEX($S$2:$S$31, RANDBETWEEN(1, COUNTA($S$2:$S$31)))</f>
        <v>55000</v>
      </c>
      <c r="H4">
        <f t="shared" ca="1" si="3"/>
        <v>15</v>
      </c>
      <c r="I4">
        <f t="shared" ca="1" si="4"/>
        <v>55000</v>
      </c>
      <c r="J4" s="10" t="str">
        <f t="shared" ca="1" si="5"/>
        <v>Offline</v>
      </c>
      <c r="K4" s="10">
        <f t="shared" ca="1" si="6"/>
        <v>55000</v>
      </c>
      <c r="L4" s="10">
        <f t="shared" ca="1" si="7"/>
        <v>110000</v>
      </c>
      <c r="M4" s="12" t="str" cm="1">
        <f t="array" aca="1" ref="M4" ca="1">INDEX($R$33:$R$82, RANDBETWEEN(1, COUNTA($R$33:$R$82)))</f>
        <v>NV30</v>
      </c>
      <c r="N4">
        <f t="shared" ca="1" si="8"/>
        <v>14</v>
      </c>
      <c r="P4" s="9"/>
      <c r="Q4" s="14" t="s">
        <v>270</v>
      </c>
      <c r="R4" s="4" t="s">
        <v>222</v>
      </c>
      <c r="S4" s="5">
        <v>39000</v>
      </c>
      <c r="T4" s="17">
        <v>45000</v>
      </c>
    </row>
    <row r="5" spans="1:20" ht="16.8" x14ac:dyDescent="0.3">
      <c r="A5" s="7" t="str">
        <f t="shared" si="0"/>
        <v>S0004</v>
      </c>
      <c r="B5" s="8">
        <f t="shared" ca="1" si="1"/>
        <v>44738</v>
      </c>
      <c r="C5" s="15" t="str" cm="1">
        <f t="array" aca="1" ref="C5" ca="1">INDEX($Q$2:$Q$31, RANDBETWEEN(1, COUNTA($Q$2:$Q$31)))</f>
        <v xml:space="preserve">Chocolate Freeze </v>
      </c>
      <c r="D5" s="10" t="str" cm="1">
        <f t="array" aca="1" ref="D5" ca="1">INDEX($R$2:$R$310, RANDBETWEEN(1, COUNTA($Q$2:$Q$310)))</f>
        <v>M</v>
      </c>
      <c r="E5">
        <f t="shared" ca="1" si="2"/>
        <v>4</v>
      </c>
      <c r="F5" cm="1">
        <f t="array" aca="1" ref="F5" ca="1">INDEX($S$2:$S$31, RANDBETWEEN(1, COUNTA($S$2:$S$31)))</f>
        <v>35000</v>
      </c>
      <c r="G5" cm="1">
        <f t="array" aca="1" ref="G5" ca="1">INDEX($S$2:$S$31, RANDBETWEEN(1, COUNTA($S$2:$S$31)))</f>
        <v>65000</v>
      </c>
      <c r="H5">
        <f t="shared" ca="1" si="3"/>
        <v>7</v>
      </c>
      <c r="I5">
        <f t="shared" ca="1" si="4"/>
        <v>65000</v>
      </c>
      <c r="J5" s="10" t="str">
        <f t="shared" ca="1" si="5"/>
        <v>Offline</v>
      </c>
      <c r="K5" s="10">
        <f t="shared" ca="1" si="6"/>
        <v>65000</v>
      </c>
      <c r="L5" s="10">
        <f t="shared" ca="1" si="7"/>
        <v>260000</v>
      </c>
      <c r="M5" s="12" t="str" cm="1">
        <f t="array" aca="1" ref="M5" ca="1">INDEX($R$33:$R$82, RANDBETWEEN(1, COUNTA($R$33:$R$82)))</f>
        <v>NV12</v>
      </c>
      <c r="N5">
        <f t="shared" ca="1" si="8"/>
        <v>13</v>
      </c>
      <c r="P5" s="9"/>
      <c r="Q5" s="14" t="s">
        <v>3</v>
      </c>
      <c r="R5" s="4" t="s">
        <v>224</v>
      </c>
      <c r="S5" s="5">
        <v>35000</v>
      </c>
      <c r="T5" s="17">
        <v>49000</v>
      </c>
    </row>
    <row r="6" spans="1:20" ht="16.8" x14ac:dyDescent="0.3">
      <c r="A6" s="7" t="str">
        <f t="shared" si="0"/>
        <v>S0005</v>
      </c>
      <c r="B6" s="8">
        <f t="shared" ca="1" si="1"/>
        <v>44424</v>
      </c>
      <c r="C6" s="15" t="str" cm="1">
        <f t="array" aca="1" ref="C6" ca="1">INDEX($Q$2:$Q$31, RANDBETWEEN(1, COUNTA($Q$2:$Q$31)))</f>
        <v>Americano</v>
      </c>
      <c r="D6" s="10" t="str" cm="1">
        <f t="array" aca="1" ref="D6" ca="1">INDEX($R$2:$R$310, RANDBETWEEN(1, COUNTA($Q$2:$Q$310)))</f>
        <v>L</v>
      </c>
      <c r="E6">
        <f t="shared" ca="1" si="2"/>
        <v>1</v>
      </c>
      <c r="F6" cm="1">
        <f t="array" aca="1" ref="F6" ca="1">INDEX($S$2:$S$31, RANDBETWEEN(1, COUNTA($S$2:$S$31)))</f>
        <v>55000</v>
      </c>
      <c r="G6" cm="1">
        <f t="array" aca="1" ref="G6" ca="1">INDEX($S$2:$S$31, RANDBETWEEN(1, COUNTA($S$2:$S$31)))</f>
        <v>55000</v>
      </c>
      <c r="H6">
        <f t="shared" ca="1" si="3"/>
        <v>8</v>
      </c>
      <c r="I6">
        <f t="shared" ca="1" si="4"/>
        <v>55000</v>
      </c>
      <c r="J6" s="10" t="str">
        <f t="shared" ca="1" si="5"/>
        <v>Offline</v>
      </c>
      <c r="K6" s="10">
        <f t="shared" ca="1" si="6"/>
        <v>55000</v>
      </c>
      <c r="L6" s="10">
        <f t="shared" ca="1" si="7"/>
        <v>55000</v>
      </c>
      <c r="M6" s="12" t="str" cm="1">
        <f t="array" aca="1" ref="M6" ca="1">INDEX($R$33:$R$82, RANDBETWEEN(1, COUNTA($R$33:$R$82)))</f>
        <v>NV6</v>
      </c>
      <c r="N6">
        <f t="shared" ca="1" si="8"/>
        <v>12</v>
      </c>
      <c r="P6" s="9"/>
      <c r="Q6" s="14" t="s">
        <v>3</v>
      </c>
      <c r="R6" s="4" t="s">
        <v>223</v>
      </c>
      <c r="S6" s="5">
        <v>39000</v>
      </c>
      <c r="T6" s="17">
        <v>55000</v>
      </c>
    </row>
    <row r="7" spans="1:20" ht="16.8" x14ac:dyDescent="0.3">
      <c r="A7" s="7" t="str">
        <f t="shared" si="0"/>
        <v>S0006</v>
      </c>
      <c r="B7" s="8">
        <f t="shared" ca="1" si="1"/>
        <v>44313</v>
      </c>
      <c r="C7" s="15" t="str" cm="1">
        <f t="array" aca="1" ref="C7" ca="1">INDEX($Q$2:$Q$31, RANDBETWEEN(1, COUNTA($Q$2:$Q$31)))</f>
        <v>Latte</v>
      </c>
      <c r="D7" s="10" t="str" cm="1">
        <f t="array" aca="1" ref="D7" ca="1">INDEX($R$2:$R$310, RANDBETWEEN(1, COUNTA($Q$2:$Q$310)))</f>
        <v>L</v>
      </c>
      <c r="E7">
        <f t="shared" ca="1" si="2"/>
        <v>5</v>
      </c>
      <c r="F7" cm="1">
        <f t="array" aca="1" ref="F7" ca="1">INDEX($S$2:$S$31, RANDBETWEEN(1, COUNTA($S$2:$S$31)))</f>
        <v>29000</v>
      </c>
      <c r="G7" cm="1">
        <f t="array" aca="1" ref="G7" ca="1">INDEX($S$2:$S$31, RANDBETWEEN(1, COUNTA($S$2:$S$31)))</f>
        <v>69000</v>
      </c>
      <c r="H7">
        <f t="shared" ca="1" si="3"/>
        <v>12</v>
      </c>
      <c r="I7">
        <f t="shared" ca="1" si="4"/>
        <v>69000</v>
      </c>
      <c r="J7" s="10" t="str">
        <f t="shared" ca="1" si="5"/>
        <v>Offline</v>
      </c>
      <c r="K7" s="10">
        <f t="shared" ca="1" si="6"/>
        <v>69000</v>
      </c>
      <c r="L7" s="10">
        <f t="shared" ca="1" si="7"/>
        <v>345000</v>
      </c>
      <c r="M7" s="12" t="str" cm="1">
        <f t="array" aca="1" ref="M7" ca="1">INDEX($R$33:$R$82, RANDBETWEEN(1, COUNTA($R$33:$R$82)))</f>
        <v>NV41</v>
      </c>
      <c r="N7">
        <f t="shared" ca="1" si="8"/>
        <v>35</v>
      </c>
      <c r="P7" s="9"/>
      <c r="Q7" s="14" t="s">
        <v>3</v>
      </c>
      <c r="R7" s="4" t="s">
        <v>222</v>
      </c>
      <c r="S7" s="5">
        <v>45000</v>
      </c>
      <c r="T7" s="17">
        <v>59000</v>
      </c>
    </row>
    <row r="8" spans="1:20" ht="16.8" x14ac:dyDescent="0.3">
      <c r="A8" s="7" t="str">
        <f t="shared" si="0"/>
        <v>S0007</v>
      </c>
      <c r="B8" s="8">
        <f ca="1">DATE(2021,1,1) + RANDBETWEEN(0,1095)</f>
        <v>45270</v>
      </c>
      <c r="C8" s="15" t="str" cm="1">
        <f t="array" aca="1" ref="C8" ca="1">INDEX($Q$2:$Q$31, RANDBETWEEN(1, COUNTA($Q$2:$Q$31)))</f>
        <v xml:space="preserve">Green Tea Freeze </v>
      </c>
      <c r="D8" s="10" t="str" cm="1">
        <f t="array" aca="1" ref="D8" ca="1">INDEX($R$2:$R$310, RANDBETWEEN(1, COUNTA($Q$2:$Q$310)))</f>
        <v>L</v>
      </c>
      <c r="E8">
        <f t="shared" ca="1" si="2"/>
        <v>2</v>
      </c>
      <c r="F8" cm="1">
        <f t="array" aca="1" ref="F8" ca="1">INDEX($S$2:$S$31, RANDBETWEEN(1, COUNTA($S$2:$S$31)))</f>
        <v>29000</v>
      </c>
      <c r="G8" cm="1">
        <f t="array" aca="1" ref="G8" ca="1">INDEX($S$2:$S$31, RANDBETWEEN(1, COUNTA($S$2:$S$31)))</f>
        <v>49000</v>
      </c>
      <c r="H8">
        <f t="shared" ca="1" si="3"/>
        <v>7</v>
      </c>
      <c r="I8">
        <f t="shared" ca="1" si="4"/>
        <v>26970</v>
      </c>
      <c r="J8" s="10" t="str">
        <f t="shared" ca="1" si="5"/>
        <v>Online</v>
      </c>
      <c r="K8" s="10">
        <f t="shared" ca="1" si="6"/>
        <v>26970</v>
      </c>
      <c r="L8" s="10">
        <f t="shared" ca="1" si="7"/>
        <v>53940</v>
      </c>
      <c r="M8" s="12" t="str" cm="1">
        <f t="array" aca="1" ref="M8" ca="1">INDEX($R$33:$R$82, RANDBETWEEN(1, COUNTA($R$33:$R$82)))</f>
        <v>NV2</v>
      </c>
      <c r="N8">
        <f t="shared" ca="1" si="8"/>
        <v>4</v>
      </c>
      <c r="P8" s="9"/>
      <c r="Q8" s="14" t="s">
        <v>4</v>
      </c>
      <c r="R8" s="4" t="s">
        <v>224</v>
      </c>
      <c r="S8" s="5">
        <v>55000</v>
      </c>
      <c r="T8">
        <v>65000</v>
      </c>
    </row>
    <row r="9" spans="1:20" ht="16.8" x14ac:dyDescent="0.3">
      <c r="A9" s="7" t="str">
        <f t="shared" si="0"/>
        <v>S0008</v>
      </c>
      <c r="B9" s="8">
        <f t="shared" ca="1" si="1"/>
        <v>44303</v>
      </c>
      <c r="C9" s="15" t="str" cm="1">
        <f t="array" aca="1" ref="C9" ca="1">INDEX($Q$2:$Q$31, RANDBETWEEN(1, COUNTA($Q$2:$Q$31)))</f>
        <v xml:space="preserve">Green Tea Freeze </v>
      </c>
      <c r="D9" s="10" t="str" cm="1">
        <f t="array" aca="1" ref="D9" ca="1">INDEX($R$2:$R$310, RANDBETWEEN(1, COUNTA($Q$2:$Q$310)))</f>
        <v>S</v>
      </c>
      <c r="E9">
        <f t="shared" ca="1" si="2"/>
        <v>1</v>
      </c>
      <c r="F9" cm="1">
        <f t="array" aca="1" ref="F9" ca="1">INDEX($S$2:$S$31, RANDBETWEEN(1, COUNTA($S$2:$S$31)))</f>
        <v>59000</v>
      </c>
      <c r="G9" cm="1">
        <f t="array" aca="1" ref="G9" ca="1">INDEX($S$2:$S$31, RANDBETWEEN(1, COUNTA($S$2:$S$31)))</f>
        <v>59000</v>
      </c>
      <c r="H9">
        <f t="shared" ca="1" si="3"/>
        <v>14</v>
      </c>
      <c r="I9">
        <f t="shared" ca="1" si="4"/>
        <v>50740</v>
      </c>
      <c r="J9" s="10" t="str">
        <f t="shared" ca="1" si="5"/>
        <v>Online</v>
      </c>
      <c r="K9" s="10">
        <f t="shared" ca="1" si="6"/>
        <v>50740</v>
      </c>
      <c r="L9" s="10">
        <f t="shared" ca="1" si="7"/>
        <v>50740</v>
      </c>
      <c r="M9" s="12" t="str" cm="1">
        <f t="array" aca="1" ref="M9" ca="1">INDEX($R$33:$R$82, RANDBETWEEN(1, COUNTA($R$33:$R$82)))</f>
        <v>NV23</v>
      </c>
      <c r="N9">
        <f t="shared" ca="1" si="8"/>
        <v>6</v>
      </c>
      <c r="P9" s="9"/>
      <c r="Q9" s="14" t="s">
        <v>4</v>
      </c>
      <c r="R9" s="4" t="s">
        <v>223</v>
      </c>
      <c r="S9" s="5">
        <v>65000</v>
      </c>
      <c r="T9">
        <v>75000</v>
      </c>
    </row>
    <row r="10" spans="1:20" ht="16.8" x14ac:dyDescent="0.3">
      <c r="A10" s="7" t="str">
        <f t="shared" si="0"/>
        <v>S0009</v>
      </c>
      <c r="B10" s="8">
        <f t="shared" ca="1" si="1"/>
        <v>44917</v>
      </c>
      <c r="C10" s="15" t="str" cm="1">
        <f t="array" aca="1" ref="C10" ca="1">INDEX($Q$2:$Q$31, RANDBETWEEN(1, COUNTA($Q$2:$Q$31)))</f>
        <v xml:space="preserve">Green Tea Freeze </v>
      </c>
      <c r="D10" s="10" t="str" cm="1">
        <f t="array" aca="1" ref="D10" ca="1">INDEX($R$2:$R$310, RANDBETWEEN(1, COUNTA($Q$2:$Q$310)))</f>
        <v>L</v>
      </c>
      <c r="E10">
        <f t="shared" ca="1" si="2"/>
        <v>1</v>
      </c>
      <c r="F10" cm="1">
        <f t="array" aca="1" ref="F10" ca="1">INDEX($S$2:$S$31, RANDBETWEEN(1, COUNTA($S$2:$S$31)))</f>
        <v>65000</v>
      </c>
      <c r="G10" cm="1">
        <f t="array" aca="1" ref="G10" ca="1">INDEX($S$2:$S$31, RANDBETWEEN(1, COUNTA($S$2:$S$31)))</f>
        <v>69000</v>
      </c>
      <c r="H10">
        <f t="shared" ca="1" si="3"/>
        <v>10</v>
      </c>
      <c r="I10">
        <f t="shared" ca="1" si="4"/>
        <v>58500</v>
      </c>
      <c r="J10" s="10" t="str">
        <f t="shared" ca="1" si="5"/>
        <v>Online</v>
      </c>
      <c r="K10" s="10">
        <f t="shared" ca="1" si="6"/>
        <v>58500</v>
      </c>
      <c r="L10" s="10">
        <f t="shared" ca="1" si="7"/>
        <v>58500</v>
      </c>
      <c r="M10" s="12" t="str" cm="1">
        <f t="array" aca="1" ref="M10" ca="1">INDEX($R$33:$R$82, RANDBETWEEN(1, COUNTA($R$33:$R$82)))</f>
        <v>NV21</v>
      </c>
      <c r="N10">
        <f t="shared" ca="1" si="8"/>
        <v>30</v>
      </c>
      <c r="P10" s="9"/>
      <c r="Q10" s="14" t="s">
        <v>4</v>
      </c>
      <c r="R10" s="4" t="s">
        <v>222</v>
      </c>
      <c r="S10" s="5">
        <v>69000</v>
      </c>
      <c r="T10">
        <v>79000</v>
      </c>
    </row>
    <row r="11" spans="1:20" ht="16.8" x14ac:dyDescent="0.3">
      <c r="A11" s="7" t="str">
        <f t="shared" si="0"/>
        <v>S0010</v>
      </c>
      <c r="B11" s="8">
        <f t="shared" ca="1" si="1"/>
        <v>45052</v>
      </c>
      <c r="C11" s="15" t="str" cm="1">
        <f t="array" aca="1" ref="C11" ca="1">INDEX($Q$2:$Q$31, RANDBETWEEN(1, COUNTA($Q$2:$Q$31)))</f>
        <v>Cookies &amp; Cream</v>
      </c>
      <c r="D11" s="10" t="str" cm="1">
        <f t="array" aca="1" ref="D11" ca="1">INDEX($R$2:$R$310, RANDBETWEEN(1, COUNTA($Q$2:$Q$310)))</f>
        <v>S</v>
      </c>
      <c r="E11">
        <f t="shared" ca="1" si="2"/>
        <v>4</v>
      </c>
      <c r="F11" cm="1">
        <f t="array" aca="1" ref="F11" ca="1">INDEX($S$2:$S$31, RANDBETWEEN(1, COUNTA($S$2:$S$31)))</f>
        <v>65000</v>
      </c>
      <c r="G11" cm="1">
        <f t="array" aca="1" ref="G11" ca="1">INDEX($S$2:$S$31, RANDBETWEEN(1, COUNTA($S$2:$S$31)))</f>
        <v>49000</v>
      </c>
      <c r="H11">
        <f t="shared" ca="1" si="3"/>
        <v>10</v>
      </c>
      <c r="I11">
        <f t="shared" ca="1" si="4"/>
        <v>49000</v>
      </c>
      <c r="J11" s="10" t="str">
        <f t="shared" ca="1" si="5"/>
        <v>Offline</v>
      </c>
      <c r="K11" s="10">
        <f t="shared" ca="1" si="6"/>
        <v>49000</v>
      </c>
      <c r="L11" s="10">
        <f t="shared" ca="1" si="7"/>
        <v>196000</v>
      </c>
      <c r="M11" s="12" t="str" cm="1">
        <f t="array" aca="1" ref="M11" ca="1">INDEX($R$33:$R$82, RANDBETWEEN(1, COUNTA($R$33:$R$82)))</f>
        <v>NV10</v>
      </c>
      <c r="N11">
        <f t="shared" ca="1" si="8"/>
        <v>43</v>
      </c>
      <c r="P11" s="9"/>
      <c r="Q11" s="14" t="s">
        <v>5</v>
      </c>
      <c r="R11" s="4" t="s">
        <v>224</v>
      </c>
      <c r="S11" s="5">
        <v>55000</v>
      </c>
      <c r="T11">
        <v>65000</v>
      </c>
    </row>
    <row r="12" spans="1:20" ht="16.8" x14ac:dyDescent="0.3">
      <c r="A12" s="7" t="str">
        <f t="shared" si="0"/>
        <v>S0011</v>
      </c>
      <c r="B12" s="8">
        <f t="shared" ca="1" si="1"/>
        <v>45015</v>
      </c>
      <c r="C12" s="15" t="str" cm="1">
        <f t="array" aca="1" ref="C12" ca="1">INDEX($Q$2:$Q$31, RANDBETWEEN(1, COUNTA($Q$2:$Q$31)))</f>
        <v>Mocha</v>
      </c>
      <c r="D12" s="10" t="str" cm="1">
        <f t="array" aca="1" ref="D12" ca="1">INDEX($R$2:$R$310, RANDBETWEEN(1, COUNTA($Q$2:$Q$310)))</f>
        <v>L</v>
      </c>
      <c r="E12">
        <f t="shared" ca="1" si="2"/>
        <v>5</v>
      </c>
      <c r="F12" cm="1">
        <f t="array" aca="1" ref="F12" ca="1">INDEX($S$2:$S$31, RANDBETWEEN(1, COUNTA($S$2:$S$31)))</f>
        <v>69000</v>
      </c>
      <c r="G12" cm="1">
        <f t="array" aca="1" ref="G12" ca="1">INDEX($S$2:$S$31, RANDBETWEEN(1, COUNTA($S$2:$S$31)))</f>
        <v>49000</v>
      </c>
      <c r="H12">
        <f t="shared" ca="1" si="3"/>
        <v>6</v>
      </c>
      <c r="I12">
        <f t="shared" ca="1" si="4"/>
        <v>64859.999999999993</v>
      </c>
      <c r="J12" s="10" t="str">
        <f t="shared" ca="1" si="5"/>
        <v>Online</v>
      </c>
      <c r="K12" s="10">
        <f t="shared" ca="1" si="6"/>
        <v>64859.999999999993</v>
      </c>
      <c r="L12" s="10">
        <f t="shared" ca="1" si="7"/>
        <v>324299.99999999994</v>
      </c>
      <c r="M12" s="12" t="str" cm="1">
        <f t="array" aca="1" ref="M12" ca="1">INDEX($R$33:$R$82, RANDBETWEEN(1, COUNTA($R$33:$R$82)))</f>
        <v>NV22</v>
      </c>
      <c r="N12">
        <f t="shared" ca="1" si="8"/>
        <v>31</v>
      </c>
      <c r="P12" s="9"/>
      <c r="Q12" s="14" t="s">
        <v>5</v>
      </c>
      <c r="R12" s="4" t="s">
        <v>223</v>
      </c>
      <c r="S12" s="5">
        <v>65000</v>
      </c>
      <c r="T12">
        <v>75000</v>
      </c>
    </row>
    <row r="13" spans="1:20" ht="16.8" x14ac:dyDescent="0.3">
      <c r="A13" s="7" t="str">
        <f t="shared" si="0"/>
        <v>S0012</v>
      </c>
      <c r="B13" s="8">
        <f t="shared" ca="1" si="1"/>
        <v>44456</v>
      </c>
      <c r="C13" s="15" t="str" cm="1">
        <f t="array" aca="1" ref="C13" ca="1">INDEX($Q$2:$Q$31, RANDBETWEEN(1, COUNTA($Q$2:$Q$31)))</f>
        <v xml:space="preserve">Chocolate Freeze </v>
      </c>
      <c r="D13" s="10" t="str" cm="1">
        <f t="array" aca="1" ref="D13" ca="1">INDEX($R$2:$R$310, RANDBETWEEN(1, COUNTA($Q$2:$Q$310)))</f>
        <v>S</v>
      </c>
      <c r="E13">
        <f t="shared" ca="1" si="2"/>
        <v>1</v>
      </c>
      <c r="F13" cm="1">
        <f t="array" aca="1" ref="F13" ca="1">INDEX($S$2:$S$31, RANDBETWEEN(1, COUNTA($S$2:$S$31)))</f>
        <v>59000</v>
      </c>
      <c r="G13" cm="1">
        <f t="array" aca="1" ref="G13" ca="1">INDEX($S$2:$S$31, RANDBETWEEN(1, COUNTA($S$2:$S$31)))</f>
        <v>65000</v>
      </c>
      <c r="H13">
        <f t="shared" ca="1" si="3"/>
        <v>15</v>
      </c>
      <c r="I13">
        <f t="shared" ca="1" si="4"/>
        <v>50150</v>
      </c>
      <c r="J13" s="10" t="str">
        <f t="shared" ca="1" si="5"/>
        <v>Online</v>
      </c>
      <c r="K13" s="10">
        <f t="shared" ca="1" si="6"/>
        <v>50150</v>
      </c>
      <c r="L13" s="10">
        <f t="shared" ca="1" si="7"/>
        <v>50150</v>
      </c>
      <c r="M13" s="12" t="str" cm="1">
        <f t="array" aca="1" ref="M13" ca="1">INDEX($R$33:$R$82, RANDBETWEEN(1, COUNTA($R$33:$R$82)))</f>
        <v>NV46</v>
      </c>
      <c r="N13">
        <f t="shared" ca="1" si="8"/>
        <v>30</v>
      </c>
      <c r="P13" s="9"/>
      <c r="Q13" s="14" t="s">
        <v>5</v>
      </c>
      <c r="R13" s="4" t="s">
        <v>222</v>
      </c>
      <c r="S13" s="5">
        <v>69000</v>
      </c>
      <c r="T13">
        <v>79000</v>
      </c>
    </row>
    <row r="14" spans="1:20" ht="16.8" x14ac:dyDescent="0.3">
      <c r="A14" s="7" t="str">
        <f t="shared" si="0"/>
        <v>S0013</v>
      </c>
      <c r="B14" s="8">
        <f t="shared" ca="1" si="1"/>
        <v>45078</v>
      </c>
      <c r="C14" s="15" t="str" cm="1">
        <f t="array" aca="1" ref="C14" ca="1">INDEX($Q$2:$Q$31, RANDBETWEEN(1, COUNTA($Q$2:$Q$31)))</f>
        <v>Latte</v>
      </c>
      <c r="D14" s="10" t="str" cm="1">
        <f t="array" aca="1" ref="D14" ca="1">INDEX($R$2:$R$310, RANDBETWEEN(1, COUNTA($Q$2:$Q$310)))</f>
        <v>M</v>
      </c>
      <c r="E14">
        <f t="shared" ca="1" si="2"/>
        <v>3</v>
      </c>
      <c r="F14" cm="1">
        <f t="array" aca="1" ref="F14" ca="1">INDEX($S$2:$S$31, RANDBETWEEN(1, COUNTA($S$2:$S$31)))</f>
        <v>55000</v>
      </c>
      <c r="G14" cm="1">
        <f t="array" aca="1" ref="G14" ca="1">INDEX($S$2:$S$31, RANDBETWEEN(1, COUNTA($S$2:$S$31)))</f>
        <v>59000</v>
      </c>
      <c r="H14">
        <f t="shared" ca="1" si="3"/>
        <v>13</v>
      </c>
      <c r="I14">
        <f t="shared" ca="1" si="4"/>
        <v>47850</v>
      </c>
      <c r="J14" s="10" t="str">
        <f t="shared" ca="1" si="5"/>
        <v>Online</v>
      </c>
      <c r="K14" s="10">
        <f t="shared" ca="1" si="6"/>
        <v>47850</v>
      </c>
      <c r="L14" s="10">
        <f t="shared" ca="1" si="7"/>
        <v>143550</v>
      </c>
      <c r="M14" s="12" t="str" cm="1">
        <f t="array" aca="1" ref="M14" ca="1">INDEX($R$33:$R$82, RANDBETWEEN(1, COUNTA($R$33:$R$82)))</f>
        <v>NV32</v>
      </c>
      <c r="N14">
        <f t="shared" ca="1" si="8"/>
        <v>40</v>
      </c>
      <c r="P14" s="9"/>
      <c r="Q14" s="14" t="s">
        <v>6</v>
      </c>
      <c r="R14" s="4" t="s">
        <v>224</v>
      </c>
      <c r="S14" s="5">
        <v>59000</v>
      </c>
      <c r="T14">
        <v>65000</v>
      </c>
    </row>
    <row r="15" spans="1:20" ht="16.8" x14ac:dyDescent="0.3">
      <c r="A15" s="7" t="str">
        <f t="shared" si="0"/>
        <v>S0014</v>
      </c>
      <c r="B15" s="8">
        <f t="shared" ca="1" si="1"/>
        <v>45054</v>
      </c>
      <c r="C15" s="15" t="str" cm="1">
        <f t="array" aca="1" ref="C15" ca="1">INDEX($Q$2:$Q$31, RANDBETWEEN(1, COUNTA($Q$2:$Q$31)))</f>
        <v>Classic Phin Freeze</v>
      </c>
      <c r="D15" s="10" t="str" cm="1">
        <f t="array" aca="1" ref="D15" ca="1">INDEX($R$2:$R$310, RANDBETWEEN(1, COUNTA($Q$2:$Q$310)))</f>
        <v>S</v>
      </c>
      <c r="E15">
        <f t="shared" ca="1" si="2"/>
        <v>3</v>
      </c>
      <c r="F15" cm="1">
        <f t="array" aca="1" ref="F15" ca="1">INDEX($S$2:$S$31, RANDBETWEEN(1, COUNTA($S$2:$S$31)))</f>
        <v>49000</v>
      </c>
      <c r="G15" cm="1">
        <f t="array" aca="1" ref="G15" ca="1">INDEX($S$2:$S$31, RANDBETWEEN(1, COUNTA($S$2:$S$31)))</f>
        <v>55000</v>
      </c>
      <c r="H15">
        <f t="shared" ca="1" si="3"/>
        <v>7</v>
      </c>
      <c r="I15">
        <f t="shared" ca="1" si="4"/>
        <v>55000</v>
      </c>
      <c r="J15" s="10" t="str">
        <f t="shared" ca="1" si="5"/>
        <v>Offline</v>
      </c>
      <c r="K15" s="10">
        <f t="shared" ca="1" si="6"/>
        <v>55000</v>
      </c>
      <c r="L15" s="10">
        <f t="shared" ca="1" si="7"/>
        <v>165000</v>
      </c>
      <c r="M15" s="12" t="str" cm="1">
        <f t="array" aca="1" ref="M15" ca="1">INDEX($R$33:$R$82, RANDBETWEEN(1, COUNTA($R$33:$R$82)))</f>
        <v>NV13</v>
      </c>
      <c r="N15">
        <f t="shared" ca="1" si="8"/>
        <v>25</v>
      </c>
      <c r="P15" s="9"/>
      <c r="Q15" s="14" t="s">
        <v>6</v>
      </c>
      <c r="R15" s="4" t="s">
        <v>223</v>
      </c>
      <c r="S15" s="5">
        <v>69000</v>
      </c>
      <c r="T15">
        <v>75000</v>
      </c>
    </row>
    <row r="16" spans="1:20" ht="16.8" x14ac:dyDescent="0.3">
      <c r="A16" s="7" t="str">
        <f t="shared" si="0"/>
        <v>S0015</v>
      </c>
      <c r="B16" s="8">
        <f t="shared" ca="1" si="1"/>
        <v>44643</v>
      </c>
      <c r="C16" s="15" t="str" cm="1">
        <f t="array" aca="1" ref="C16" ca="1">INDEX($Q$2:$Q$31, RANDBETWEEN(1, COUNTA($Q$2:$Q$31)))</f>
        <v xml:space="preserve">Green Tea Freeze </v>
      </c>
      <c r="D16" s="10" t="str" cm="1">
        <f t="array" aca="1" ref="D16" ca="1">INDEX($R$2:$R$310, RANDBETWEEN(1, COUNTA($Q$2:$Q$310)))</f>
        <v>M</v>
      </c>
      <c r="E16">
        <f t="shared" ca="1" si="2"/>
        <v>1</v>
      </c>
      <c r="F16" cm="1">
        <f t="array" aca="1" ref="F16" ca="1">INDEX($S$2:$S$31, RANDBETWEEN(1, COUNTA($S$2:$S$31)))</f>
        <v>35000</v>
      </c>
      <c r="G16" cm="1">
        <f t="array" aca="1" ref="G16" ca="1">INDEX($S$2:$S$31, RANDBETWEEN(1, COUNTA($S$2:$S$31)))</f>
        <v>39000</v>
      </c>
      <c r="H16">
        <f t="shared" ca="1" si="3"/>
        <v>5</v>
      </c>
      <c r="I16">
        <f t="shared" ca="1" si="4"/>
        <v>39000</v>
      </c>
      <c r="J16" s="10" t="str">
        <f t="shared" ca="1" si="5"/>
        <v>Offline</v>
      </c>
      <c r="K16" s="10">
        <f t="shared" ca="1" si="6"/>
        <v>39000</v>
      </c>
      <c r="L16" s="10">
        <f t="shared" ca="1" si="7"/>
        <v>39000</v>
      </c>
      <c r="M16" s="12" t="str" cm="1">
        <f t="array" aca="1" ref="M16" ca="1">INDEX($R$33:$R$82, RANDBETWEEN(1, COUNTA($R$33:$R$82)))</f>
        <v>NV4</v>
      </c>
      <c r="N16">
        <f t="shared" ca="1" si="8"/>
        <v>25</v>
      </c>
      <c r="P16" s="9"/>
      <c r="Q16" s="14" t="s">
        <v>6</v>
      </c>
      <c r="R16" s="4" t="s">
        <v>222</v>
      </c>
      <c r="S16" s="5">
        <v>75000</v>
      </c>
      <c r="T16">
        <v>79000</v>
      </c>
    </row>
    <row r="17" spans="1:20" ht="16.8" x14ac:dyDescent="0.3">
      <c r="A17" s="7" t="str">
        <f t="shared" si="0"/>
        <v>S0016</v>
      </c>
      <c r="B17" s="8">
        <f t="shared" ca="1" si="1"/>
        <v>44967</v>
      </c>
      <c r="C17" s="15" t="str" cm="1">
        <f t="array" aca="1" ref="C17" ca="1">INDEX($Q$2:$Q$31, RANDBETWEEN(1, COUNTA($Q$2:$Q$31)))</f>
        <v>Latte</v>
      </c>
      <c r="D17" s="10" t="str" cm="1">
        <f t="array" aca="1" ref="D17" ca="1">INDEX($R$2:$R$310, RANDBETWEEN(1, COUNTA($Q$2:$Q$310)))</f>
        <v>S</v>
      </c>
      <c r="E17">
        <f t="shared" ca="1" si="2"/>
        <v>4</v>
      </c>
      <c r="F17" cm="1">
        <f t="array" aca="1" ref="F17" ca="1">INDEX($S$2:$S$31, RANDBETWEEN(1, COUNTA($S$2:$S$31)))</f>
        <v>55000</v>
      </c>
      <c r="G17" cm="1">
        <f t="array" aca="1" ref="G17" ca="1">INDEX($S$2:$S$31, RANDBETWEEN(1, COUNTA($S$2:$S$31)))</f>
        <v>45000</v>
      </c>
      <c r="H17">
        <f t="shared" ca="1" si="3"/>
        <v>14</v>
      </c>
      <c r="I17">
        <f t="shared" ca="1" si="4"/>
        <v>45000</v>
      </c>
      <c r="J17" s="10" t="str">
        <f t="shared" ca="1" si="5"/>
        <v>Offline</v>
      </c>
      <c r="K17" s="10">
        <f t="shared" ca="1" si="6"/>
        <v>45000</v>
      </c>
      <c r="L17" s="10">
        <f t="shared" ca="1" si="7"/>
        <v>180000</v>
      </c>
      <c r="M17" s="12" t="str" cm="1">
        <f t="array" aca="1" ref="M17" ca="1">INDEX($R$33:$R$82, RANDBETWEEN(1, COUNTA($R$33:$R$82)))</f>
        <v>NV25</v>
      </c>
      <c r="N17">
        <f t="shared" ca="1" si="8"/>
        <v>8</v>
      </c>
      <c r="P17" s="9"/>
      <c r="Q17" s="14" t="s">
        <v>271</v>
      </c>
      <c r="R17" s="4" t="s">
        <v>224</v>
      </c>
      <c r="S17" s="5">
        <v>49000</v>
      </c>
      <c r="T17">
        <v>69000</v>
      </c>
    </row>
    <row r="18" spans="1:20" ht="16.8" x14ac:dyDescent="0.3">
      <c r="A18" s="7" t="str">
        <f t="shared" si="0"/>
        <v>S0017</v>
      </c>
      <c r="B18" s="8">
        <f t="shared" ca="1" si="1"/>
        <v>44216</v>
      </c>
      <c r="C18" s="15" t="str" cm="1">
        <f t="array" aca="1" ref="C18" ca="1">INDEX($Q$2:$Q$31, RANDBETWEEN(1, COUNTA($Q$2:$Q$31)))</f>
        <v xml:space="preserve">Chocolate Freeze </v>
      </c>
      <c r="D18" s="10" t="str" cm="1">
        <f t="array" aca="1" ref="D18" ca="1">INDEX($R$2:$R$310, RANDBETWEEN(1, COUNTA($Q$2:$Q$310)))</f>
        <v>L</v>
      </c>
      <c r="E18">
        <f t="shared" ca="1" si="2"/>
        <v>2</v>
      </c>
      <c r="F18" cm="1">
        <f t="array" aca="1" ref="F18" ca="1">INDEX($S$2:$S$31, RANDBETWEEN(1, COUNTA($S$2:$S$31)))</f>
        <v>39000</v>
      </c>
      <c r="G18" cm="1">
        <f t="array" aca="1" ref="G18" ca="1">INDEX($S$2:$S$31, RANDBETWEEN(1, COUNTA($S$2:$S$31)))</f>
        <v>59000</v>
      </c>
      <c r="H18">
        <f t="shared" ca="1" si="3"/>
        <v>11</v>
      </c>
      <c r="I18">
        <f t="shared" ca="1" si="4"/>
        <v>59000</v>
      </c>
      <c r="J18" s="10" t="str">
        <f t="shared" ca="1" si="5"/>
        <v>Offline</v>
      </c>
      <c r="K18" s="10">
        <f t="shared" ca="1" si="6"/>
        <v>59000</v>
      </c>
      <c r="L18" s="10">
        <f t="shared" ca="1" si="7"/>
        <v>118000</v>
      </c>
      <c r="M18" s="12" t="str" cm="1">
        <f t="array" aca="1" ref="M18" ca="1">INDEX($R$33:$R$82, RANDBETWEEN(1, COUNTA($R$33:$R$82)))</f>
        <v>NV32</v>
      </c>
      <c r="N18">
        <f t="shared" ca="1" si="8"/>
        <v>26</v>
      </c>
      <c r="P18" s="9"/>
      <c r="Q18" s="14" t="s">
        <v>271</v>
      </c>
      <c r="R18" s="4" t="s">
        <v>223</v>
      </c>
      <c r="S18" s="5">
        <v>59000</v>
      </c>
      <c r="T18">
        <v>74000</v>
      </c>
    </row>
    <row r="19" spans="1:20" ht="16.8" x14ac:dyDescent="0.3">
      <c r="A19" s="7" t="str">
        <f t="shared" si="0"/>
        <v>S0018</v>
      </c>
      <c r="B19" s="8">
        <f t="shared" ca="1" si="1"/>
        <v>44881</v>
      </c>
      <c r="C19" s="15" t="str" cm="1">
        <f t="array" aca="1" ref="C19" ca="1">INDEX($Q$2:$Q$31, RANDBETWEEN(1, COUNTA($Q$2:$Q$31)))</f>
        <v>Americano</v>
      </c>
      <c r="D19" s="10" t="str" cm="1">
        <f t="array" aca="1" ref="D19" ca="1">INDEX($R$2:$R$310, RANDBETWEEN(1, COUNTA($Q$2:$Q$310)))</f>
        <v>L</v>
      </c>
      <c r="E19">
        <f t="shared" ca="1" si="2"/>
        <v>1</v>
      </c>
      <c r="F19" cm="1">
        <f t="array" aca="1" ref="F19" ca="1">INDEX($S$2:$S$31, RANDBETWEEN(1, COUNTA($S$2:$S$31)))</f>
        <v>65000</v>
      </c>
      <c r="G19" cm="1">
        <f t="array" aca="1" ref="G19" ca="1">INDEX($S$2:$S$31, RANDBETWEEN(1, COUNTA($S$2:$S$31)))</f>
        <v>65000</v>
      </c>
      <c r="H19">
        <f t="shared" ca="1" si="3"/>
        <v>9</v>
      </c>
      <c r="I19">
        <f t="shared" ca="1" si="4"/>
        <v>65000</v>
      </c>
      <c r="J19" s="10" t="str">
        <f t="shared" ca="1" si="5"/>
        <v>Offline</v>
      </c>
      <c r="K19" s="10">
        <f t="shared" ca="1" si="6"/>
        <v>65000</v>
      </c>
      <c r="L19" s="10">
        <f t="shared" ca="1" si="7"/>
        <v>65000</v>
      </c>
      <c r="M19" s="12" t="str" cm="1">
        <f t="array" aca="1" ref="M19" ca="1">INDEX($R$33:$R$82, RANDBETWEEN(1, COUNTA($R$33:$R$82)))</f>
        <v>NV33</v>
      </c>
      <c r="N19">
        <f t="shared" ca="1" si="8"/>
        <v>44</v>
      </c>
      <c r="P19" s="9"/>
      <c r="Q19" s="14" t="s">
        <v>271</v>
      </c>
      <c r="R19" s="4" t="s">
        <v>222</v>
      </c>
      <c r="S19" s="5">
        <v>65000</v>
      </c>
      <c r="T19">
        <v>79000</v>
      </c>
    </row>
    <row r="20" spans="1:20" ht="16.8" x14ac:dyDescent="0.3">
      <c r="A20" s="7" t="str">
        <f t="shared" si="0"/>
        <v>S0019</v>
      </c>
      <c r="B20" s="8">
        <f t="shared" ca="1" si="1"/>
        <v>44862</v>
      </c>
      <c r="C20" s="15" t="str" cm="1">
        <f t="array" aca="1" ref="C20" ca="1">INDEX($Q$2:$Q$31, RANDBETWEEN(1, COUNTA($Q$2:$Q$31)))</f>
        <v>Americano</v>
      </c>
      <c r="D20" s="10" t="str" cm="1">
        <f t="array" aca="1" ref="D20" ca="1">INDEX($R$2:$R$310, RANDBETWEEN(1, COUNTA($Q$2:$Q$310)))</f>
        <v>S</v>
      </c>
      <c r="E20">
        <f t="shared" ca="1" si="2"/>
        <v>3</v>
      </c>
      <c r="F20" cm="1">
        <f t="array" aca="1" ref="F20" ca="1">INDEX($S$2:$S$31, RANDBETWEEN(1, COUNTA($S$2:$S$31)))</f>
        <v>49000</v>
      </c>
      <c r="G20" cm="1">
        <f t="array" aca="1" ref="G20" ca="1">INDEX($S$2:$S$31, RANDBETWEEN(1, COUNTA($S$2:$S$31)))</f>
        <v>59000</v>
      </c>
      <c r="H20">
        <f t="shared" ca="1" si="3"/>
        <v>8</v>
      </c>
      <c r="I20">
        <f t="shared" ca="1" si="4"/>
        <v>45080</v>
      </c>
      <c r="J20" s="10" t="str">
        <f t="shared" ca="1" si="5"/>
        <v>Online</v>
      </c>
      <c r="K20" s="10">
        <f t="shared" ca="1" si="6"/>
        <v>45080</v>
      </c>
      <c r="L20" s="10">
        <f t="shared" ca="1" si="7"/>
        <v>135240</v>
      </c>
      <c r="M20" s="12" t="str" cm="1">
        <f t="array" aca="1" ref="M20" ca="1">INDEX($R$33:$R$82, RANDBETWEEN(1, COUNTA($R$33:$R$82)))</f>
        <v>NV17</v>
      </c>
      <c r="N20">
        <f t="shared" ca="1" si="8"/>
        <v>46</v>
      </c>
      <c r="P20" s="9"/>
      <c r="Q20" s="14" t="s">
        <v>273</v>
      </c>
      <c r="R20" s="4" t="s">
        <v>224</v>
      </c>
      <c r="S20" s="17">
        <v>49000</v>
      </c>
      <c r="T20">
        <v>69000</v>
      </c>
    </row>
    <row r="21" spans="1:20" ht="16.8" x14ac:dyDescent="0.3">
      <c r="A21" s="7" t="str">
        <f t="shared" si="0"/>
        <v>S0020</v>
      </c>
      <c r="B21" s="8">
        <f t="shared" ca="1" si="1"/>
        <v>44898</v>
      </c>
      <c r="C21" s="15" t="str" cm="1">
        <f t="array" aca="1" ref="C21" ca="1">INDEX($Q$2:$Q$31, RANDBETWEEN(1, COUNTA($Q$2:$Q$31)))</f>
        <v xml:space="preserve">Chocolate Freeze </v>
      </c>
      <c r="D21" s="10" t="str" cm="1">
        <f t="array" aca="1" ref="D21" ca="1">INDEX($R$2:$R$310, RANDBETWEEN(1, COUNTA($Q$2:$Q$310)))</f>
        <v>S</v>
      </c>
      <c r="E21">
        <f t="shared" ca="1" si="2"/>
        <v>4</v>
      </c>
      <c r="F21" cm="1">
        <f t="array" aca="1" ref="F21" ca="1">INDEX($S$2:$S$31, RANDBETWEEN(1, COUNTA($S$2:$S$31)))</f>
        <v>59000</v>
      </c>
      <c r="G21" cm="1">
        <f t="array" aca="1" ref="G21" ca="1">INDEX($S$2:$S$31, RANDBETWEEN(1, COUNTA($S$2:$S$31)))</f>
        <v>49000</v>
      </c>
      <c r="H21">
        <f t="shared" ca="1" si="3"/>
        <v>8</v>
      </c>
      <c r="I21">
        <f t="shared" ca="1" si="4"/>
        <v>54280</v>
      </c>
      <c r="J21" s="10" t="str">
        <f t="shared" ca="1" si="5"/>
        <v>Online</v>
      </c>
      <c r="K21" s="10">
        <f t="shared" ca="1" si="6"/>
        <v>54280</v>
      </c>
      <c r="L21" s="10">
        <f t="shared" ca="1" si="7"/>
        <v>217120</v>
      </c>
      <c r="M21" s="12" t="str" cm="1">
        <f t="array" aca="1" ref="M21" ca="1">INDEX($R$33:$R$82, RANDBETWEEN(1, COUNTA($R$33:$R$82)))</f>
        <v>NV19</v>
      </c>
      <c r="N21">
        <f t="shared" ca="1" si="8"/>
        <v>15</v>
      </c>
      <c r="P21" s="9"/>
      <c r="Q21" s="14" t="s">
        <v>273</v>
      </c>
      <c r="R21" s="4" t="s">
        <v>223</v>
      </c>
      <c r="S21" s="17">
        <v>59000</v>
      </c>
      <c r="T21">
        <v>75000</v>
      </c>
    </row>
    <row r="22" spans="1:20" ht="16.8" x14ac:dyDescent="0.3">
      <c r="A22" s="7" t="str">
        <f t="shared" si="0"/>
        <v>S0021</v>
      </c>
      <c r="B22" s="8">
        <f t="shared" ca="1" si="1"/>
        <v>45177</v>
      </c>
      <c r="C22" s="15" t="str" cm="1">
        <f t="array" aca="1" ref="C22" ca="1">INDEX($Q$2:$Q$31, RANDBETWEEN(1, COUNTA($Q$2:$Q$31)))</f>
        <v>Cookies &amp; Cream</v>
      </c>
      <c r="D22" s="10" t="str" cm="1">
        <f t="array" aca="1" ref="D22" ca="1">INDEX($R$2:$R$310, RANDBETWEEN(1, COUNTA($Q$2:$Q$310)))</f>
        <v>S</v>
      </c>
      <c r="E22">
        <f t="shared" ca="1" si="2"/>
        <v>1</v>
      </c>
      <c r="F22" cm="1">
        <f t="array" aca="1" ref="F22" ca="1">INDEX($S$2:$S$31, RANDBETWEEN(1, COUNTA($S$2:$S$31)))</f>
        <v>49000</v>
      </c>
      <c r="G22" cm="1">
        <f t="array" aca="1" ref="G22" ca="1">INDEX($S$2:$S$31, RANDBETWEEN(1, COUNTA($S$2:$S$31)))</f>
        <v>35000</v>
      </c>
      <c r="H22">
        <f t="shared" ca="1" si="3"/>
        <v>5</v>
      </c>
      <c r="I22">
        <f t="shared" ca="1" si="4"/>
        <v>35000</v>
      </c>
      <c r="J22" s="10" t="str">
        <f t="shared" ca="1" si="5"/>
        <v>Offline</v>
      </c>
      <c r="K22" s="10">
        <f t="shared" ca="1" si="6"/>
        <v>35000</v>
      </c>
      <c r="L22" s="10">
        <f t="shared" ca="1" si="7"/>
        <v>35000</v>
      </c>
      <c r="M22" s="12" t="str" cm="1">
        <f t="array" aca="1" ref="M22" ca="1">INDEX($R$33:$R$82, RANDBETWEEN(1, COUNTA($R$33:$R$82)))</f>
        <v>NV42</v>
      </c>
      <c r="N22">
        <f t="shared" ca="1" si="8"/>
        <v>32</v>
      </c>
      <c r="Q22" s="14" t="s">
        <v>273</v>
      </c>
      <c r="R22" s="4" t="s">
        <v>222</v>
      </c>
      <c r="S22" s="17">
        <v>65000</v>
      </c>
      <c r="T22">
        <v>79000</v>
      </c>
    </row>
    <row r="23" spans="1:20" ht="16.8" x14ac:dyDescent="0.3">
      <c r="A23" s="7" t="str">
        <f t="shared" si="0"/>
        <v>S0022</v>
      </c>
      <c r="B23" s="8">
        <f t="shared" ca="1" si="1"/>
        <v>45097</v>
      </c>
      <c r="C23" s="15" t="str" cm="1">
        <f t="array" aca="1" ref="C23" ca="1">INDEX($Q$2:$Q$31, RANDBETWEEN(1, COUNTA($Q$2:$Q$31)))</f>
        <v>Latte</v>
      </c>
      <c r="D23" s="10" t="str" cm="1">
        <f t="array" aca="1" ref="D23" ca="1">INDEX($R$2:$R$310, RANDBETWEEN(1, COUNTA($Q$2:$Q$310)))</f>
        <v>L</v>
      </c>
      <c r="E23">
        <f t="shared" ca="1" si="2"/>
        <v>5</v>
      </c>
      <c r="F23" cm="1">
        <f t="array" aca="1" ref="F23" ca="1">INDEX($S$2:$S$31, RANDBETWEEN(1, COUNTA($S$2:$S$31)))</f>
        <v>45000</v>
      </c>
      <c r="G23" cm="1">
        <f t="array" aca="1" ref="G23" ca="1">INDEX($S$2:$S$31, RANDBETWEEN(1, COUNTA($S$2:$S$31)))</f>
        <v>65000</v>
      </c>
      <c r="H23">
        <f t="shared" ca="1" si="3"/>
        <v>15</v>
      </c>
      <c r="I23">
        <f t="shared" ca="1" si="4"/>
        <v>65000</v>
      </c>
      <c r="J23" s="10" t="str">
        <f t="shared" ca="1" si="5"/>
        <v>Offline</v>
      </c>
      <c r="K23" s="10">
        <f t="shared" ca="1" si="6"/>
        <v>65000</v>
      </c>
      <c r="L23" s="10">
        <f t="shared" ca="1" si="7"/>
        <v>325000</v>
      </c>
      <c r="M23" s="12" t="str" cm="1">
        <f t="array" aca="1" ref="M23" ca="1">INDEX($R$33:$R$82, RANDBETWEEN(1, COUNTA($R$33:$R$82)))</f>
        <v>NV49</v>
      </c>
      <c r="N23">
        <f t="shared" ca="1" si="8"/>
        <v>8</v>
      </c>
      <c r="Q23" s="14" t="s">
        <v>275</v>
      </c>
      <c r="R23" s="4" t="s">
        <v>224</v>
      </c>
      <c r="S23" s="17">
        <v>49000</v>
      </c>
      <c r="T23">
        <v>59000</v>
      </c>
    </row>
    <row r="24" spans="1:20" ht="16.8" x14ac:dyDescent="0.3">
      <c r="A24" s="7" t="str">
        <f t="shared" si="0"/>
        <v>S0023</v>
      </c>
      <c r="B24" s="8">
        <f t="shared" ca="1" si="1"/>
        <v>44328</v>
      </c>
      <c r="C24" s="15" t="str" cm="1">
        <f t="array" aca="1" ref="C24" ca="1">INDEX($Q$2:$Q$31, RANDBETWEEN(1, COUNTA($Q$2:$Q$31)))</f>
        <v>Classic Phin Freeze</v>
      </c>
      <c r="D24" s="10" t="str" cm="1">
        <f t="array" aca="1" ref="D24" ca="1">INDEX($R$2:$R$310, RANDBETWEEN(1, COUNTA($Q$2:$Q$310)))</f>
        <v>M</v>
      </c>
      <c r="E24">
        <f t="shared" ca="1" si="2"/>
        <v>2</v>
      </c>
      <c r="F24" cm="1">
        <f t="array" aca="1" ref="F24" ca="1">INDEX($S$2:$S$31, RANDBETWEEN(1, COUNTA($S$2:$S$31)))</f>
        <v>69000</v>
      </c>
      <c r="G24" cm="1">
        <f t="array" aca="1" ref="G24" ca="1">INDEX($S$2:$S$31, RANDBETWEEN(1, COUNTA($S$2:$S$31)))</f>
        <v>39000</v>
      </c>
      <c r="H24">
        <f t="shared" ca="1" si="3"/>
        <v>7</v>
      </c>
      <c r="I24">
        <f t="shared" ca="1" si="4"/>
        <v>39000</v>
      </c>
      <c r="J24" s="10" t="str">
        <f t="shared" ca="1" si="5"/>
        <v>Offline</v>
      </c>
      <c r="K24" s="10">
        <f t="shared" ca="1" si="6"/>
        <v>39000</v>
      </c>
      <c r="L24" s="10">
        <f t="shared" ca="1" si="7"/>
        <v>78000</v>
      </c>
      <c r="M24" s="12" t="str" cm="1">
        <f t="array" aca="1" ref="M24" ca="1">INDEX($R$33:$R$82, RANDBETWEEN(1, COUNTA($R$33:$R$82)))</f>
        <v>NV39</v>
      </c>
      <c r="N24">
        <f t="shared" ca="1" si="8"/>
        <v>44</v>
      </c>
      <c r="Q24" s="14" t="s">
        <v>275</v>
      </c>
      <c r="R24" s="4" t="s">
        <v>223</v>
      </c>
      <c r="S24" s="17">
        <v>59000</v>
      </c>
      <c r="T24">
        <v>69000</v>
      </c>
    </row>
    <row r="25" spans="1:20" ht="16.8" x14ac:dyDescent="0.3">
      <c r="A25" s="7" t="str">
        <f t="shared" si="0"/>
        <v>S0024</v>
      </c>
      <c r="B25" s="8">
        <f t="shared" ca="1" si="1"/>
        <v>44719</v>
      </c>
      <c r="C25" s="15" t="str" cm="1">
        <f t="array" aca="1" ref="C25" ca="1">INDEX($Q$2:$Q$31, RANDBETWEEN(1, COUNTA($Q$2:$Q$31)))</f>
        <v>Iced Black Coffee</v>
      </c>
      <c r="D25" s="10" t="str" cm="1">
        <f t="array" aca="1" ref="D25" ca="1">INDEX($R$2:$R$310, RANDBETWEEN(1, COUNTA($Q$2:$Q$310)))</f>
        <v>S</v>
      </c>
      <c r="E25">
        <f t="shared" ca="1" si="2"/>
        <v>3</v>
      </c>
      <c r="F25" cm="1">
        <f t="array" aca="1" ref="F25" ca="1">INDEX($S$2:$S$31, RANDBETWEEN(1, COUNTA($S$2:$S$31)))</f>
        <v>65000</v>
      </c>
      <c r="G25" cm="1">
        <f t="array" aca="1" ref="G25" ca="1">INDEX($S$2:$S$31, RANDBETWEEN(1, COUNTA($S$2:$S$31)))</f>
        <v>49000</v>
      </c>
      <c r="H25">
        <f t="shared" ca="1" si="3"/>
        <v>12</v>
      </c>
      <c r="I25">
        <f t="shared" ca="1" si="4"/>
        <v>57200</v>
      </c>
      <c r="J25" s="10" t="str">
        <f t="shared" ca="1" si="5"/>
        <v>Online</v>
      </c>
      <c r="K25" s="10">
        <f t="shared" ca="1" si="6"/>
        <v>57200</v>
      </c>
      <c r="L25" s="10">
        <f t="shared" ca="1" si="7"/>
        <v>171600</v>
      </c>
      <c r="M25" s="12" t="str" cm="1">
        <f t="array" aca="1" ref="M25" ca="1">INDEX($R$33:$R$82, RANDBETWEEN(1, COUNTA($R$33:$R$82)))</f>
        <v>NV1</v>
      </c>
      <c r="N25">
        <f t="shared" ca="1" si="8"/>
        <v>12</v>
      </c>
      <c r="Q25" s="14" t="s">
        <v>275</v>
      </c>
      <c r="R25" s="4" t="s">
        <v>222</v>
      </c>
      <c r="S25" s="17">
        <v>65000</v>
      </c>
      <c r="T25">
        <v>75000</v>
      </c>
    </row>
    <row r="26" spans="1:20" ht="16.8" x14ac:dyDescent="0.3">
      <c r="A26" s="7" t="str">
        <f t="shared" si="0"/>
        <v>S0025</v>
      </c>
      <c r="B26" s="8">
        <f t="shared" ca="1" si="1"/>
        <v>44624</v>
      </c>
      <c r="C26" s="15" t="str" cm="1">
        <f t="array" aca="1" ref="C26" ca="1">INDEX($Q$2:$Q$31, RANDBETWEEN(1, COUNTA($Q$2:$Q$31)))</f>
        <v>Iced Black Coffee</v>
      </c>
      <c r="D26" s="10" t="str" cm="1">
        <f t="array" aca="1" ref="D26" ca="1">INDEX($R$2:$R$310, RANDBETWEEN(1, COUNTA($Q$2:$Q$310)))</f>
        <v>S</v>
      </c>
      <c r="E26">
        <f t="shared" ref="E26:E66" ca="1" si="9">RANDBETWEEN(1,5)</f>
        <v>2</v>
      </c>
      <c r="F26" cm="1">
        <f t="array" aca="1" ref="F26" ca="1">INDEX($S$2:$S$31, RANDBETWEEN(1, COUNTA($S$2:$S$31)))</f>
        <v>69000</v>
      </c>
      <c r="G26" cm="1">
        <f t="array" aca="1" ref="G26" ca="1">INDEX($S$2:$S$31, RANDBETWEEN(1, COUNTA($S$2:$S$31)))</f>
        <v>65000</v>
      </c>
      <c r="H26">
        <f t="shared" ca="1" si="3"/>
        <v>8</v>
      </c>
      <c r="I26">
        <f t="shared" ca="1" si="4"/>
        <v>63480</v>
      </c>
      <c r="J26" s="10" t="str">
        <f t="shared" ca="1" si="5"/>
        <v>Online</v>
      </c>
      <c r="K26" s="10">
        <f t="shared" ca="1" si="6"/>
        <v>63480</v>
      </c>
      <c r="L26" s="10">
        <f t="shared" ca="1" si="7"/>
        <v>126960</v>
      </c>
      <c r="M26" s="12" t="str" cm="1">
        <f t="array" aca="1" ref="M26" ca="1">INDEX($R$33:$R$82, RANDBETWEEN(1, COUNTA($R$33:$R$82)))</f>
        <v>NV15</v>
      </c>
      <c r="N26">
        <f t="shared" ca="1" si="8"/>
        <v>3</v>
      </c>
      <c r="Q26" s="11" t="s">
        <v>272</v>
      </c>
      <c r="R26" s="4" t="s">
        <v>224</v>
      </c>
      <c r="S26" s="17">
        <v>49000</v>
      </c>
      <c r="T26">
        <v>59000</v>
      </c>
    </row>
    <row r="27" spans="1:20" ht="16.8" x14ac:dyDescent="0.3">
      <c r="A27" s="7" t="str">
        <f t="shared" si="0"/>
        <v>S0026</v>
      </c>
      <c r="B27" s="8">
        <f t="shared" ca="1" si="1"/>
        <v>44260</v>
      </c>
      <c r="C27" s="15" t="str" cm="1">
        <f t="array" aca="1" ref="C27" ca="1">INDEX($Q$2:$Q$31, RANDBETWEEN(1, COUNTA($Q$2:$Q$31)))</f>
        <v>Caramel Phin Freeze</v>
      </c>
      <c r="D27" s="10" t="str" cm="1">
        <f t="array" aca="1" ref="D27" ca="1">INDEX($R$2:$R$310, RANDBETWEEN(1, COUNTA($Q$2:$Q$310)))</f>
        <v>M</v>
      </c>
      <c r="E27">
        <f t="shared" ca="1" si="9"/>
        <v>5</v>
      </c>
      <c r="F27" cm="1">
        <f t="array" aca="1" ref="F27" ca="1">INDEX($S$2:$S$31, RANDBETWEEN(1, COUNTA($S$2:$S$31)))</f>
        <v>29000</v>
      </c>
      <c r="G27" cm="1">
        <f t="array" aca="1" ref="G27" ca="1">INDEX($S$2:$S$31, RANDBETWEEN(1, COUNTA($S$2:$S$31)))</f>
        <v>39000</v>
      </c>
      <c r="H27">
        <f t="shared" ca="1" si="3"/>
        <v>5</v>
      </c>
      <c r="I27">
        <f t="shared" ca="1" si="4"/>
        <v>27550</v>
      </c>
      <c r="J27" s="10" t="str">
        <f t="shared" ca="1" si="5"/>
        <v>Online</v>
      </c>
      <c r="K27" s="10">
        <f t="shared" ca="1" si="6"/>
        <v>27550</v>
      </c>
      <c r="L27" s="10">
        <f t="shared" ca="1" si="7"/>
        <v>137750</v>
      </c>
      <c r="M27" s="12" t="str" cm="1">
        <f t="array" aca="1" ref="M27" ca="1">INDEX($R$33:$R$82, RANDBETWEEN(1, COUNTA($R$33:$R$82)))</f>
        <v>NV5</v>
      </c>
      <c r="N27">
        <f t="shared" ca="1" si="8"/>
        <v>14</v>
      </c>
      <c r="Q27" s="11" t="s">
        <v>272</v>
      </c>
      <c r="R27" s="4" t="s">
        <v>223</v>
      </c>
      <c r="S27" s="17">
        <v>59000</v>
      </c>
      <c r="T27">
        <v>69000</v>
      </c>
    </row>
    <row r="28" spans="1:20" ht="16.8" x14ac:dyDescent="0.3">
      <c r="A28" s="7" t="str">
        <f t="shared" si="0"/>
        <v>S0027</v>
      </c>
      <c r="B28" s="8">
        <f t="shared" ca="1" si="1"/>
        <v>44844</v>
      </c>
      <c r="C28" s="15" t="str" cm="1">
        <f t="array" aca="1" ref="C28" ca="1">INDEX($Q$2:$Q$31, RANDBETWEEN(1, COUNTA($Q$2:$Q$31)))</f>
        <v>Cookies &amp; Cream</v>
      </c>
      <c r="D28" s="10" t="str" cm="1">
        <f t="array" aca="1" ref="D28" ca="1">INDEX($R$2:$R$310, RANDBETWEEN(1, COUNTA($Q$2:$Q$310)))</f>
        <v>M</v>
      </c>
      <c r="E28">
        <f t="shared" ca="1" si="9"/>
        <v>5</v>
      </c>
      <c r="F28" cm="1">
        <f t="array" aca="1" ref="F28" ca="1">INDEX($S$2:$S$31, RANDBETWEEN(1, COUNTA($S$2:$S$31)))</f>
        <v>35000</v>
      </c>
      <c r="G28" cm="1">
        <f t="array" aca="1" ref="G28" ca="1">INDEX($S$2:$S$31, RANDBETWEEN(1, COUNTA($S$2:$S$31)))</f>
        <v>65000</v>
      </c>
      <c r="H28">
        <f t="shared" ca="1" si="3"/>
        <v>10</v>
      </c>
      <c r="I28">
        <f t="shared" ca="1" si="4"/>
        <v>31500</v>
      </c>
      <c r="J28" s="10" t="str">
        <f t="shared" ca="1" si="5"/>
        <v>Online</v>
      </c>
      <c r="K28" s="10">
        <f t="shared" ca="1" si="6"/>
        <v>31500</v>
      </c>
      <c r="L28" s="10">
        <f t="shared" ca="1" si="7"/>
        <v>157500</v>
      </c>
      <c r="M28" s="12" t="str" cm="1">
        <f t="array" aca="1" ref="M28" ca="1">INDEX($R$33:$R$82, RANDBETWEEN(1, COUNTA($R$33:$R$82)))</f>
        <v>NV27</v>
      </c>
      <c r="N28">
        <f t="shared" ca="1" si="8"/>
        <v>48</v>
      </c>
      <c r="Q28" s="11" t="s">
        <v>272</v>
      </c>
      <c r="R28" s="4" t="s">
        <v>222</v>
      </c>
      <c r="S28" s="17">
        <v>65000</v>
      </c>
      <c r="T28">
        <v>75000</v>
      </c>
    </row>
    <row r="29" spans="1:20" ht="16.8" x14ac:dyDescent="0.3">
      <c r="A29" s="7" t="str">
        <f t="shared" si="0"/>
        <v>S0028</v>
      </c>
      <c r="B29" s="8">
        <f t="shared" ca="1" si="1"/>
        <v>44778</v>
      </c>
      <c r="C29" s="15" t="str" cm="1">
        <f t="array" aca="1" ref="C29" ca="1">INDEX($Q$2:$Q$31, RANDBETWEEN(1, COUNTA($Q$2:$Q$31)))</f>
        <v>Mocha</v>
      </c>
      <c r="D29" s="10" t="str" cm="1">
        <f t="array" aca="1" ref="D29" ca="1">INDEX($R$2:$R$310, RANDBETWEEN(1, COUNTA($Q$2:$Q$310)))</f>
        <v>L</v>
      </c>
      <c r="E29">
        <f t="shared" ca="1" si="9"/>
        <v>1</v>
      </c>
      <c r="F29" cm="1">
        <f t="array" aca="1" ref="F29" ca="1">INDEX($S$2:$S$31, RANDBETWEEN(1, COUNTA($S$2:$S$31)))</f>
        <v>55000</v>
      </c>
      <c r="G29" cm="1">
        <f t="array" aca="1" ref="G29" ca="1">INDEX($S$2:$S$31, RANDBETWEEN(1, COUNTA($S$2:$S$31)))</f>
        <v>59000</v>
      </c>
      <c r="H29">
        <f t="shared" ca="1" si="3"/>
        <v>7</v>
      </c>
      <c r="I29">
        <f t="shared" ca="1" si="4"/>
        <v>51150</v>
      </c>
      <c r="J29" s="10" t="str">
        <f t="shared" ca="1" si="5"/>
        <v>Online</v>
      </c>
      <c r="K29" s="10">
        <f t="shared" ca="1" si="6"/>
        <v>51150</v>
      </c>
      <c r="L29" s="10">
        <f t="shared" ca="1" si="7"/>
        <v>51150</v>
      </c>
      <c r="M29" s="12" t="str" cm="1">
        <f t="array" aca="1" ref="M29" ca="1">INDEX($R$33:$R$82, RANDBETWEEN(1, COUNTA($R$33:$R$82)))</f>
        <v>NV5</v>
      </c>
      <c r="N29">
        <f t="shared" ca="1" si="8"/>
        <v>6</v>
      </c>
      <c r="Q29" s="16" t="s">
        <v>274</v>
      </c>
      <c r="R29" s="4" t="s">
        <v>224</v>
      </c>
      <c r="S29" s="17">
        <v>49000</v>
      </c>
      <c r="T29">
        <v>59000</v>
      </c>
    </row>
    <row r="30" spans="1:20" ht="16.8" x14ac:dyDescent="0.3">
      <c r="A30" s="7" t="str">
        <f t="shared" si="0"/>
        <v>S0029</v>
      </c>
      <c r="B30" s="8">
        <f t="shared" ca="1" si="1"/>
        <v>45165</v>
      </c>
      <c r="C30" s="15" t="str" cm="1">
        <f t="array" aca="1" ref="C30" ca="1">INDEX($Q$2:$Q$31, RANDBETWEEN(1, COUNTA($Q$2:$Q$31)))</f>
        <v>Mocha</v>
      </c>
      <c r="D30" s="10" t="str" cm="1">
        <f t="array" aca="1" ref="D30" ca="1">INDEX($R$2:$R$310, RANDBETWEEN(1, COUNTA($Q$2:$Q$310)))</f>
        <v>S</v>
      </c>
      <c r="E30">
        <f t="shared" ca="1" si="9"/>
        <v>2</v>
      </c>
      <c r="F30" cm="1">
        <f t="array" aca="1" ref="F30" ca="1">INDEX($S$2:$S$31, RANDBETWEEN(1, COUNTA($S$2:$S$31)))</f>
        <v>69000</v>
      </c>
      <c r="G30" cm="1">
        <f t="array" aca="1" ref="G30" ca="1">INDEX($S$2:$S$31, RANDBETWEEN(1, COUNTA($S$2:$S$31)))</f>
        <v>49000</v>
      </c>
      <c r="H30">
        <f t="shared" ca="1" si="3"/>
        <v>15</v>
      </c>
      <c r="I30">
        <f t="shared" ca="1" si="4"/>
        <v>49000</v>
      </c>
      <c r="J30" s="10" t="str">
        <f t="shared" ca="1" si="5"/>
        <v>Offline</v>
      </c>
      <c r="K30" s="10">
        <f t="shared" ca="1" si="6"/>
        <v>49000</v>
      </c>
      <c r="L30" s="10">
        <f t="shared" ca="1" si="7"/>
        <v>98000</v>
      </c>
      <c r="M30" s="12" t="str" cm="1">
        <f t="array" aca="1" ref="M30" ca="1">INDEX($R$33:$R$82, RANDBETWEEN(1, COUNTA($R$33:$R$82)))</f>
        <v>NV37</v>
      </c>
      <c r="N30">
        <f t="shared" ca="1" si="8"/>
        <v>3</v>
      </c>
      <c r="Q30" s="16" t="s">
        <v>274</v>
      </c>
      <c r="R30" s="4" t="s">
        <v>223</v>
      </c>
      <c r="S30" s="17">
        <v>59000</v>
      </c>
      <c r="T30">
        <v>69000</v>
      </c>
    </row>
    <row r="31" spans="1:20" ht="16.8" x14ac:dyDescent="0.3">
      <c r="A31" s="7" t="str">
        <f t="shared" si="0"/>
        <v>S0030</v>
      </c>
      <c r="B31" s="8">
        <f t="shared" ca="1" si="1"/>
        <v>45150</v>
      </c>
      <c r="C31" s="15" t="str" cm="1">
        <f t="array" aca="1" ref="C31" ca="1">INDEX($Q$2:$Q$31, RANDBETWEEN(1, COUNTA($Q$2:$Q$31)))</f>
        <v>Latte</v>
      </c>
      <c r="D31" s="10" t="str" cm="1">
        <f t="array" aca="1" ref="D31" ca="1">INDEX($R$2:$R$310, RANDBETWEEN(1, COUNTA($Q$2:$Q$310)))</f>
        <v>L</v>
      </c>
      <c r="E31">
        <f t="shared" ca="1" si="9"/>
        <v>5</v>
      </c>
      <c r="F31" cm="1">
        <f t="array" aca="1" ref="F31" ca="1">INDEX($S$2:$S$31, RANDBETWEEN(1, COUNTA($S$2:$S$31)))</f>
        <v>65000</v>
      </c>
      <c r="G31" cm="1">
        <f t="array" aca="1" ref="G31" ca="1">INDEX($S$2:$S$31, RANDBETWEEN(1, COUNTA($S$2:$S$31)))</f>
        <v>59000</v>
      </c>
      <c r="H31">
        <f t="shared" ca="1" si="3"/>
        <v>7</v>
      </c>
      <c r="I31">
        <f t="shared" ca="1" si="4"/>
        <v>60449.999999999993</v>
      </c>
      <c r="J31" s="10" t="str">
        <f t="shared" ca="1" si="5"/>
        <v>Online</v>
      </c>
      <c r="K31" s="10">
        <f t="shared" ca="1" si="6"/>
        <v>60449.999999999993</v>
      </c>
      <c r="L31" s="10">
        <f t="shared" ca="1" si="7"/>
        <v>302249.99999999994</v>
      </c>
      <c r="M31" s="12" t="str" cm="1">
        <f t="array" aca="1" ref="M31" ca="1">INDEX($R$33:$R$82, RANDBETWEEN(1, COUNTA($R$33:$R$82)))</f>
        <v>NV39</v>
      </c>
      <c r="N31">
        <f t="shared" ca="1" si="8"/>
        <v>3</v>
      </c>
      <c r="Q31" s="16" t="s">
        <v>274</v>
      </c>
      <c r="R31" s="4" t="s">
        <v>222</v>
      </c>
      <c r="S31" s="17">
        <v>65000</v>
      </c>
      <c r="T31">
        <v>75000</v>
      </c>
    </row>
    <row r="32" spans="1:20" ht="16.8" x14ac:dyDescent="0.3">
      <c r="A32" s="7" t="str">
        <f t="shared" si="0"/>
        <v>S0031</v>
      </c>
      <c r="B32" s="8">
        <f t="shared" ca="1" si="1"/>
        <v>44948</v>
      </c>
      <c r="C32" s="15" t="str" cm="1">
        <f t="array" aca="1" ref="C32" ca="1">INDEX($Q$2:$Q$31, RANDBETWEEN(1, COUNTA($Q$2:$Q$31)))</f>
        <v>Latte</v>
      </c>
      <c r="D32" s="10" t="str" cm="1">
        <f t="array" aca="1" ref="D32" ca="1">INDEX($R$2:$R$310, RANDBETWEEN(1, COUNTA($Q$2:$Q$310)))</f>
        <v>L</v>
      </c>
      <c r="E32">
        <f t="shared" ca="1" si="9"/>
        <v>4</v>
      </c>
      <c r="F32" cm="1">
        <f t="array" aca="1" ref="F32" ca="1">INDEX($S$2:$S$31, RANDBETWEEN(1, COUNTA($S$2:$S$31)))</f>
        <v>65000</v>
      </c>
      <c r="G32" cm="1">
        <f t="array" aca="1" ref="G32" ca="1">INDEX($S$2:$S$31, RANDBETWEEN(1, COUNTA($S$2:$S$31)))</f>
        <v>59000</v>
      </c>
      <c r="H32">
        <f t="shared" ca="1" si="3"/>
        <v>7</v>
      </c>
      <c r="I32">
        <f t="shared" ca="1" si="4"/>
        <v>60449.999999999993</v>
      </c>
      <c r="J32" s="10" t="str">
        <f t="shared" ca="1" si="5"/>
        <v>Online</v>
      </c>
      <c r="K32" s="10">
        <f t="shared" ca="1" si="6"/>
        <v>60449.999999999993</v>
      </c>
      <c r="L32" s="10">
        <f t="shared" ca="1" si="7"/>
        <v>241799.99999999997</v>
      </c>
      <c r="M32" s="12" t="str" cm="1">
        <f t="array" aca="1" ref="M32" ca="1">INDEX($R$33:$R$82, RANDBETWEEN(1, COUNTA($R$33:$R$82)))</f>
        <v>NV18</v>
      </c>
      <c r="N32">
        <f t="shared" ca="1" si="8"/>
        <v>25</v>
      </c>
      <c r="Q32" s="10"/>
    </row>
    <row r="33" spans="1:18" ht="16.8" x14ac:dyDescent="0.3">
      <c r="A33" s="7" t="str">
        <f t="shared" si="0"/>
        <v>S0032</v>
      </c>
      <c r="B33" s="8">
        <f t="shared" ca="1" si="1"/>
        <v>44301</v>
      </c>
      <c r="C33" s="15" t="str" cm="1">
        <f t="array" aca="1" ref="C33" ca="1">INDEX($Q$2:$Q$31, RANDBETWEEN(1, COUNTA($Q$2:$Q$31)))</f>
        <v>Latte</v>
      </c>
      <c r="D33" s="10" t="str" cm="1">
        <f t="array" aca="1" ref="D33" ca="1">INDEX($R$2:$R$310, RANDBETWEEN(1, COUNTA($Q$2:$Q$310)))</f>
        <v>S</v>
      </c>
      <c r="E33">
        <f t="shared" ca="1" si="9"/>
        <v>4</v>
      </c>
      <c r="F33" cm="1">
        <f t="array" aca="1" ref="F33" ca="1">INDEX($S$2:$S$31, RANDBETWEEN(1, COUNTA($S$2:$S$31)))</f>
        <v>35000</v>
      </c>
      <c r="G33" cm="1">
        <f t="array" aca="1" ref="G33" ca="1">INDEX($S$2:$S$31, RANDBETWEEN(1, COUNTA($S$2:$S$31)))</f>
        <v>49000</v>
      </c>
      <c r="H33">
        <f t="shared" ca="1" si="3"/>
        <v>7</v>
      </c>
      <c r="I33">
        <f t="shared" ca="1" si="4"/>
        <v>49000</v>
      </c>
      <c r="J33" s="10" t="str">
        <f t="shared" ca="1" si="5"/>
        <v>Offline</v>
      </c>
      <c r="K33" s="10">
        <f t="shared" ca="1" si="6"/>
        <v>49000</v>
      </c>
      <c r="L33" s="10">
        <f t="shared" ca="1" si="7"/>
        <v>196000</v>
      </c>
      <c r="M33" s="12" t="str" cm="1">
        <f t="array" aca="1" ref="M33" ca="1">INDEX($R$33:$R$82, RANDBETWEEN(1, COUNTA($R$33:$R$82)))</f>
        <v>NV8</v>
      </c>
      <c r="N33">
        <f t="shared" ca="1" si="8"/>
        <v>30</v>
      </c>
      <c r="Q33" s="10"/>
      <c r="R33" s="10" t="s">
        <v>13</v>
      </c>
    </row>
    <row r="34" spans="1:18" ht="16.8" x14ac:dyDescent="0.3">
      <c r="A34" s="7" t="str">
        <f t="shared" si="0"/>
        <v>S0033</v>
      </c>
      <c r="B34" s="8">
        <f t="shared" ca="1" si="1"/>
        <v>45258</v>
      </c>
      <c r="C34" s="15" t="str" cm="1">
        <f t="array" aca="1" ref="C34" ca="1">INDEX($Q$2:$Q$31, RANDBETWEEN(1, COUNTA($Q$2:$Q$31)))</f>
        <v>Classic Phin Freeze</v>
      </c>
      <c r="D34" s="10" t="str" cm="1">
        <f t="array" aca="1" ref="D34" ca="1">INDEX($R$2:$R$310, RANDBETWEEN(1, COUNTA($Q$2:$Q$310)))</f>
        <v>S</v>
      </c>
      <c r="E34">
        <f t="shared" ca="1" si="9"/>
        <v>2</v>
      </c>
      <c r="F34" cm="1">
        <f t="array" aca="1" ref="F34" ca="1">INDEX($S$2:$S$31, RANDBETWEEN(1, COUNTA($S$2:$S$31)))</f>
        <v>69000</v>
      </c>
      <c r="G34" cm="1">
        <f t="array" aca="1" ref="G34" ca="1">INDEX($S$2:$S$31, RANDBETWEEN(1, COUNTA($S$2:$S$31)))</f>
        <v>49000</v>
      </c>
      <c r="H34">
        <f t="shared" ca="1" si="3"/>
        <v>13</v>
      </c>
      <c r="I34">
        <f t="shared" ca="1" si="4"/>
        <v>60030</v>
      </c>
      <c r="J34" s="10" t="str">
        <f t="shared" ca="1" si="5"/>
        <v>Online</v>
      </c>
      <c r="K34" s="10">
        <f t="shared" ca="1" si="6"/>
        <v>60030</v>
      </c>
      <c r="L34" s="10">
        <f t="shared" ca="1" si="7"/>
        <v>120060</v>
      </c>
      <c r="M34" s="12" t="str" cm="1">
        <f t="array" aca="1" ref="M34" ca="1">INDEX($R$33:$R$82, RANDBETWEEN(1, COUNTA($R$33:$R$82)))</f>
        <v>NV22</v>
      </c>
      <c r="N34">
        <f t="shared" ca="1" si="8"/>
        <v>42</v>
      </c>
      <c r="Q34" s="10"/>
      <c r="R34" s="10" t="s">
        <v>14</v>
      </c>
    </row>
    <row r="35" spans="1:18" ht="16.8" x14ac:dyDescent="0.3">
      <c r="A35" s="7" t="str">
        <f t="shared" si="0"/>
        <v>S0034</v>
      </c>
      <c r="B35" s="8">
        <f t="shared" ca="1" si="1"/>
        <v>44833</v>
      </c>
      <c r="C35" s="15" t="str" cm="1">
        <f t="array" aca="1" ref="C35" ca="1">INDEX($Q$2:$Q$31, RANDBETWEEN(1, COUNTA($Q$2:$Q$31)))</f>
        <v>Cookies &amp; Cream</v>
      </c>
      <c r="D35" s="10" t="str" cm="1">
        <f t="array" aca="1" ref="D35" ca="1">INDEX($R$2:$R$310, RANDBETWEEN(1, COUNTA($Q$2:$Q$310)))</f>
        <v>S</v>
      </c>
      <c r="E35">
        <f t="shared" ca="1" si="9"/>
        <v>3</v>
      </c>
      <c r="F35" cm="1">
        <f t="array" aca="1" ref="F35" ca="1">INDEX($S$2:$S$31, RANDBETWEEN(1, COUNTA($S$2:$S$31)))</f>
        <v>59000</v>
      </c>
      <c r="G35" cm="1">
        <f t="array" aca="1" ref="G35" ca="1">INDEX($S$2:$S$31, RANDBETWEEN(1, COUNTA($S$2:$S$31)))</f>
        <v>35000</v>
      </c>
      <c r="H35">
        <f t="shared" ca="1" si="3"/>
        <v>10</v>
      </c>
      <c r="I35">
        <f t="shared" ca="1" si="4"/>
        <v>53100</v>
      </c>
      <c r="J35" s="10" t="str">
        <f t="shared" ca="1" si="5"/>
        <v>Online</v>
      </c>
      <c r="K35" s="10">
        <f t="shared" ca="1" si="6"/>
        <v>53100</v>
      </c>
      <c r="L35" s="10">
        <f t="shared" ca="1" si="7"/>
        <v>159300</v>
      </c>
      <c r="M35" s="12" t="str" cm="1">
        <f t="array" aca="1" ref="M35" ca="1">INDEX($R$33:$R$82, RANDBETWEEN(1, COUNTA($R$33:$R$82)))</f>
        <v>NV26</v>
      </c>
      <c r="N35">
        <f t="shared" ca="1" si="8"/>
        <v>17</v>
      </c>
      <c r="Q35" s="10"/>
      <c r="R35" s="10" t="s">
        <v>15</v>
      </c>
    </row>
    <row r="36" spans="1:18" ht="16.8" x14ac:dyDescent="0.3">
      <c r="A36" s="7" t="str">
        <f t="shared" si="0"/>
        <v>S0035</v>
      </c>
      <c r="B36" s="8">
        <f t="shared" ca="1" si="1"/>
        <v>45246</v>
      </c>
      <c r="C36" s="15" t="str" cm="1">
        <f t="array" aca="1" ref="C36" ca="1">INDEX($Q$2:$Q$31, RANDBETWEEN(1, COUNTA($Q$2:$Q$31)))</f>
        <v>Classic Phin Freeze</v>
      </c>
      <c r="D36" s="10" t="str" cm="1">
        <f t="array" aca="1" ref="D36" ca="1">INDEX($R$2:$R$310, RANDBETWEEN(1, COUNTA($Q$2:$Q$310)))</f>
        <v>S</v>
      </c>
      <c r="E36">
        <f t="shared" ca="1" si="9"/>
        <v>3</v>
      </c>
      <c r="F36" cm="1">
        <f t="array" aca="1" ref="F36" ca="1">INDEX($S$2:$S$31, RANDBETWEEN(1, COUNTA($S$2:$S$31)))</f>
        <v>59000</v>
      </c>
      <c r="G36" cm="1">
        <f t="array" aca="1" ref="G36" ca="1">INDEX($S$2:$S$31, RANDBETWEEN(1, COUNTA($S$2:$S$31)))</f>
        <v>59000</v>
      </c>
      <c r="H36">
        <f t="shared" ca="1" si="3"/>
        <v>7</v>
      </c>
      <c r="I36">
        <f t="shared" ca="1" si="4"/>
        <v>59000</v>
      </c>
      <c r="J36" s="10" t="str">
        <f t="shared" ca="1" si="5"/>
        <v>Offline</v>
      </c>
      <c r="K36" s="10">
        <f t="shared" ca="1" si="6"/>
        <v>59000</v>
      </c>
      <c r="L36" s="10">
        <f t="shared" ca="1" si="7"/>
        <v>177000</v>
      </c>
      <c r="M36" s="12" t="str" cm="1">
        <f t="array" aca="1" ref="M36" ca="1">INDEX($R$33:$R$82, RANDBETWEEN(1, COUNTA($R$33:$R$82)))</f>
        <v>NV13</v>
      </c>
      <c r="N36">
        <f t="shared" ca="1" si="8"/>
        <v>11</v>
      </c>
      <c r="Q36" s="10"/>
      <c r="R36" s="10" t="s">
        <v>16</v>
      </c>
    </row>
    <row r="37" spans="1:18" ht="16.8" x14ac:dyDescent="0.3">
      <c r="A37" s="7" t="str">
        <f t="shared" si="0"/>
        <v>S0036</v>
      </c>
      <c r="B37" s="8">
        <f t="shared" ca="1" si="1"/>
        <v>44585</v>
      </c>
      <c r="C37" s="15" t="str" cm="1">
        <f t="array" aca="1" ref="C37" ca="1">INDEX($Q$2:$Q$31, RANDBETWEEN(1, COUNTA($Q$2:$Q$31)))</f>
        <v xml:space="preserve">Green Tea Freeze </v>
      </c>
      <c r="D37" s="10" t="str" cm="1">
        <f t="array" aca="1" ref="D37" ca="1">INDEX($R$2:$R$310, RANDBETWEEN(1, COUNTA($Q$2:$Q$310)))</f>
        <v>M</v>
      </c>
      <c r="E37">
        <f t="shared" ca="1" si="9"/>
        <v>1</v>
      </c>
      <c r="F37" cm="1">
        <f t="array" aca="1" ref="F37" ca="1">INDEX($S$2:$S$31, RANDBETWEEN(1, COUNTA($S$2:$S$31)))</f>
        <v>35000</v>
      </c>
      <c r="G37" cm="1">
        <f t="array" aca="1" ref="G37" ca="1">INDEX($S$2:$S$31, RANDBETWEEN(1, COUNTA($S$2:$S$31)))</f>
        <v>69000</v>
      </c>
      <c r="H37">
        <f t="shared" ca="1" si="3"/>
        <v>7</v>
      </c>
      <c r="I37">
        <f t="shared" ca="1" si="4"/>
        <v>69000</v>
      </c>
      <c r="J37" s="10" t="str">
        <f t="shared" ca="1" si="5"/>
        <v>Offline</v>
      </c>
      <c r="K37" s="10">
        <f t="shared" ca="1" si="6"/>
        <v>69000</v>
      </c>
      <c r="L37" s="10">
        <f t="shared" ca="1" si="7"/>
        <v>69000</v>
      </c>
      <c r="M37" s="12" t="str" cm="1">
        <f t="array" aca="1" ref="M37" ca="1">INDEX($R$33:$R$82, RANDBETWEEN(1, COUNTA($R$33:$R$82)))</f>
        <v>NV5</v>
      </c>
      <c r="N37">
        <f t="shared" ca="1" si="8"/>
        <v>17</v>
      </c>
      <c r="Q37" s="10"/>
      <c r="R37" s="10" t="s">
        <v>17</v>
      </c>
    </row>
    <row r="38" spans="1:18" ht="16.8" x14ac:dyDescent="0.3">
      <c r="A38" s="7" t="str">
        <f t="shared" si="0"/>
        <v>S0037</v>
      </c>
      <c r="B38" s="8">
        <f t="shared" ca="1" si="1"/>
        <v>44647</v>
      </c>
      <c r="C38" s="15" t="str" cm="1">
        <f t="array" aca="1" ref="C38" ca="1">INDEX($Q$2:$Q$31, RANDBETWEEN(1, COUNTA($Q$2:$Q$31)))</f>
        <v xml:space="preserve">Chocolate Freeze </v>
      </c>
      <c r="D38" s="10" t="str" cm="1">
        <f t="array" aca="1" ref="D38" ca="1">INDEX($R$2:$R$310, RANDBETWEEN(1, COUNTA($Q$2:$Q$310)))</f>
        <v>S</v>
      </c>
      <c r="E38">
        <f t="shared" ca="1" si="9"/>
        <v>2</v>
      </c>
      <c r="F38" cm="1">
        <f t="array" aca="1" ref="F38" ca="1">INDEX($S$2:$S$31, RANDBETWEEN(1, COUNTA($S$2:$S$31)))</f>
        <v>39000</v>
      </c>
      <c r="G38" cm="1">
        <f t="array" aca="1" ref="G38" ca="1">INDEX($S$2:$S$31, RANDBETWEEN(1, COUNTA($S$2:$S$31)))</f>
        <v>59000</v>
      </c>
      <c r="H38">
        <f t="shared" ca="1" si="3"/>
        <v>9</v>
      </c>
      <c r="I38">
        <f t="shared" ca="1" si="4"/>
        <v>35490</v>
      </c>
      <c r="J38" s="10" t="str">
        <f t="shared" ca="1" si="5"/>
        <v>Online</v>
      </c>
      <c r="K38" s="10">
        <f t="shared" ca="1" si="6"/>
        <v>35490</v>
      </c>
      <c r="L38" s="10">
        <f t="shared" ca="1" si="7"/>
        <v>70980</v>
      </c>
      <c r="M38" s="12" t="str" cm="1">
        <f t="array" aca="1" ref="M38" ca="1">INDEX($R$33:$R$82, RANDBETWEEN(1, COUNTA($R$33:$R$82)))</f>
        <v>NV14</v>
      </c>
      <c r="N38">
        <f t="shared" ca="1" si="8"/>
        <v>9</v>
      </c>
      <c r="Q38" s="10"/>
      <c r="R38" s="10" t="s">
        <v>18</v>
      </c>
    </row>
    <row r="39" spans="1:18" ht="16.8" x14ac:dyDescent="0.3">
      <c r="A39" s="7" t="str">
        <f t="shared" si="0"/>
        <v>S0038</v>
      </c>
      <c r="B39" s="8">
        <f t="shared" ca="1" si="1"/>
        <v>44435</v>
      </c>
      <c r="C39" s="15" t="str" cm="1">
        <f t="array" aca="1" ref="C39" ca="1">INDEX($Q$2:$Q$31, RANDBETWEEN(1, COUNTA($Q$2:$Q$31)))</f>
        <v>Mocha</v>
      </c>
      <c r="D39" s="10" t="str" cm="1">
        <f t="array" aca="1" ref="D39" ca="1">INDEX($R$2:$R$310, RANDBETWEEN(1, COUNTA($Q$2:$Q$310)))</f>
        <v>M</v>
      </c>
      <c r="E39">
        <f t="shared" ca="1" si="9"/>
        <v>3</v>
      </c>
      <c r="F39" cm="1">
        <f t="array" aca="1" ref="F39" ca="1">INDEX($S$2:$S$31, RANDBETWEEN(1, COUNTA($S$2:$S$31)))</f>
        <v>49000</v>
      </c>
      <c r="G39" cm="1">
        <f t="array" aca="1" ref="G39" ca="1">INDEX($S$2:$S$31, RANDBETWEEN(1, COUNTA($S$2:$S$31)))</f>
        <v>65000</v>
      </c>
      <c r="H39">
        <f t="shared" ca="1" si="3"/>
        <v>12</v>
      </c>
      <c r="I39">
        <f t="shared" ca="1" si="4"/>
        <v>65000</v>
      </c>
      <c r="J39" s="10" t="str">
        <f t="shared" ca="1" si="5"/>
        <v>Offline</v>
      </c>
      <c r="K39" s="10">
        <f t="shared" ca="1" si="6"/>
        <v>65000</v>
      </c>
      <c r="L39" s="10">
        <f t="shared" ca="1" si="7"/>
        <v>195000</v>
      </c>
      <c r="M39" s="12" t="str" cm="1">
        <f t="array" aca="1" ref="M39" ca="1">INDEX($R$33:$R$82, RANDBETWEEN(1, COUNTA($R$33:$R$82)))</f>
        <v>NV43</v>
      </c>
      <c r="N39">
        <f t="shared" ca="1" si="8"/>
        <v>41</v>
      </c>
      <c r="Q39" s="10"/>
      <c r="R39" s="10" t="s">
        <v>19</v>
      </c>
    </row>
    <row r="40" spans="1:18" ht="16.8" x14ac:dyDescent="0.3">
      <c r="A40" s="7" t="str">
        <f t="shared" si="0"/>
        <v>S0039</v>
      </c>
      <c r="B40" s="8">
        <f t="shared" ca="1" si="1"/>
        <v>44649</v>
      </c>
      <c r="C40" s="15" t="str" cm="1">
        <f t="array" aca="1" ref="C40" ca="1">INDEX($Q$2:$Q$31, RANDBETWEEN(1, COUNTA($Q$2:$Q$31)))</f>
        <v>Iced Black Coffee</v>
      </c>
      <c r="D40" s="10" t="str" cm="1">
        <f t="array" aca="1" ref="D40" ca="1">INDEX($R$2:$R$310, RANDBETWEEN(1, COUNTA($Q$2:$Q$310)))</f>
        <v>S</v>
      </c>
      <c r="E40">
        <f t="shared" ca="1" si="9"/>
        <v>3</v>
      </c>
      <c r="F40" cm="1">
        <f t="array" aca="1" ref="F40" ca="1">INDEX($S$2:$S$31, RANDBETWEEN(1, COUNTA($S$2:$S$31)))</f>
        <v>39000</v>
      </c>
      <c r="G40" cm="1">
        <f t="array" aca="1" ref="G40" ca="1">INDEX($S$2:$S$31, RANDBETWEEN(1, COUNTA($S$2:$S$31)))</f>
        <v>69000</v>
      </c>
      <c r="H40">
        <f t="shared" ca="1" si="3"/>
        <v>9</v>
      </c>
      <c r="I40">
        <f t="shared" ca="1" si="4"/>
        <v>69000</v>
      </c>
      <c r="J40" s="10" t="str">
        <f t="shared" ca="1" si="5"/>
        <v>Offline</v>
      </c>
      <c r="K40" s="10">
        <f t="shared" ca="1" si="6"/>
        <v>69000</v>
      </c>
      <c r="L40" s="10">
        <f t="shared" ca="1" si="7"/>
        <v>207000</v>
      </c>
      <c r="M40" s="12" t="str" cm="1">
        <f t="array" aca="1" ref="M40" ca="1">INDEX($R$33:$R$82, RANDBETWEEN(1, COUNTA($R$33:$R$82)))</f>
        <v>NV25</v>
      </c>
      <c r="N40">
        <f t="shared" ca="1" si="8"/>
        <v>2</v>
      </c>
      <c r="Q40" s="10"/>
      <c r="R40" s="10" t="s">
        <v>20</v>
      </c>
    </row>
    <row r="41" spans="1:18" ht="16.8" x14ac:dyDescent="0.3">
      <c r="A41" s="7" t="str">
        <f t="shared" si="0"/>
        <v>S0040</v>
      </c>
      <c r="B41" s="8">
        <f t="shared" ca="1" si="1"/>
        <v>44755</v>
      </c>
      <c r="C41" s="15" t="str" cm="1">
        <f t="array" aca="1" ref="C41" ca="1">INDEX($Q$2:$Q$31, RANDBETWEEN(1, COUNTA($Q$2:$Q$31)))</f>
        <v>Cappuccino</v>
      </c>
      <c r="D41" s="10" t="str" cm="1">
        <f t="array" aca="1" ref="D41" ca="1">INDEX($R$2:$R$310, RANDBETWEEN(1, COUNTA($Q$2:$Q$310)))</f>
        <v>S</v>
      </c>
      <c r="E41">
        <f t="shared" ca="1" si="9"/>
        <v>2</v>
      </c>
      <c r="F41" cm="1">
        <f t="array" aca="1" ref="F41" ca="1">INDEX($S$2:$S$31, RANDBETWEEN(1, COUNTA($S$2:$S$31)))</f>
        <v>59000</v>
      </c>
      <c r="G41" cm="1">
        <f t="array" aca="1" ref="G41" ca="1">INDEX($S$2:$S$31, RANDBETWEEN(1, COUNTA($S$2:$S$31)))</f>
        <v>55000</v>
      </c>
      <c r="H41">
        <f t="shared" ca="1" si="3"/>
        <v>5</v>
      </c>
      <c r="I41">
        <f t="shared" ca="1" si="4"/>
        <v>56050</v>
      </c>
      <c r="J41" s="10" t="str">
        <f t="shared" ca="1" si="5"/>
        <v>Online</v>
      </c>
      <c r="K41" s="10">
        <f t="shared" ca="1" si="6"/>
        <v>56050</v>
      </c>
      <c r="L41" s="10">
        <f t="shared" ca="1" si="7"/>
        <v>112100</v>
      </c>
      <c r="M41" s="12" t="str" cm="1">
        <f t="array" aca="1" ref="M41" ca="1">INDEX($R$33:$R$82, RANDBETWEEN(1, COUNTA($R$33:$R$82)))</f>
        <v>NV20</v>
      </c>
      <c r="N41">
        <f t="shared" ca="1" si="8"/>
        <v>48</v>
      </c>
      <c r="Q41" s="10"/>
      <c r="R41" s="10" t="s">
        <v>21</v>
      </c>
    </row>
    <row r="42" spans="1:18" ht="16.8" x14ac:dyDescent="0.3">
      <c r="A42" s="7" t="str">
        <f t="shared" si="0"/>
        <v>S0041</v>
      </c>
      <c r="B42" s="8">
        <f t="shared" ca="1" si="1"/>
        <v>44215</v>
      </c>
      <c r="C42" s="15" t="str" cm="1">
        <f t="array" aca="1" ref="C42" ca="1">INDEX($Q$2:$Q$31, RANDBETWEEN(1, COUNTA($Q$2:$Q$31)))</f>
        <v>Cookies &amp; Cream</v>
      </c>
      <c r="D42" s="10" t="str" cm="1">
        <f t="array" aca="1" ref="D42" ca="1">INDEX($R$2:$R$310, RANDBETWEEN(1, COUNTA($Q$2:$Q$310)))</f>
        <v>M</v>
      </c>
      <c r="E42">
        <f t="shared" ca="1" si="9"/>
        <v>3</v>
      </c>
      <c r="F42" cm="1">
        <f t="array" aca="1" ref="F42" ca="1">INDEX($S$2:$S$31, RANDBETWEEN(1, COUNTA($S$2:$S$31)))</f>
        <v>59000</v>
      </c>
      <c r="G42" cm="1">
        <f t="array" aca="1" ref="G42" ca="1">INDEX($S$2:$S$31, RANDBETWEEN(1, COUNTA($S$2:$S$31)))</f>
        <v>49000</v>
      </c>
      <c r="H42">
        <f t="shared" ca="1" si="3"/>
        <v>10</v>
      </c>
      <c r="I42">
        <f t="shared" ca="1" si="4"/>
        <v>53100</v>
      </c>
      <c r="J42" s="10" t="str">
        <f t="shared" ca="1" si="5"/>
        <v>Online</v>
      </c>
      <c r="K42" s="10">
        <f t="shared" ca="1" si="6"/>
        <v>53100</v>
      </c>
      <c r="L42" s="10">
        <f t="shared" ca="1" si="7"/>
        <v>159300</v>
      </c>
      <c r="M42" s="12" t="str" cm="1">
        <f t="array" aca="1" ref="M42" ca="1">INDEX($R$33:$R$82, RANDBETWEEN(1, COUNTA($R$33:$R$82)))</f>
        <v>NV21</v>
      </c>
      <c r="N42">
        <f t="shared" ca="1" si="8"/>
        <v>27</v>
      </c>
      <c r="Q42" s="10"/>
      <c r="R42" s="10" t="s">
        <v>10</v>
      </c>
    </row>
    <row r="43" spans="1:18" ht="16.8" x14ac:dyDescent="0.3">
      <c r="A43" s="7" t="str">
        <f t="shared" si="0"/>
        <v>S0042</v>
      </c>
      <c r="B43" s="8">
        <f t="shared" ca="1" si="1"/>
        <v>44811</v>
      </c>
      <c r="C43" s="15" t="str" cm="1">
        <f t="array" aca="1" ref="C43" ca="1">INDEX($Q$2:$Q$31, RANDBETWEEN(1, COUNTA($Q$2:$Q$31)))</f>
        <v>Caramel Phin Freeze</v>
      </c>
      <c r="D43" s="10" t="str" cm="1">
        <f t="array" aca="1" ref="D43" ca="1">INDEX($R$2:$R$310, RANDBETWEEN(1, COUNTA($Q$2:$Q$310)))</f>
        <v>M</v>
      </c>
      <c r="E43">
        <f t="shared" ca="1" si="9"/>
        <v>2</v>
      </c>
      <c r="F43" cm="1">
        <f t="array" aca="1" ref="F43" ca="1">INDEX($S$2:$S$31, RANDBETWEEN(1, COUNTA($S$2:$S$31)))</f>
        <v>59000</v>
      </c>
      <c r="G43" cm="1">
        <f t="array" aca="1" ref="G43" ca="1">INDEX($S$2:$S$31, RANDBETWEEN(1, COUNTA($S$2:$S$31)))</f>
        <v>29000</v>
      </c>
      <c r="H43">
        <f t="shared" ca="1" si="3"/>
        <v>8</v>
      </c>
      <c r="I43">
        <f t="shared" ca="1" si="4"/>
        <v>29000</v>
      </c>
      <c r="J43" s="10" t="str">
        <f t="shared" ca="1" si="5"/>
        <v>Offline</v>
      </c>
      <c r="K43" s="10">
        <f t="shared" ca="1" si="6"/>
        <v>29000</v>
      </c>
      <c r="L43" s="10">
        <f t="shared" ca="1" si="7"/>
        <v>58000</v>
      </c>
      <c r="M43" s="12" t="str" cm="1">
        <f t="array" aca="1" ref="M43" ca="1">INDEX($R$33:$R$82, RANDBETWEEN(1, COUNTA($R$33:$R$82)))</f>
        <v>NV35</v>
      </c>
      <c r="N43">
        <f t="shared" ca="1" si="8"/>
        <v>7</v>
      </c>
      <c r="Q43" s="10"/>
      <c r="R43" s="10" t="s">
        <v>11</v>
      </c>
    </row>
    <row r="44" spans="1:18" ht="16.8" x14ac:dyDescent="0.3">
      <c r="A44" s="7" t="str">
        <f t="shared" si="0"/>
        <v>S0043</v>
      </c>
      <c r="B44" s="8">
        <f t="shared" ca="1" si="1"/>
        <v>45262</v>
      </c>
      <c r="C44" s="15" t="str" cm="1">
        <f t="array" aca="1" ref="C44" ca="1">INDEX($Q$2:$Q$31, RANDBETWEEN(1, COUNTA($Q$2:$Q$31)))</f>
        <v>Mocha</v>
      </c>
      <c r="D44" s="10" t="str" cm="1">
        <f t="array" aca="1" ref="D44" ca="1">INDEX($R$2:$R$310, RANDBETWEEN(1, COUNTA($Q$2:$Q$310)))</f>
        <v>L</v>
      </c>
      <c r="E44">
        <f t="shared" ca="1" si="9"/>
        <v>5</v>
      </c>
      <c r="F44" cm="1">
        <f t="array" aca="1" ref="F44" ca="1">INDEX($S$2:$S$31, RANDBETWEEN(1, COUNTA($S$2:$S$31)))</f>
        <v>49000</v>
      </c>
      <c r="G44" cm="1">
        <f t="array" aca="1" ref="G44" ca="1">INDEX($S$2:$S$31, RANDBETWEEN(1, COUNTA($S$2:$S$31)))</f>
        <v>49000</v>
      </c>
      <c r="H44">
        <f t="shared" ca="1" si="3"/>
        <v>14</v>
      </c>
      <c r="I44">
        <f t="shared" ca="1" si="4"/>
        <v>42140</v>
      </c>
      <c r="J44" s="10" t="str">
        <f t="shared" ca="1" si="5"/>
        <v>Online</v>
      </c>
      <c r="K44" s="10">
        <f t="shared" ca="1" si="6"/>
        <v>42140</v>
      </c>
      <c r="L44" s="10">
        <f t="shared" ca="1" si="7"/>
        <v>210700</v>
      </c>
      <c r="M44" s="12" t="str" cm="1">
        <f t="array" aca="1" ref="M44" ca="1">INDEX($R$33:$R$82, RANDBETWEEN(1, COUNTA($R$33:$R$82)))</f>
        <v>NV8</v>
      </c>
      <c r="N44">
        <f t="shared" ca="1" si="8"/>
        <v>33</v>
      </c>
      <c r="Q44" s="10"/>
      <c r="R44" s="10" t="s">
        <v>12</v>
      </c>
    </row>
    <row r="45" spans="1:18" ht="16.8" x14ac:dyDescent="0.3">
      <c r="A45" s="7" t="str">
        <f t="shared" si="0"/>
        <v>S0044</v>
      </c>
      <c r="B45" s="8">
        <f t="shared" ca="1" si="1"/>
        <v>44996</v>
      </c>
      <c r="C45" s="15" t="str" cm="1">
        <f t="array" aca="1" ref="C45" ca="1">INDEX($Q$2:$Q$31, RANDBETWEEN(1, COUNTA($Q$2:$Q$31)))</f>
        <v xml:space="preserve">Chocolate Freeze </v>
      </c>
      <c r="D45" s="10" t="str" cm="1">
        <f t="array" aca="1" ref="D45" ca="1">INDEX($R$2:$R$310, RANDBETWEEN(1, COUNTA($Q$2:$Q$310)))</f>
        <v>L</v>
      </c>
      <c r="E45">
        <f t="shared" ca="1" si="9"/>
        <v>4</v>
      </c>
      <c r="F45" cm="1">
        <f t="array" aca="1" ref="F45" ca="1">INDEX($S$2:$S$31, RANDBETWEEN(1, COUNTA($S$2:$S$31)))</f>
        <v>59000</v>
      </c>
      <c r="G45" cm="1">
        <f t="array" aca="1" ref="G45" ca="1">INDEX($S$2:$S$31, RANDBETWEEN(1, COUNTA($S$2:$S$31)))</f>
        <v>75000</v>
      </c>
      <c r="H45">
        <f t="shared" ca="1" si="3"/>
        <v>8</v>
      </c>
      <c r="I45">
        <f t="shared" ca="1" si="4"/>
        <v>75000</v>
      </c>
      <c r="J45" s="10" t="str">
        <f t="shared" ca="1" si="5"/>
        <v>Offline</v>
      </c>
      <c r="K45" s="10">
        <f t="shared" ca="1" si="6"/>
        <v>75000</v>
      </c>
      <c r="L45" s="10">
        <f t="shared" ca="1" si="7"/>
        <v>300000</v>
      </c>
      <c r="M45" s="12" t="str" cm="1">
        <f t="array" aca="1" ref="M45" ca="1">INDEX($R$33:$R$82, RANDBETWEEN(1, COUNTA($R$33:$R$82)))</f>
        <v>NV9</v>
      </c>
      <c r="N45">
        <f t="shared" ca="1" si="8"/>
        <v>43</v>
      </c>
      <c r="Q45" s="10"/>
      <c r="R45" s="10" t="s">
        <v>225</v>
      </c>
    </row>
    <row r="46" spans="1:18" ht="16.8" x14ac:dyDescent="0.3">
      <c r="A46" s="7" t="str">
        <f t="shared" si="0"/>
        <v>S0045</v>
      </c>
      <c r="B46" s="8">
        <f t="shared" ca="1" si="1"/>
        <v>44970</v>
      </c>
      <c r="C46" s="15" t="str" cm="1">
        <f t="array" aca="1" ref="C46" ca="1">INDEX($Q$2:$Q$31, RANDBETWEEN(1, COUNTA($Q$2:$Q$31)))</f>
        <v>Mocha</v>
      </c>
      <c r="D46" s="10" t="str" cm="1">
        <f t="array" aca="1" ref="D46" ca="1">INDEX($R$2:$R$310, RANDBETWEEN(1, COUNTA($Q$2:$Q$310)))</f>
        <v>L</v>
      </c>
      <c r="E46">
        <f t="shared" ca="1" si="9"/>
        <v>2</v>
      </c>
      <c r="F46" cm="1">
        <f t="array" aca="1" ref="F46" ca="1">INDEX($S$2:$S$31, RANDBETWEEN(1, COUNTA($S$2:$S$31)))</f>
        <v>59000</v>
      </c>
      <c r="G46" cm="1">
        <f t="array" aca="1" ref="G46" ca="1">INDEX($S$2:$S$31, RANDBETWEEN(1, COUNTA($S$2:$S$31)))</f>
        <v>49000</v>
      </c>
      <c r="H46">
        <f t="shared" ca="1" si="3"/>
        <v>8</v>
      </c>
      <c r="I46">
        <f t="shared" ca="1" si="4"/>
        <v>49000</v>
      </c>
      <c r="J46" s="10" t="str">
        <f t="shared" ca="1" si="5"/>
        <v>Offline</v>
      </c>
      <c r="K46" s="10">
        <f t="shared" ca="1" si="6"/>
        <v>49000</v>
      </c>
      <c r="L46" s="10">
        <f t="shared" ca="1" si="7"/>
        <v>98000</v>
      </c>
      <c r="M46" s="12" t="str" cm="1">
        <f t="array" aca="1" ref="M46" ca="1">INDEX($R$33:$R$82, RANDBETWEEN(1, COUNTA($R$33:$R$82)))</f>
        <v>NV9</v>
      </c>
      <c r="N46">
        <f t="shared" ca="1" si="8"/>
        <v>51</v>
      </c>
      <c r="Q46" s="10"/>
      <c r="R46" s="10" t="s">
        <v>226</v>
      </c>
    </row>
    <row r="47" spans="1:18" ht="16.8" x14ac:dyDescent="0.3">
      <c r="A47" s="7" t="str">
        <f t="shared" si="0"/>
        <v>S0046</v>
      </c>
      <c r="B47" s="8">
        <f t="shared" ca="1" si="1"/>
        <v>44276</v>
      </c>
      <c r="C47" s="15" t="str" cm="1">
        <f t="array" aca="1" ref="C47" ca="1">INDEX($Q$2:$Q$31, RANDBETWEEN(1, COUNTA($Q$2:$Q$31)))</f>
        <v>Cappuccino</v>
      </c>
      <c r="D47" s="10" t="str" cm="1">
        <f t="array" aca="1" ref="D47" ca="1">INDEX($R$2:$R$310, RANDBETWEEN(1, COUNTA($Q$2:$Q$310)))</f>
        <v>L</v>
      </c>
      <c r="E47">
        <f t="shared" ca="1" si="9"/>
        <v>5</v>
      </c>
      <c r="F47" cm="1">
        <f t="array" aca="1" ref="F47" ca="1">INDEX($S$2:$S$31, RANDBETWEEN(1, COUNTA($S$2:$S$31)))</f>
        <v>65000</v>
      </c>
      <c r="G47" cm="1">
        <f t="array" aca="1" ref="G47" ca="1">INDEX($S$2:$S$31, RANDBETWEEN(1, COUNTA($S$2:$S$31)))</f>
        <v>75000</v>
      </c>
      <c r="H47">
        <f t="shared" ca="1" si="3"/>
        <v>14</v>
      </c>
      <c r="I47">
        <f t="shared" ca="1" si="4"/>
        <v>75000</v>
      </c>
      <c r="J47" s="10" t="str">
        <f t="shared" ca="1" si="5"/>
        <v>Offline</v>
      </c>
      <c r="K47" s="10">
        <f t="shared" ca="1" si="6"/>
        <v>75000</v>
      </c>
      <c r="L47" s="10">
        <f t="shared" ca="1" si="7"/>
        <v>375000</v>
      </c>
      <c r="M47" s="12" t="str" cm="1">
        <f t="array" aca="1" ref="M47" ca="1">INDEX($R$33:$R$82, RANDBETWEEN(1, COUNTA($R$33:$R$82)))</f>
        <v>NV14</v>
      </c>
      <c r="N47">
        <f t="shared" ca="1" si="8"/>
        <v>44</v>
      </c>
      <c r="Q47" s="10"/>
      <c r="R47" s="10" t="s">
        <v>227</v>
      </c>
    </row>
    <row r="48" spans="1:18" ht="16.8" x14ac:dyDescent="0.3">
      <c r="A48" s="7" t="str">
        <f t="shared" si="0"/>
        <v>S0047</v>
      </c>
      <c r="B48" s="8">
        <f t="shared" ca="1" si="1"/>
        <v>44347</v>
      </c>
      <c r="C48" s="15" t="str" cm="1">
        <f t="array" aca="1" ref="C48" ca="1">INDEX($Q$2:$Q$31, RANDBETWEEN(1, COUNTA($Q$2:$Q$31)))</f>
        <v>Iced Black Coffee</v>
      </c>
      <c r="D48" s="10" t="str" cm="1">
        <f t="array" aca="1" ref="D48" ca="1">INDEX($R$2:$R$310, RANDBETWEEN(1, COUNTA($Q$2:$Q$310)))</f>
        <v>M</v>
      </c>
      <c r="E48">
        <f t="shared" ca="1" si="9"/>
        <v>5</v>
      </c>
      <c r="F48" cm="1">
        <f t="array" aca="1" ref="F48" ca="1">INDEX($S$2:$S$31, RANDBETWEEN(1, COUNTA($S$2:$S$31)))</f>
        <v>59000</v>
      </c>
      <c r="G48" cm="1">
        <f t="array" aca="1" ref="G48" ca="1">INDEX($S$2:$S$31, RANDBETWEEN(1, COUNTA($S$2:$S$31)))</f>
        <v>59000</v>
      </c>
      <c r="H48">
        <f t="shared" ca="1" si="3"/>
        <v>10</v>
      </c>
      <c r="I48">
        <f t="shared" ca="1" si="4"/>
        <v>53100</v>
      </c>
      <c r="J48" s="10" t="str">
        <f t="shared" ca="1" si="5"/>
        <v>Online</v>
      </c>
      <c r="K48" s="10">
        <f t="shared" ca="1" si="6"/>
        <v>53100</v>
      </c>
      <c r="L48" s="10">
        <f t="shared" ca="1" si="7"/>
        <v>265500</v>
      </c>
      <c r="M48" s="12" t="str" cm="1">
        <f t="array" aca="1" ref="M48" ca="1">INDEX($R$33:$R$82, RANDBETWEEN(1, COUNTA($R$33:$R$82)))</f>
        <v>NV8</v>
      </c>
      <c r="N48">
        <f t="shared" ca="1" si="8"/>
        <v>46</v>
      </c>
      <c r="Q48" s="10"/>
      <c r="R48" s="10" t="s">
        <v>228</v>
      </c>
    </row>
    <row r="49" spans="1:18" ht="16.8" x14ac:dyDescent="0.3">
      <c r="A49" s="7" t="str">
        <f t="shared" si="0"/>
        <v>S0048</v>
      </c>
      <c r="B49" s="8">
        <f t="shared" ca="1" si="1"/>
        <v>44740</v>
      </c>
      <c r="C49" s="15" t="str" cm="1">
        <f t="array" aca="1" ref="C49" ca="1">INDEX($Q$2:$Q$31, RANDBETWEEN(1, COUNTA($Q$2:$Q$31)))</f>
        <v xml:space="preserve">Green Tea Freeze </v>
      </c>
      <c r="D49" s="10" t="str" cm="1">
        <f t="array" aca="1" ref="D49" ca="1">INDEX($R$2:$R$310, RANDBETWEEN(1, COUNTA($Q$2:$Q$310)))</f>
        <v>L</v>
      </c>
      <c r="E49">
        <f t="shared" ca="1" si="9"/>
        <v>4</v>
      </c>
      <c r="F49" cm="1">
        <f t="array" aca="1" ref="F49" ca="1">INDEX($S$2:$S$31, RANDBETWEEN(1, COUNTA($S$2:$S$31)))</f>
        <v>59000</v>
      </c>
      <c r="G49" cm="1">
        <f t="array" aca="1" ref="G49" ca="1">INDEX($S$2:$S$31, RANDBETWEEN(1, COUNTA($S$2:$S$31)))</f>
        <v>69000</v>
      </c>
      <c r="H49">
        <f t="shared" ca="1" si="3"/>
        <v>9</v>
      </c>
      <c r="I49">
        <f t="shared" ca="1" si="4"/>
        <v>53690</v>
      </c>
      <c r="J49" s="10" t="str">
        <f t="shared" ca="1" si="5"/>
        <v>Online</v>
      </c>
      <c r="K49" s="10">
        <f t="shared" ca="1" si="6"/>
        <v>53690</v>
      </c>
      <c r="L49" s="10">
        <f t="shared" ca="1" si="7"/>
        <v>214760</v>
      </c>
      <c r="M49" s="12" t="str" cm="1">
        <f t="array" aca="1" ref="M49" ca="1">INDEX($R$33:$R$82, RANDBETWEEN(1, COUNTA($R$33:$R$82)))</f>
        <v>NV37</v>
      </c>
      <c r="N49">
        <f t="shared" ca="1" si="8"/>
        <v>38</v>
      </c>
      <c r="Q49" s="10"/>
      <c r="R49" s="10" t="s">
        <v>229</v>
      </c>
    </row>
    <row r="50" spans="1:18" ht="16.8" x14ac:dyDescent="0.3">
      <c r="A50" s="7" t="str">
        <f t="shared" si="0"/>
        <v>S0049</v>
      </c>
      <c r="B50" s="8">
        <f t="shared" ca="1" si="1"/>
        <v>44605</v>
      </c>
      <c r="C50" s="15" t="str" cm="1">
        <f t="array" aca="1" ref="C50" ca="1">INDEX($Q$2:$Q$31, RANDBETWEEN(1, COUNTA($Q$2:$Q$31)))</f>
        <v>Latte</v>
      </c>
      <c r="D50" s="10" t="str" cm="1">
        <f t="array" aca="1" ref="D50" ca="1">INDEX($R$2:$R$310, RANDBETWEEN(1, COUNTA($Q$2:$Q$310)))</f>
        <v>M</v>
      </c>
      <c r="E50">
        <f t="shared" ca="1" si="9"/>
        <v>4</v>
      </c>
      <c r="F50" cm="1">
        <f t="array" aca="1" ref="F50" ca="1">INDEX($S$2:$S$31, RANDBETWEEN(1, COUNTA($S$2:$S$31)))</f>
        <v>35000</v>
      </c>
      <c r="G50" cm="1">
        <f t="array" aca="1" ref="G50" ca="1">INDEX($S$2:$S$31, RANDBETWEEN(1, COUNTA($S$2:$S$31)))</f>
        <v>59000</v>
      </c>
      <c r="H50">
        <f t="shared" ca="1" si="3"/>
        <v>6</v>
      </c>
      <c r="I50">
        <f t="shared" ca="1" si="4"/>
        <v>32900</v>
      </c>
      <c r="J50" s="10" t="str">
        <f t="shared" ca="1" si="5"/>
        <v>Online</v>
      </c>
      <c r="K50" s="10">
        <f t="shared" ca="1" si="6"/>
        <v>32900</v>
      </c>
      <c r="L50" s="10">
        <f t="shared" ca="1" si="7"/>
        <v>131600</v>
      </c>
      <c r="M50" s="12" t="str" cm="1">
        <f t="array" aca="1" ref="M50" ca="1">INDEX($R$33:$R$82, RANDBETWEEN(1, COUNTA($R$33:$R$82)))</f>
        <v>NV30</v>
      </c>
      <c r="N50">
        <f t="shared" ca="1" si="8"/>
        <v>28</v>
      </c>
      <c r="Q50" s="10"/>
      <c r="R50" s="10" t="s">
        <v>230</v>
      </c>
    </row>
    <row r="51" spans="1:18" ht="16.8" x14ac:dyDescent="0.3">
      <c r="A51" s="7" t="str">
        <f t="shared" si="0"/>
        <v>S0050</v>
      </c>
      <c r="B51" s="8">
        <f t="shared" ca="1" si="1"/>
        <v>44918</v>
      </c>
      <c r="C51" s="15" t="str" cm="1">
        <f t="array" aca="1" ref="C51" ca="1">INDEX($Q$2:$Q$31, RANDBETWEEN(1, COUNTA($Q$2:$Q$31)))</f>
        <v>Classic Phin Freeze</v>
      </c>
      <c r="D51" s="10" t="str" cm="1">
        <f t="array" aca="1" ref="D51" ca="1">INDEX($R$2:$R$310, RANDBETWEEN(1, COUNTA($Q$2:$Q$310)))</f>
        <v>L</v>
      </c>
      <c r="E51">
        <f t="shared" ca="1" si="9"/>
        <v>5</v>
      </c>
      <c r="F51" cm="1">
        <f t="array" aca="1" ref="F51" ca="1">INDEX($S$2:$S$31, RANDBETWEEN(1, COUNTA($S$2:$S$31)))</f>
        <v>65000</v>
      </c>
      <c r="G51" cm="1">
        <f t="array" aca="1" ref="G51" ca="1">INDEX($S$2:$S$31, RANDBETWEEN(1, COUNTA($S$2:$S$31)))</f>
        <v>45000</v>
      </c>
      <c r="H51">
        <f t="shared" ca="1" si="3"/>
        <v>12</v>
      </c>
      <c r="I51">
        <f t="shared" ca="1" si="4"/>
        <v>45000</v>
      </c>
      <c r="J51" s="10" t="str">
        <f t="shared" ca="1" si="5"/>
        <v>Offline</v>
      </c>
      <c r="K51" s="10">
        <f t="shared" ca="1" si="6"/>
        <v>45000</v>
      </c>
      <c r="L51" s="10">
        <f t="shared" ca="1" si="7"/>
        <v>225000</v>
      </c>
      <c r="M51" s="12" t="str" cm="1">
        <f t="array" aca="1" ref="M51" ca="1">INDEX($R$33:$R$82, RANDBETWEEN(1, COUNTA($R$33:$R$82)))</f>
        <v>NV17</v>
      </c>
      <c r="N51">
        <f t="shared" ca="1" si="8"/>
        <v>31</v>
      </c>
      <c r="Q51" s="10"/>
      <c r="R51" s="10" t="s">
        <v>231</v>
      </c>
    </row>
    <row r="52" spans="1:18" ht="16.8" x14ac:dyDescent="0.3">
      <c r="A52" s="7" t="str">
        <f t="shared" si="0"/>
        <v>S0051</v>
      </c>
      <c r="B52" s="8">
        <f t="shared" ca="1" si="1"/>
        <v>44276</v>
      </c>
      <c r="C52" s="15" t="str" cm="1">
        <f t="array" aca="1" ref="C52" ca="1">INDEX($Q$2:$Q$31, RANDBETWEEN(1, COUNTA($Q$2:$Q$31)))</f>
        <v>Cappuccino</v>
      </c>
      <c r="D52" s="10" t="str" cm="1">
        <f t="array" aca="1" ref="D52" ca="1">INDEX($R$2:$R$310, RANDBETWEEN(1, COUNTA($Q$2:$Q$310)))</f>
        <v>M</v>
      </c>
      <c r="E52">
        <f t="shared" ca="1" si="9"/>
        <v>1</v>
      </c>
      <c r="F52" cm="1">
        <f t="array" aca="1" ref="F52" ca="1">INDEX($S$2:$S$31, RANDBETWEEN(1, COUNTA($S$2:$S$31)))</f>
        <v>59000</v>
      </c>
      <c r="G52" cm="1">
        <f t="array" aca="1" ref="G52" ca="1">INDEX($S$2:$S$31, RANDBETWEEN(1, COUNTA($S$2:$S$31)))</f>
        <v>69000</v>
      </c>
      <c r="H52">
        <f t="shared" ca="1" si="3"/>
        <v>8</v>
      </c>
      <c r="I52">
        <f t="shared" ca="1" si="4"/>
        <v>54280</v>
      </c>
      <c r="J52" s="10" t="str">
        <f t="shared" ca="1" si="5"/>
        <v>Online</v>
      </c>
      <c r="K52" s="10">
        <f t="shared" ca="1" si="6"/>
        <v>54280</v>
      </c>
      <c r="L52" s="10">
        <f t="shared" ca="1" si="7"/>
        <v>54280</v>
      </c>
      <c r="M52" s="12" t="str" cm="1">
        <f t="array" aca="1" ref="M52" ca="1">INDEX($R$33:$R$82, RANDBETWEEN(1, COUNTA($R$33:$R$82)))</f>
        <v>NV39</v>
      </c>
      <c r="N52">
        <f t="shared" ca="1" si="8"/>
        <v>2</v>
      </c>
      <c r="Q52" s="10"/>
      <c r="R52" s="10" t="s">
        <v>232</v>
      </c>
    </row>
    <row r="53" spans="1:18" ht="16.8" x14ac:dyDescent="0.3">
      <c r="A53" s="7" t="str">
        <f t="shared" si="0"/>
        <v>S0052</v>
      </c>
      <c r="B53" s="8">
        <f t="shared" ca="1" si="1"/>
        <v>44360</v>
      </c>
      <c r="C53" s="15" t="str" cm="1">
        <f t="array" aca="1" ref="C53" ca="1">INDEX($Q$2:$Q$31, RANDBETWEEN(1, COUNTA($Q$2:$Q$31)))</f>
        <v>Cappuccino</v>
      </c>
      <c r="D53" s="10" t="str" cm="1">
        <f t="array" aca="1" ref="D53" ca="1">INDEX($R$2:$R$310, RANDBETWEEN(1, COUNTA($Q$2:$Q$310)))</f>
        <v>M</v>
      </c>
      <c r="E53">
        <f t="shared" ca="1" si="9"/>
        <v>3</v>
      </c>
      <c r="F53" cm="1">
        <f t="array" aca="1" ref="F53" ca="1">INDEX($S$2:$S$31, RANDBETWEEN(1, COUNTA($S$2:$S$31)))</f>
        <v>29000</v>
      </c>
      <c r="G53" cm="1">
        <f t="array" aca="1" ref="G53" ca="1">INDEX($S$2:$S$31, RANDBETWEEN(1, COUNTA($S$2:$S$31)))</f>
        <v>45000</v>
      </c>
      <c r="H53">
        <f t="shared" ca="1" si="3"/>
        <v>8</v>
      </c>
      <c r="I53">
        <f t="shared" ca="1" si="4"/>
        <v>45000</v>
      </c>
      <c r="J53" s="10" t="str">
        <f t="shared" ca="1" si="5"/>
        <v>Offline</v>
      </c>
      <c r="K53" s="10">
        <f t="shared" ca="1" si="6"/>
        <v>45000</v>
      </c>
      <c r="L53" s="10">
        <f t="shared" ca="1" si="7"/>
        <v>135000</v>
      </c>
      <c r="M53" s="12" t="str" cm="1">
        <f t="array" aca="1" ref="M53" ca="1">INDEX($R$33:$R$82, RANDBETWEEN(1, COUNTA($R$33:$R$82)))</f>
        <v>NV28</v>
      </c>
      <c r="N53">
        <f t="shared" ca="1" si="8"/>
        <v>3</v>
      </c>
      <c r="Q53" s="10"/>
      <c r="R53" s="10" t="s">
        <v>233</v>
      </c>
    </row>
    <row r="54" spans="1:18" ht="16.8" x14ac:dyDescent="0.3">
      <c r="A54" s="7" t="str">
        <f t="shared" si="0"/>
        <v>S0053</v>
      </c>
      <c r="B54" s="8">
        <f t="shared" ca="1" si="1"/>
        <v>44839</v>
      </c>
      <c r="C54" s="15" t="str" cm="1">
        <f t="array" aca="1" ref="C54" ca="1">INDEX($Q$2:$Q$31, RANDBETWEEN(1, COUNTA($Q$2:$Q$31)))</f>
        <v>Americano</v>
      </c>
      <c r="D54" s="10" t="str" cm="1">
        <f t="array" aca="1" ref="D54" ca="1">INDEX($R$2:$R$310, RANDBETWEEN(1, COUNTA($Q$2:$Q$310)))</f>
        <v>L</v>
      </c>
      <c r="E54">
        <f t="shared" ca="1" si="9"/>
        <v>3</v>
      </c>
      <c r="F54" cm="1">
        <f t="array" aca="1" ref="F54" ca="1">INDEX($S$2:$S$31, RANDBETWEEN(1, COUNTA($S$2:$S$31)))</f>
        <v>29000</v>
      </c>
      <c r="G54" cm="1">
        <f t="array" aca="1" ref="G54" ca="1">INDEX($S$2:$S$31, RANDBETWEEN(1, COUNTA($S$2:$S$31)))</f>
        <v>45000</v>
      </c>
      <c r="H54">
        <f t="shared" ca="1" si="3"/>
        <v>8</v>
      </c>
      <c r="I54">
        <f t="shared" ca="1" si="4"/>
        <v>26680</v>
      </c>
      <c r="J54" s="10" t="str">
        <f t="shared" ca="1" si="5"/>
        <v>Online</v>
      </c>
      <c r="K54" s="10">
        <f t="shared" ca="1" si="6"/>
        <v>26680</v>
      </c>
      <c r="L54" s="10">
        <f t="shared" ca="1" si="7"/>
        <v>80040</v>
      </c>
      <c r="M54" s="12" t="str" cm="1">
        <f t="array" aca="1" ref="M54" ca="1">INDEX($R$33:$R$82, RANDBETWEEN(1, COUNTA($R$33:$R$82)))</f>
        <v>NV40</v>
      </c>
      <c r="N54">
        <f t="shared" ca="1" si="8"/>
        <v>35</v>
      </c>
      <c r="Q54" s="10"/>
      <c r="R54" s="10" t="s">
        <v>234</v>
      </c>
    </row>
    <row r="55" spans="1:18" ht="16.8" x14ac:dyDescent="0.3">
      <c r="A55" s="7" t="str">
        <f t="shared" si="0"/>
        <v>S0054</v>
      </c>
      <c r="B55" s="8">
        <f t="shared" ca="1" si="1"/>
        <v>44209</v>
      </c>
      <c r="C55" s="15" t="str" cm="1">
        <f t="array" aca="1" ref="C55" ca="1">INDEX($Q$2:$Q$31, RANDBETWEEN(1, COUNTA($Q$2:$Q$31)))</f>
        <v>Caramel Phin Freeze</v>
      </c>
      <c r="D55" s="10" t="str" cm="1">
        <f t="array" aca="1" ref="D55" ca="1">INDEX($R$2:$R$310, RANDBETWEEN(1, COUNTA($Q$2:$Q$310)))</f>
        <v>S</v>
      </c>
      <c r="E55">
        <f t="shared" ca="1" si="9"/>
        <v>1</v>
      </c>
      <c r="F55" cm="1">
        <f t="array" aca="1" ref="F55" ca="1">INDEX($S$2:$S$31, RANDBETWEEN(1, COUNTA($S$2:$S$31)))</f>
        <v>59000</v>
      </c>
      <c r="G55" cm="1">
        <f t="array" aca="1" ref="G55" ca="1">INDEX($S$2:$S$31, RANDBETWEEN(1, COUNTA($S$2:$S$31)))</f>
        <v>59000</v>
      </c>
      <c r="H55">
        <f t="shared" ca="1" si="3"/>
        <v>14</v>
      </c>
      <c r="I55">
        <f t="shared" ca="1" si="4"/>
        <v>50740</v>
      </c>
      <c r="J55" s="10" t="str">
        <f t="shared" ca="1" si="5"/>
        <v>Online</v>
      </c>
      <c r="K55" s="10">
        <f t="shared" ca="1" si="6"/>
        <v>50740</v>
      </c>
      <c r="L55" s="10">
        <f t="shared" ca="1" si="7"/>
        <v>50740</v>
      </c>
      <c r="M55" s="12" t="str" cm="1">
        <f t="array" aca="1" ref="M55" ca="1">INDEX($R$33:$R$82, RANDBETWEEN(1, COUNTA($R$33:$R$82)))</f>
        <v>NV21</v>
      </c>
      <c r="N55">
        <f t="shared" ca="1" si="8"/>
        <v>37</v>
      </c>
      <c r="Q55" s="10"/>
      <c r="R55" s="10" t="s">
        <v>235</v>
      </c>
    </row>
    <row r="56" spans="1:18" ht="16.8" x14ac:dyDescent="0.3">
      <c r="A56" s="7" t="str">
        <f t="shared" si="0"/>
        <v>S0055</v>
      </c>
      <c r="B56" s="8">
        <f t="shared" ca="1" si="1"/>
        <v>45235</v>
      </c>
      <c r="C56" s="15" t="str" cm="1">
        <f t="array" aca="1" ref="C56" ca="1">INDEX($Q$2:$Q$31, RANDBETWEEN(1, COUNTA($Q$2:$Q$31)))</f>
        <v>Mocha</v>
      </c>
      <c r="D56" s="10" t="str" cm="1">
        <f t="array" aca="1" ref="D56" ca="1">INDEX($R$2:$R$310, RANDBETWEEN(1, COUNTA($Q$2:$Q$310)))</f>
        <v>M</v>
      </c>
      <c r="E56">
        <f t="shared" ca="1" si="9"/>
        <v>5</v>
      </c>
      <c r="F56" cm="1">
        <f t="array" aca="1" ref="F56" ca="1">INDEX($S$2:$S$31, RANDBETWEEN(1, COUNTA($S$2:$S$31)))</f>
        <v>75000</v>
      </c>
      <c r="G56" cm="1">
        <f t="array" aca="1" ref="G56" ca="1">INDEX($S$2:$S$31, RANDBETWEEN(1, COUNTA($S$2:$S$31)))</f>
        <v>59000</v>
      </c>
      <c r="H56">
        <f t="shared" ca="1" si="3"/>
        <v>14</v>
      </c>
      <c r="I56">
        <f t="shared" ca="1" si="4"/>
        <v>59000</v>
      </c>
      <c r="J56" s="10" t="str">
        <f t="shared" ca="1" si="5"/>
        <v>Offline</v>
      </c>
      <c r="K56" s="10">
        <f t="shared" ca="1" si="6"/>
        <v>59000</v>
      </c>
      <c r="L56" s="10">
        <f t="shared" ca="1" si="7"/>
        <v>295000</v>
      </c>
      <c r="M56" s="12" t="str" cm="1">
        <f t="array" aca="1" ref="M56" ca="1">INDEX($R$33:$R$82, RANDBETWEEN(1, COUNTA($R$33:$R$82)))</f>
        <v>NV38</v>
      </c>
      <c r="N56">
        <f t="shared" ca="1" si="8"/>
        <v>36</v>
      </c>
      <c r="Q56" s="10"/>
      <c r="R56" s="10" t="s">
        <v>236</v>
      </c>
    </row>
    <row r="57" spans="1:18" ht="16.8" x14ac:dyDescent="0.3">
      <c r="A57" s="7" t="str">
        <f t="shared" si="0"/>
        <v>S0056</v>
      </c>
      <c r="B57" s="8">
        <f t="shared" ca="1" si="1"/>
        <v>44349</v>
      </c>
      <c r="C57" s="15" t="str" cm="1">
        <f t="array" aca="1" ref="C57" ca="1">INDEX($Q$2:$Q$31, RANDBETWEEN(1, COUNTA($Q$2:$Q$31)))</f>
        <v>Cookies &amp; Cream</v>
      </c>
      <c r="D57" s="10" t="str" cm="1">
        <f t="array" aca="1" ref="D57" ca="1">INDEX($R$2:$R$310, RANDBETWEEN(1, COUNTA($Q$2:$Q$310)))</f>
        <v>L</v>
      </c>
      <c r="E57">
        <f t="shared" ca="1" si="9"/>
        <v>1</v>
      </c>
      <c r="F57" cm="1">
        <f t="array" aca="1" ref="F57" ca="1">INDEX($S$2:$S$31, RANDBETWEEN(1, COUNTA($S$2:$S$31)))</f>
        <v>35000</v>
      </c>
      <c r="G57" cm="1">
        <f t="array" aca="1" ref="G57" ca="1">INDEX($S$2:$S$31, RANDBETWEEN(1, COUNTA($S$2:$S$31)))</f>
        <v>55000</v>
      </c>
      <c r="H57">
        <f t="shared" ca="1" si="3"/>
        <v>12</v>
      </c>
      <c r="I57">
        <f t="shared" ca="1" si="4"/>
        <v>30800</v>
      </c>
      <c r="J57" s="10" t="str">
        <f t="shared" ca="1" si="5"/>
        <v>Online</v>
      </c>
      <c r="K57" s="10">
        <f t="shared" ca="1" si="6"/>
        <v>30800</v>
      </c>
      <c r="L57" s="10">
        <f t="shared" ca="1" si="7"/>
        <v>30800</v>
      </c>
      <c r="M57" s="12" t="str" cm="1">
        <f t="array" aca="1" ref="M57" ca="1">INDEX($R$33:$R$82, RANDBETWEEN(1, COUNTA($R$33:$R$82)))</f>
        <v>NV22</v>
      </c>
      <c r="N57">
        <f t="shared" ca="1" si="8"/>
        <v>44</v>
      </c>
      <c r="Q57" s="10"/>
      <c r="R57" s="10" t="s">
        <v>237</v>
      </c>
    </row>
    <row r="58" spans="1:18" ht="16.8" x14ac:dyDescent="0.3">
      <c r="A58" s="7" t="str">
        <f t="shared" si="0"/>
        <v>S0057</v>
      </c>
      <c r="B58" s="8">
        <f t="shared" ca="1" si="1"/>
        <v>45150</v>
      </c>
      <c r="C58" s="15" t="str" cm="1">
        <f t="array" aca="1" ref="C58" ca="1">INDEX($Q$2:$Q$31, RANDBETWEEN(1, COUNTA($Q$2:$Q$31)))</f>
        <v>Classic Phin Freeze</v>
      </c>
      <c r="D58" s="10" t="str" cm="1">
        <f t="array" aca="1" ref="D58" ca="1">INDEX($R$2:$R$310, RANDBETWEEN(1, COUNTA($Q$2:$Q$310)))</f>
        <v>S</v>
      </c>
      <c r="E58">
        <f t="shared" ca="1" si="9"/>
        <v>2</v>
      </c>
      <c r="F58" cm="1">
        <f t="array" aca="1" ref="F58" ca="1">INDEX($S$2:$S$31, RANDBETWEEN(1, COUNTA($S$2:$S$31)))</f>
        <v>49000</v>
      </c>
      <c r="G58" cm="1">
        <f t="array" aca="1" ref="G58" ca="1">INDEX($S$2:$S$31, RANDBETWEEN(1, COUNTA($S$2:$S$31)))</f>
        <v>65000</v>
      </c>
      <c r="H58">
        <f t="shared" ca="1" si="3"/>
        <v>11</v>
      </c>
      <c r="I58">
        <f t="shared" ca="1" si="4"/>
        <v>43610</v>
      </c>
      <c r="J58" s="10" t="str">
        <f t="shared" ca="1" si="5"/>
        <v>Online</v>
      </c>
      <c r="K58" s="10">
        <f t="shared" ca="1" si="6"/>
        <v>43610</v>
      </c>
      <c r="L58" s="10">
        <f t="shared" ca="1" si="7"/>
        <v>87220</v>
      </c>
      <c r="M58" s="12" t="str" cm="1">
        <f t="array" aca="1" ref="M58" ca="1">INDEX($R$33:$R$82, RANDBETWEEN(1, COUNTA($R$33:$R$82)))</f>
        <v>NV32</v>
      </c>
      <c r="N58">
        <f t="shared" ca="1" si="8"/>
        <v>33</v>
      </c>
      <c r="Q58" s="10"/>
      <c r="R58" s="10" t="s">
        <v>238</v>
      </c>
    </row>
    <row r="59" spans="1:18" ht="16.8" x14ac:dyDescent="0.3">
      <c r="A59" s="7" t="str">
        <f t="shared" si="0"/>
        <v>S0058</v>
      </c>
      <c r="B59" s="8">
        <f t="shared" ca="1" si="1"/>
        <v>45146</v>
      </c>
      <c r="C59" s="15" t="str" cm="1">
        <f t="array" aca="1" ref="C59" ca="1">INDEX($Q$2:$Q$31, RANDBETWEEN(1, COUNTA($Q$2:$Q$31)))</f>
        <v>Americano</v>
      </c>
      <c r="D59" s="10" t="str" cm="1">
        <f t="array" aca="1" ref="D59" ca="1">INDEX($R$2:$R$310, RANDBETWEEN(1, COUNTA($Q$2:$Q$310)))</f>
        <v>S</v>
      </c>
      <c r="E59">
        <f t="shared" ca="1" si="9"/>
        <v>4</v>
      </c>
      <c r="F59" cm="1">
        <f t="array" aca="1" ref="F59" ca="1">INDEX($S$2:$S$31, RANDBETWEEN(1, COUNTA($S$2:$S$31)))</f>
        <v>49000</v>
      </c>
      <c r="G59" cm="1">
        <f t="array" aca="1" ref="G59" ca="1">INDEX($S$2:$S$31, RANDBETWEEN(1, COUNTA($S$2:$S$31)))</f>
        <v>65000</v>
      </c>
      <c r="H59">
        <f t="shared" ca="1" si="3"/>
        <v>14</v>
      </c>
      <c r="I59">
        <f t="shared" ca="1" si="4"/>
        <v>65000</v>
      </c>
      <c r="J59" s="10" t="str">
        <f t="shared" ca="1" si="5"/>
        <v>Offline</v>
      </c>
      <c r="K59" s="10">
        <f t="shared" ca="1" si="6"/>
        <v>65000</v>
      </c>
      <c r="L59" s="10">
        <f t="shared" ca="1" si="7"/>
        <v>260000</v>
      </c>
      <c r="M59" s="12" t="str" cm="1">
        <f t="array" aca="1" ref="M59" ca="1">INDEX($R$33:$R$82, RANDBETWEEN(1, COUNTA($R$33:$R$82)))</f>
        <v>NV25</v>
      </c>
      <c r="N59">
        <f t="shared" ca="1" si="8"/>
        <v>33</v>
      </c>
      <c r="Q59" s="10"/>
      <c r="R59" s="10" t="s">
        <v>239</v>
      </c>
    </row>
    <row r="60" spans="1:18" ht="16.8" x14ac:dyDescent="0.3">
      <c r="A60" s="7" t="str">
        <f t="shared" si="0"/>
        <v>S0059</v>
      </c>
      <c r="B60" s="8">
        <f t="shared" ca="1" si="1"/>
        <v>44942</v>
      </c>
      <c r="C60" s="15" t="str" cm="1">
        <f t="array" aca="1" ref="C60" ca="1">INDEX($Q$2:$Q$31, RANDBETWEEN(1, COUNTA($Q$2:$Q$31)))</f>
        <v>Americano</v>
      </c>
      <c r="D60" s="10" t="str" cm="1">
        <f t="array" aca="1" ref="D60" ca="1">INDEX($R$2:$R$310, RANDBETWEEN(1, COUNTA($Q$2:$Q$310)))</f>
        <v>S</v>
      </c>
      <c r="E60">
        <f t="shared" ca="1" si="9"/>
        <v>3</v>
      </c>
      <c r="F60" cm="1">
        <f t="array" aca="1" ref="F60" ca="1">INDEX($S$2:$S$31, RANDBETWEEN(1, COUNTA($S$2:$S$31)))</f>
        <v>69000</v>
      </c>
      <c r="G60" cm="1">
        <f t="array" aca="1" ref="G60" ca="1">INDEX($S$2:$S$31, RANDBETWEEN(1, COUNTA($S$2:$S$31)))</f>
        <v>65000</v>
      </c>
      <c r="H60">
        <f t="shared" ca="1" si="3"/>
        <v>5</v>
      </c>
      <c r="I60">
        <f t="shared" ca="1" si="4"/>
        <v>65550</v>
      </c>
      <c r="J60" s="10" t="str">
        <f t="shared" ca="1" si="5"/>
        <v>Online</v>
      </c>
      <c r="K60" s="10">
        <f t="shared" ca="1" si="6"/>
        <v>65550</v>
      </c>
      <c r="L60" s="10">
        <f t="shared" ca="1" si="7"/>
        <v>196650</v>
      </c>
      <c r="M60" s="12" t="str" cm="1">
        <f t="array" aca="1" ref="M60" ca="1">INDEX($R$33:$R$82, RANDBETWEEN(1, COUNTA($R$33:$R$82)))</f>
        <v>NV30</v>
      </c>
      <c r="N60">
        <f t="shared" ca="1" si="8"/>
        <v>20</v>
      </c>
      <c r="Q60" s="10"/>
      <c r="R60" s="10" t="s">
        <v>240</v>
      </c>
    </row>
    <row r="61" spans="1:18" ht="16.8" x14ac:dyDescent="0.3">
      <c r="A61" s="7" t="str">
        <f t="shared" si="0"/>
        <v>S0060</v>
      </c>
      <c r="B61" s="8">
        <f t="shared" ca="1" si="1"/>
        <v>44577</v>
      </c>
      <c r="C61" s="15" t="str" cm="1">
        <f t="array" aca="1" ref="C61" ca="1">INDEX($Q$2:$Q$31, RANDBETWEEN(1, COUNTA($Q$2:$Q$31)))</f>
        <v>Caramel Phin Freeze</v>
      </c>
      <c r="D61" s="10" t="str" cm="1">
        <f t="array" aca="1" ref="D61" ca="1">INDEX($R$2:$R$310, RANDBETWEEN(1, COUNTA($Q$2:$Q$310)))</f>
        <v>S</v>
      </c>
      <c r="E61">
        <f t="shared" ca="1" si="9"/>
        <v>2</v>
      </c>
      <c r="F61" cm="1">
        <f t="array" aca="1" ref="F61" ca="1">INDEX($S$2:$S$31, RANDBETWEEN(1, COUNTA($S$2:$S$31)))</f>
        <v>45000</v>
      </c>
      <c r="G61" cm="1">
        <f t="array" aca="1" ref="G61" ca="1">INDEX($S$2:$S$31, RANDBETWEEN(1, COUNTA($S$2:$S$31)))</f>
        <v>49000</v>
      </c>
      <c r="H61">
        <f t="shared" ca="1" si="3"/>
        <v>15</v>
      </c>
      <c r="I61">
        <f t="shared" ca="1" si="4"/>
        <v>38250</v>
      </c>
      <c r="J61" s="10" t="str">
        <f t="shared" ca="1" si="5"/>
        <v>Online</v>
      </c>
      <c r="K61" s="10">
        <f t="shared" ca="1" si="6"/>
        <v>38250</v>
      </c>
      <c r="L61" s="10">
        <f t="shared" ca="1" si="7"/>
        <v>76500</v>
      </c>
      <c r="M61" s="12" t="str" cm="1">
        <f t="array" aca="1" ref="M61" ca="1">INDEX($R$33:$R$82, RANDBETWEEN(1, COUNTA($R$33:$R$82)))</f>
        <v>NV33</v>
      </c>
      <c r="N61">
        <f t="shared" ca="1" si="8"/>
        <v>6</v>
      </c>
      <c r="Q61" s="10"/>
      <c r="R61" s="10" t="s">
        <v>241</v>
      </c>
    </row>
    <row r="62" spans="1:18" ht="16.8" x14ac:dyDescent="0.3">
      <c r="A62" s="7" t="str">
        <f t="shared" si="0"/>
        <v>S0061</v>
      </c>
      <c r="B62" s="8">
        <f t="shared" ca="1" si="1"/>
        <v>44840</v>
      </c>
      <c r="C62" s="15" t="str" cm="1">
        <f t="array" aca="1" ref="C62" ca="1">INDEX($Q$2:$Q$31, RANDBETWEEN(1, COUNTA($Q$2:$Q$31)))</f>
        <v>Mocha</v>
      </c>
      <c r="D62" s="10" t="str" cm="1">
        <f t="array" aca="1" ref="D62" ca="1">INDEX($R$2:$R$310, RANDBETWEEN(1, COUNTA($Q$2:$Q$310)))</f>
        <v>M</v>
      </c>
      <c r="E62">
        <f t="shared" ca="1" si="9"/>
        <v>2</v>
      </c>
      <c r="F62" cm="1">
        <f t="array" aca="1" ref="F62" ca="1">INDEX($S$2:$S$31, RANDBETWEEN(1, COUNTA($S$2:$S$31)))</f>
        <v>49000</v>
      </c>
      <c r="G62" cm="1">
        <f t="array" aca="1" ref="G62" ca="1">INDEX($S$2:$S$31, RANDBETWEEN(1, COUNTA($S$2:$S$31)))</f>
        <v>69000</v>
      </c>
      <c r="H62">
        <f t="shared" ca="1" si="3"/>
        <v>14</v>
      </c>
      <c r="I62">
        <f t="shared" ca="1" si="4"/>
        <v>69000</v>
      </c>
      <c r="J62" s="10" t="str">
        <f t="shared" ca="1" si="5"/>
        <v>Offline</v>
      </c>
      <c r="K62" s="10">
        <f t="shared" ca="1" si="6"/>
        <v>69000</v>
      </c>
      <c r="L62" s="10">
        <f t="shared" ca="1" si="7"/>
        <v>138000</v>
      </c>
      <c r="M62" s="12" t="str" cm="1">
        <f t="array" aca="1" ref="M62" ca="1">INDEX($R$33:$R$82, RANDBETWEEN(1, COUNTA($R$33:$R$82)))</f>
        <v>NV38</v>
      </c>
      <c r="N62">
        <f t="shared" ca="1" si="8"/>
        <v>42</v>
      </c>
      <c r="Q62" s="10"/>
      <c r="R62" s="10" t="s">
        <v>242</v>
      </c>
    </row>
    <row r="63" spans="1:18" ht="16.8" x14ac:dyDescent="0.3">
      <c r="A63" s="7" t="str">
        <f t="shared" si="0"/>
        <v>S0062</v>
      </c>
      <c r="B63" s="8">
        <f t="shared" ca="1" si="1"/>
        <v>44997</v>
      </c>
      <c r="C63" s="15" t="str" cm="1">
        <f t="array" aca="1" ref="C63" ca="1">INDEX($Q$2:$Q$31, RANDBETWEEN(1, COUNTA($Q$2:$Q$31)))</f>
        <v xml:space="preserve">Green Tea Freeze </v>
      </c>
      <c r="D63" s="10" t="str" cm="1">
        <f t="array" aca="1" ref="D63" ca="1">INDEX($R$2:$R$310, RANDBETWEEN(1, COUNTA($Q$2:$Q$310)))</f>
        <v>M</v>
      </c>
      <c r="E63">
        <f t="shared" ca="1" si="9"/>
        <v>5</v>
      </c>
      <c r="F63" cm="1">
        <f t="array" aca="1" ref="F63" ca="1">INDEX($S$2:$S$31, RANDBETWEEN(1, COUNTA($S$2:$S$31)))</f>
        <v>29000</v>
      </c>
      <c r="G63" cm="1">
        <f t="array" aca="1" ref="G63" ca="1">INDEX($S$2:$S$31, RANDBETWEEN(1, COUNTA($S$2:$S$31)))</f>
        <v>65000</v>
      </c>
      <c r="H63">
        <f t="shared" ca="1" si="3"/>
        <v>15</v>
      </c>
      <c r="I63">
        <f t="shared" ca="1" si="4"/>
        <v>24650</v>
      </c>
      <c r="J63" s="10" t="str">
        <f t="shared" ca="1" si="5"/>
        <v>Online</v>
      </c>
      <c r="K63" s="10">
        <f t="shared" ca="1" si="6"/>
        <v>24650</v>
      </c>
      <c r="L63" s="10">
        <f t="shared" ca="1" si="7"/>
        <v>123250</v>
      </c>
      <c r="M63" s="12" t="str" cm="1">
        <f t="array" aca="1" ref="M63" ca="1">INDEX($R$33:$R$82, RANDBETWEEN(1, COUNTA($R$33:$R$82)))</f>
        <v>NV30</v>
      </c>
      <c r="N63">
        <f t="shared" ca="1" si="8"/>
        <v>45</v>
      </c>
      <c r="Q63" s="10"/>
      <c r="R63" s="10" t="s">
        <v>243</v>
      </c>
    </row>
    <row r="64" spans="1:18" ht="16.8" x14ac:dyDescent="0.3">
      <c r="A64" s="7" t="str">
        <f t="shared" si="0"/>
        <v>S0063</v>
      </c>
      <c r="B64" s="8">
        <f t="shared" ca="1" si="1"/>
        <v>45050</v>
      </c>
      <c r="C64" s="15" t="str" cm="1">
        <f t="array" aca="1" ref="C64" ca="1">INDEX($Q$2:$Q$31, RANDBETWEEN(1, COUNTA($Q$2:$Q$31)))</f>
        <v>Americano</v>
      </c>
      <c r="D64" s="10" t="str" cm="1">
        <f t="array" aca="1" ref="D64" ca="1">INDEX($R$2:$R$310, RANDBETWEEN(1, COUNTA($Q$2:$Q$310)))</f>
        <v>L</v>
      </c>
      <c r="E64">
        <f t="shared" ca="1" si="9"/>
        <v>2</v>
      </c>
      <c r="F64" cm="1">
        <f t="array" aca="1" ref="F64" ca="1">INDEX($S$2:$S$31, RANDBETWEEN(1, COUNTA($S$2:$S$31)))</f>
        <v>55000</v>
      </c>
      <c r="G64" cm="1">
        <f t="array" aca="1" ref="G64" ca="1">INDEX($S$2:$S$31, RANDBETWEEN(1, COUNTA($S$2:$S$31)))</f>
        <v>59000</v>
      </c>
      <c r="H64">
        <f t="shared" ca="1" si="3"/>
        <v>5</v>
      </c>
      <c r="I64">
        <f t="shared" ca="1" si="4"/>
        <v>59000</v>
      </c>
      <c r="J64" s="10" t="str">
        <f t="shared" ca="1" si="5"/>
        <v>Offline</v>
      </c>
      <c r="K64" s="10">
        <f t="shared" ca="1" si="6"/>
        <v>59000</v>
      </c>
      <c r="L64" s="10">
        <f t="shared" ca="1" si="7"/>
        <v>118000</v>
      </c>
      <c r="M64" s="12" t="str" cm="1">
        <f t="array" aca="1" ref="M64" ca="1">INDEX($R$33:$R$82, RANDBETWEEN(1, COUNTA($R$33:$R$82)))</f>
        <v>NV15</v>
      </c>
      <c r="N64">
        <f t="shared" ca="1" si="8"/>
        <v>27</v>
      </c>
      <c r="Q64" s="10"/>
      <c r="R64" s="10" t="s">
        <v>244</v>
      </c>
    </row>
    <row r="65" spans="1:18" ht="16.8" x14ac:dyDescent="0.3">
      <c r="A65" s="7" t="str">
        <f t="shared" si="0"/>
        <v>S0064</v>
      </c>
      <c r="B65" s="8">
        <f t="shared" ca="1" si="1"/>
        <v>45225</v>
      </c>
      <c r="C65" s="15" t="str" cm="1">
        <f t="array" aca="1" ref="C65" ca="1">INDEX($Q$2:$Q$31, RANDBETWEEN(1, COUNTA($Q$2:$Q$31)))</f>
        <v>Cappuccino</v>
      </c>
      <c r="D65" s="10" t="str" cm="1">
        <f t="array" aca="1" ref="D65" ca="1">INDEX($R$2:$R$310, RANDBETWEEN(1, COUNTA($Q$2:$Q$310)))</f>
        <v>L</v>
      </c>
      <c r="E65">
        <f t="shared" ca="1" si="9"/>
        <v>1</v>
      </c>
      <c r="F65" cm="1">
        <f t="array" aca="1" ref="F65" ca="1">INDEX($S$2:$S$31, RANDBETWEEN(1, COUNTA($S$2:$S$31)))</f>
        <v>65000</v>
      </c>
      <c r="G65" cm="1">
        <f t="array" aca="1" ref="G65" ca="1">INDEX($S$2:$S$31, RANDBETWEEN(1, COUNTA($S$2:$S$31)))</f>
        <v>65000</v>
      </c>
      <c r="H65">
        <f t="shared" ca="1" si="3"/>
        <v>9</v>
      </c>
      <c r="I65">
        <f t="shared" ca="1" si="4"/>
        <v>65000</v>
      </c>
      <c r="J65" s="10" t="str">
        <f t="shared" ca="1" si="5"/>
        <v>Offline</v>
      </c>
      <c r="K65" s="10">
        <f t="shared" ca="1" si="6"/>
        <v>65000</v>
      </c>
      <c r="L65" s="10">
        <f t="shared" ca="1" si="7"/>
        <v>65000</v>
      </c>
      <c r="M65" s="12" t="str" cm="1">
        <f t="array" aca="1" ref="M65" ca="1">INDEX($R$33:$R$82, RANDBETWEEN(1, COUNTA($R$33:$R$82)))</f>
        <v>NV15</v>
      </c>
      <c r="N65">
        <f t="shared" ca="1" si="8"/>
        <v>6</v>
      </c>
      <c r="Q65" s="10"/>
      <c r="R65" s="10" t="s">
        <v>245</v>
      </c>
    </row>
    <row r="66" spans="1:18" ht="16.8" x14ac:dyDescent="0.3">
      <c r="A66" s="7" t="str">
        <f t="shared" si="0"/>
        <v>S0065</v>
      </c>
      <c r="B66" s="8">
        <f t="shared" ca="1" si="1"/>
        <v>44989</v>
      </c>
      <c r="C66" s="15" t="str" cm="1">
        <f t="array" aca="1" ref="C66" ca="1">INDEX($Q$2:$Q$31, RANDBETWEEN(1, COUNTA($Q$2:$Q$31)))</f>
        <v>Mocha</v>
      </c>
      <c r="D66" s="10" t="str" cm="1">
        <f t="array" aca="1" ref="D66" ca="1">INDEX($R$2:$R$310, RANDBETWEEN(1, COUNTA($Q$2:$Q$310)))</f>
        <v>S</v>
      </c>
      <c r="E66">
        <f t="shared" ca="1" si="9"/>
        <v>3</v>
      </c>
      <c r="F66" cm="1">
        <f t="array" aca="1" ref="F66" ca="1">INDEX($S$2:$S$31, RANDBETWEEN(1, COUNTA($S$2:$S$31)))</f>
        <v>29000</v>
      </c>
      <c r="G66" cm="1">
        <f t="array" aca="1" ref="G66" ca="1">INDEX($S$2:$S$31, RANDBETWEEN(1, COUNTA($S$2:$S$31)))</f>
        <v>59000</v>
      </c>
      <c r="H66">
        <f t="shared" ca="1" si="3"/>
        <v>11</v>
      </c>
      <c r="I66">
        <f t="shared" ca="1" si="4"/>
        <v>59000</v>
      </c>
      <c r="J66" s="10" t="str">
        <f t="shared" ca="1" si="5"/>
        <v>Offline</v>
      </c>
      <c r="K66" s="10">
        <f t="shared" ca="1" si="6"/>
        <v>59000</v>
      </c>
      <c r="L66" s="10">
        <f t="shared" ca="1" si="7"/>
        <v>177000</v>
      </c>
      <c r="M66" s="12" t="str" cm="1">
        <f t="array" aca="1" ref="M66" ca="1">INDEX($R$33:$R$82, RANDBETWEEN(1, COUNTA($R$33:$R$82)))</f>
        <v>NV12</v>
      </c>
      <c r="N66">
        <f t="shared" ca="1" si="8"/>
        <v>20</v>
      </c>
      <c r="Q66" s="10"/>
      <c r="R66" s="10" t="s">
        <v>246</v>
      </c>
    </row>
    <row r="67" spans="1:18" ht="16.8" x14ac:dyDescent="0.3">
      <c r="A67" s="7" t="str">
        <f t="shared" ref="A67:A130" si="10">"S"&amp;TEXT(ROW()-1,"0000")</f>
        <v>S0066</v>
      </c>
      <c r="B67" s="8">
        <f t="shared" ref="B67:B130" ca="1" si="11">DATE(2021,1,1) + RANDBETWEEN(0,1095)</f>
        <v>44476</v>
      </c>
      <c r="C67" s="15" t="str" cm="1">
        <f t="array" aca="1" ref="C67" ca="1">INDEX($Q$2:$Q$31, RANDBETWEEN(1, COUNTA($Q$2:$Q$31)))</f>
        <v>Latte</v>
      </c>
      <c r="D67" s="10" t="str" cm="1">
        <f t="array" aca="1" ref="D67" ca="1">INDEX($R$2:$R$310, RANDBETWEEN(1, COUNTA($Q$2:$Q$310)))</f>
        <v>M</v>
      </c>
      <c r="E67">
        <f t="shared" ref="E67:E130" ca="1" si="12">RANDBETWEEN(1,5)</f>
        <v>2</v>
      </c>
      <c r="F67" cm="1">
        <f t="array" aca="1" ref="F67" ca="1">INDEX($S$2:$S$31, RANDBETWEEN(1, COUNTA($S$2:$S$31)))</f>
        <v>59000</v>
      </c>
      <c r="G67" cm="1">
        <f t="array" aca="1" ref="G67" ca="1">INDEX($S$2:$S$31, RANDBETWEEN(1, COUNTA($S$2:$S$31)))</f>
        <v>35000</v>
      </c>
      <c r="H67">
        <f t="shared" ref="H67:H130" ca="1" si="13">RANDBETWEEN(5,15)</f>
        <v>6</v>
      </c>
      <c r="I67">
        <f t="shared" ref="I67:I130" ca="1" si="14">IF(J67="Online", F67*(1-H67/100), G67)</f>
        <v>35000</v>
      </c>
      <c r="J67" s="10" t="str">
        <f t="shared" ref="J67:J130" ca="1" si="15">IF(RANDBETWEEN(1,2)=1,"Online","Offline")</f>
        <v>Offline</v>
      </c>
      <c r="K67" s="10">
        <f t="shared" ref="K67:K130" ca="1" si="16">I67</f>
        <v>35000</v>
      </c>
      <c r="L67" s="10">
        <f t="shared" ref="L67:L130" ca="1" si="17">E67*K67</f>
        <v>70000</v>
      </c>
      <c r="M67" s="12" t="str" cm="1">
        <f t="array" aca="1" ref="M67" ca="1">INDEX($R$33:$R$82, RANDBETWEEN(1, COUNTA($R$33:$R$82)))</f>
        <v>NV46</v>
      </c>
      <c r="N67">
        <f t="shared" ref="N67:N130" ca="1" si="18" xml:space="preserve"> RANDBETWEEN(2,51)</f>
        <v>40</v>
      </c>
      <c r="Q67" s="10"/>
      <c r="R67" s="10" t="s">
        <v>247</v>
      </c>
    </row>
    <row r="68" spans="1:18" ht="16.8" x14ac:dyDescent="0.3">
      <c r="A68" s="7" t="str">
        <f t="shared" si="10"/>
        <v>S0067</v>
      </c>
      <c r="B68" s="8">
        <f t="shared" ca="1" si="11"/>
        <v>45164</v>
      </c>
      <c r="C68" s="15" t="str" cm="1">
        <f t="array" aca="1" ref="C68" ca="1">INDEX($Q$2:$Q$31, RANDBETWEEN(1, COUNTA($Q$2:$Q$31)))</f>
        <v>Cookies &amp; Cream</v>
      </c>
      <c r="D68" s="10" t="str" cm="1">
        <f t="array" aca="1" ref="D68" ca="1">INDEX($R$2:$R$310, RANDBETWEEN(1, COUNTA($Q$2:$Q$310)))</f>
        <v>S</v>
      </c>
      <c r="E68">
        <f t="shared" ca="1" si="12"/>
        <v>5</v>
      </c>
      <c r="F68" cm="1">
        <f t="array" aca="1" ref="F68" ca="1">INDEX($S$2:$S$31, RANDBETWEEN(1, COUNTA($S$2:$S$31)))</f>
        <v>65000</v>
      </c>
      <c r="G68" cm="1">
        <f t="array" aca="1" ref="G68" ca="1">INDEX($S$2:$S$31, RANDBETWEEN(1, COUNTA($S$2:$S$31)))</f>
        <v>65000</v>
      </c>
      <c r="H68">
        <f t="shared" ca="1" si="13"/>
        <v>13</v>
      </c>
      <c r="I68">
        <f t="shared" ca="1" si="14"/>
        <v>56550</v>
      </c>
      <c r="J68" s="10" t="str">
        <f t="shared" ca="1" si="15"/>
        <v>Online</v>
      </c>
      <c r="K68" s="10">
        <f t="shared" ca="1" si="16"/>
        <v>56550</v>
      </c>
      <c r="L68" s="10">
        <f t="shared" ca="1" si="17"/>
        <v>282750</v>
      </c>
      <c r="M68" s="12" t="str" cm="1">
        <f t="array" aca="1" ref="M68" ca="1">INDEX($R$33:$R$82, RANDBETWEEN(1, COUNTA($R$33:$R$82)))</f>
        <v>NV26</v>
      </c>
      <c r="N68">
        <f t="shared" ca="1" si="18"/>
        <v>9</v>
      </c>
      <c r="Q68" s="10"/>
      <c r="R68" s="10" t="s">
        <v>248</v>
      </c>
    </row>
    <row r="69" spans="1:18" ht="16.8" x14ac:dyDescent="0.3">
      <c r="A69" s="7" t="str">
        <f t="shared" si="10"/>
        <v>S0068</v>
      </c>
      <c r="B69" s="8">
        <f t="shared" ca="1" si="11"/>
        <v>44885</v>
      </c>
      <c r="C69" s="15" t="str" cm="1">
        <f t="array" aca="1" ref="C69" ca="1">INDEX($Q$2:$Q$31, RANDBETWEEN(1, COUNTA($Q$2:$Q$31)))</f>
        <v>Iced Black Coffee</v>
      </c>
      <c r="D69" s="10" t="str" cm="1">
        <f t="array" aca="1" ref="D69" ca="1">INDEX($R$2:$R$310, RANDBETWEEN(1, COUNTA($Q$2:$Q$310)))</f>
        <v>S</v>
      </c>
      <c r="E69">
        <f t="shared" ca="1" si="12"/>
        <v>1</v>
      </c>
      <c r="F69" cm="1">
        <f t="array" aca="1" ref="F69" ca="1">INDEX($S$2:$S$31, RANDBETWEEN(1, COUNTA($S$2:$S$31)))</f>
        <v>55000</v>
      </c>
      <c r="G69" cm="1">
        <f t="array" aca="1" ref="G69" ca="1">INDEX($S$2:$S$31, RANDBETWEEN(1, COUNTA($S$2:$S$31)))</f>
        <v>65000</v>
      </c>
      <c r="H69">
        <f t="shared" ca="1" si="13"/>
        <v>13</v>
      </c>
      <c r="I69">
        <f t="shared" ca="1" si="14"/>
        <v>65000</v>
      </c>
      <c r="J69" s="10" t="str">
        <f t="shared" ca="1" si="15"/>
        <v>Offline</v>
      </c>
      <c r="K69" s="10">
        <f t="shared" ca="1" si="16"/>
        <v>65000</v>
      </c>
      <c r="L69" s="10">
        <f t="shared" ca="1" si="17"/>
        <v>65000</v>
      </c>
      <c r="M69" s="12" t="str" cm="1">
        <f t="array" aca="1" ref="M69" ca="1">INDEX($R$33:$R$82, RANDBETWEEN(1, COUNTA($R$33:$R$82)))</f>
        <v>NV9</v>
      </c>
      <c r="N69">
        <f t="shared" ca="1" si="18"/>
        <v>50</v>
      </c>
      <c r="Q69" s="10"/>
      <c r="R69" s="10" t="s">
        <v>249</v>
      </c>
    </row>
    <row r="70" spans="1:18" ht="16.8" x14ac:dyDescent="0.3">
      <c r="A70" s="7" t="str">
        <f t="shared" si="10"/>
        <v>S0069</v>
      </c>
      <c r="B70" s="8">
        <f t="shared" ca="1" si="11"/>
        <v>45151</v>
      </c>
      <c r="C70" s="15" t="str" cm="1">
        <f t="array" aca="1" ref="C70" ca="1">INDEX($Q$2:$Q$31, RANDBETWEEN(1, COUNTA($Q$2:$Q$31)))</f>
        <v xml:space="preserve">Green Tea Freeze </v>
      </c>
      <c r="D70" s="10" t="str" cm="1">
        <f t="array" aca="1" ref="D70" ca="1">INDEX($R$2:$R$310, RANDBETWEEN(1, COUNTA($Q$2:$Q$310)))</f>
        <v>S</v>
      </c>
      <c r="E70">
        <f t="shared" ca="1" si="12"/>
        <v>4</v>
      </c>
      <c r="F70" cm="1">
        <f t="array" aca="1" ref="F70" ca="1">INDEX($S$2:$S$31, RANDBETWEEN(1, COUNTA($S$2:$S$31)))</f>
        <v>69000</v>
      </c>
      <c r="G70" cm="1">
        <f t="array" aca="1" ref="G70" ca="1">INDEX($S$2:$S$31, RANDBETWEEN(1, COUNTA($S$2:$S$31)))</f>
        <v>59000</v>
      </c>
      <c r="H70">
        <f t="shared" ca="1" si="13"/>
        <v>10</v>
      </c>
      <c r="I70">
        <f t="shared" ca="1" si="14"/>
        <v>62100</v>
      </c>
      <c r="J70" s="10" t="str">
        <f t="shared" ca="1" si="15"/>
        <v>Online</v>
      </c>
      <c r="K70" s="10">
        <f t="shared" ca="1" si="16"/>
        <v>62100</v>
      </c>
      <c r="L70" s="10">
        <f t="shared" ca="1" si="17"/>
        <v>248400</v>
      </c>
      <c r="M70" s="12" t="str" cm="1">
        <f t="array" aca="1" ref="M70" ca="1">INDEX($R$33:$R$82, RANDBETWEEN(1, COUNTA($R$33:$R$82)))</f>
        <v>NV25</v>
      </c>
      <c r="N70">
        <f t="shared" ca="1" si="18"/>
        <v>2</v>
      </c>
      <c r="Q70" s="10"/>
      <c r="R70" s="10" t="s">
        <v>250</v>
      </c>
    </row>
    <row r="71" spans="1:18" ht="16.8" x14ac:dyDescent="0.3">
      <c r="A71" s="7" t="str">
        <f t="shared" si="10"/>
        <v>S0070</v>
      </c>
      <c r="B71" s="8">
        <f t="shared" ca="1" si="11"/>
        <v>44368</v>
      </c>
      <c r="C71" s="15" t="str" cm="1">
        <f t="array" aca="1" ref="C71" ca="1">INDEX($Q$2:$Q$31, RANDBETWEEN(1, COUNTA($Q$2:$Q$31)))</f>
        <v>Classic Phin Freeze</v>
      </c>
      <c r="D71" s="10" t="str" cm="1">
        <f t="array" aca="1" ref="D71" ca="1">INDEX($R$2:$R$310, RANDBETWEEN(1, COUNTA($Q$2:$Q$310)))</f>
        <v>S</v>
      </c>
      <c r="E71">
        <f t="shared" ca="1" si="12"/>
        <v>2</v>
      </c>
      <c r="F71" cm="1">
        <f t="array" aca="1" ref="F71" ca="1">INDEX($S$2:$S$31, RANDBETWEEN(1, COUNTA($S$2:$S$31)))</f>
        <v>35000</v>
      </c>
      <c r="G71" cm="1">
        <f t="array" aca="1" ref="G71" ca="1">INDEX($S$2:$S$31, RANDBETWEEN(1, COUNTA($S$2:$S$31)))</f>
        <v>65000</v>
      </c>
      <c r="H71">
        <f t="shared" ca="1" si="13"/>
        <v>8</v>
      </c>
      <c r="I71">
        <f t="shared" ca="1" si="14"/>
        <v>65000</v>
      </c>
      <c r="J71" s="10" t="str">
        <f t="shared" ca="1" si="15"/>
        <v>Offline</v>
      </c>
      <c r="K71" s="10">
        <f t="shared" ca="1" si="16"/>
        <v>65000</v>
      </c>
      <c r="L71" s="10">
        <f t="shared" ca="1" si="17"/>
        <v>130000</v>
      </c>
      <c r="M71" s="12" t="str" cm="1">
        <f t="array" aca="1" ref="M71" ca="1">INDEX($R$33:$R$82, RANDBETWEEN(1, COUNTA($R$33:$R$82)))</f>
        <v>NV30</v>
      </c>
      <c r="N71">
        <f t="shared" ca="1" si="18"/>
        <v>35</v>
      </c>
      <c r="Q71" s="10"/>
      <c r="R71" s="10" t="s">
        <v>251</v>
      </c>
    </row>
    <row r="72" spans="1:18" ht="16.8" x14ac:dyDescent="0.3">
      <c r="A72" s="7" t="str">
        <f t="shared" si="10"/>
        <v>S0071</v>
      </c>
      <c r="B72" s="8">
        <f t="shared" ca="1" si="11"/>
        <v>44354</v>
      </c>
      <c r="C72" s="15" t="str" cm="1">
        <f t="array" aca="1" ref="C72" ca="1">INDEX($Q$2:$Q$31, RANDBETWEEN(1, COUNTA($Q$2:$Q$31)))</f>
        <v>Americano</v>
      </c>
      <c r="D72" s="10" t="str" cm="1">
        <f t="array" aca="1" ref="D72" ca="1">INDEX($R$2:$R$310, RANDBETWEEN(1, COUNTA($Q$2:$Q$310)))</f>
        <v>M</v>
      </c>
      <c r="E72">
        <f t="shared" ca="1" si="12"/>
        <v>5</v>
      </c>
      <c r="F72" cm="1">
        <f t="array" aca="1" ref="F72" ca="1">INDEX($S$2:$S$31, RANDBETWEEN(1, COUNTA($S$2:$S$31)))</f>
        <v>59000</v>
      </c>
      <c r="G72" cm="1">
        <f t="array" aca="1" ref="G72" ca="1">INDEX($S$2:$S$31, RANDBETWEEN(1, COUNTA($S$2:$S$31)))</f>
        <v>35000</v>
      </c>
      <c r="H72">
        <f t="shared" ca="1" si="13"/>
        <v>12</v>
      </c>
      <c r="I72">
        <f t="shared" ca="1" si="14"/>
        <v>51920</v>
      </c>
      <c r="J72" s="10" t="str">
        <f t="shared" ca="1" si="15"/>
        <v>Online</v>
      </c>
      <c r="K72" s="10">
        <f t="shared" ca="1" si="16"/>
        <v>51920</v>
      </c>
      <c r="L72" s="10">
        <f t="shared" ca="1" si="17"/>
        <v>259600</v>
      </c>
      <c r="M72" s="12" t="str" cm="1">
        <f t="array" aca="1" ref="M72" ca="1">INDEX($R$33:$R$82, RANDBETWEEN(1, COUNTA($R$33:$R$82)))</f>
        <v>NV47</v>
      </c>
      <c r="N72">
        <f t="shared" ca="1" si="18"/>
        <v>11</v>
      </c>
      <c r="Q72" s="10"/>
      <c r="R72" s="10" t="s">
        <v>252</v>
      </c>
    </row>
    <row r="73" spans="1:18" ht="16.8" x14ac:dyDescent="0.3">
      <c r="A73" s="7" t="str">
        <f t="shared" si="10"/>
        <v>S0072</v>
      </c>
      <c r="B73" s="8">
        <f t="shared" ca="1" si="11"/>
        <v>44886</v>
      </c>
      <c r="C73" s="15" t="str" cm="1">
        <f t="array" aca="1" ref="C73" ca="1">INDEX($Q$2:$Q$31, RANDBETWEEN(1, COUNTA($Q$2:$Q$31)))</f>
        <v>Cookies &amp; Cream</v>
      </c>
      <c r="D73" s="10" t="str" cm="1">
        <f t="array" aca="1" ref="D73" ca="1">INDEX($R$2:$R$310, RANDBETWEEN(1, COUNTA($Q$2:$Q$310)))</f>
        <v>M</v>
      </c>
      <c r="E73">
        <f t="shared" ca="1" si="12"/>
        <v>1</v>
      </c>
      <c r="F73" cm="1">
        <f t="array" aca="1" ref="F73" ca="1">INDEX($S$2:$S$31, RANDBETWEEN(1, COUNTA($S$2:$S$31)))</f>
        <v>65000</v>
      </c>
      <c r="G73" cm="1">
        <f t="array" aca="1" ref="G73" ca="1">INDEX($S$2:$S$31, RANDBETWEEN(1, COUNTA($S$2:$S$31)))</f>
        <v>69000</v>
      </c>
      <c r="H73">
        <f t="shared" ca="1" si="13"/>
        <v>12</v>
      </c>
      <c r="I73">
        <f t="shared" ca="1" si="14"/>
        <v>57200</v>
      </c>
      <c r="J73" s="10" t="str">
        <f t="shared" ca="1" si="15"/>
        <v>Online</v>
      </c>
      <c r="K73" s="10">
        <f t="shared" ca="1" si="16"/>
        <v>57200</v>
      </c>
      <c r="L73" s="10">
        <f t="shared" ca="1" si="17"/>
        <v>57200</v>
      </c>
      <c r="M73" s="12" t="str" cm="1">
        <f t="array" aca="1" ref="M73" ca="1">INDEX($R$33:$R$82, RANDBETWEEN(1, COUNTA($R$33:$R$82)))</f>
        <v>NV30</v>
      </c>
      <c r="N73">
        <f t="shared" ca="1" si="18"/>
        <v>29</v>
      </c>
      <c r="Q73" s="10"/>
      <c r="R73" s="10" t="s">
        <v>253</v>
      </c>
    </row>
    <row r="74" spans="1:18" ht="16.8" x14ac:dyDescent="0.3">
      <c r="A74" s="7" t="str">
        <f t="shared" si="10"/>
        <v>S0073</v>
      </c>
      <c r="B74" s="8">
        <f t="shared" ca="1" si="11"/>
        <v>44405</v>
      </c>
      <c r="C74" s="15" t="str" cm="1">
        <f t="array" aca="1" ref="C74" ca="1">INDEX($Q$2:$Q$31, RANDBETWEEN(1, COUNTA($Q$2:$Q$31)))</f>
        <v>Iced Black Coffee</v>
      </c>
      <c r="D74" s="10" t="str" cm="1">
        <f t="array" aca="1" ref="D74" ca="1">INDEX($R$2:$R$310, RANDBETWEEN(1, COUNTA($Q$2:$Q$310)))</f>
        <v>L</v>
      </c>
      <c r="E74">
        <f t="shared" ca="1" si="12"/>
        <v>2</v>
      </c>
      <c r="F74" cm="1">
        <f t="array" aca="1" ref="F74" ca="1">INDEX($S$2:$S$31, RANDBETWEEN(1, COUNTA($S$2:$S$31)))</f>
        <v>55000</v>
      </c>
      <c r="G74" cm="1">
        <f t="array" aca="1" ref="G74" ca="1">INDEX($S$2:$S$31, RANDBETWEEN(1, COUNTA($S$2:$S$31)))</f>
        <v>55000</v>
      </c>
      <c r="H74">
        <f t="shared" ca="1" si="13"/>
        <v>15</v>
      </c>
      <c r="I74">
        <f t="shared" ca="1" si="14"/>
        <v>55000</v>
      </c>
      <c r="J74" s="10" t="str">
        <f t="shared" ca="1" si="15"/>
        <v>Offline</v>
      </c>
      <c r="K74" s="10">
        <f t="shared" ca="1" si="16"/>
        <v>55000</v>
      </c>
      <c r="L74" s="10">
        <f t="shared" ca="1" si="17"/>
        <v>110000</v>
      </c>
      <c r="M74" s="12" t="str" cm="1">
        <f t="array" aca="1" ref="M74" ca="1">INDEX($R$33:$R$82, RANDBETWEEN(1, COUNTA($R$33:$R$82)))</f>
        <v>NV21</v>
      </c>
      <c r="N74">
        <f t="shared" ca="1" si="18"/>
        <v>38</v>
      </c>
      <c r="Q74" s="10"/>
      <c r="R74" s="10" t="s">
        <v>254</v>
      </c>
    </row>
    <row r="75" spans="1:18" ht="16.8" x14ac:dyDescent="0.3">
      <c r="A75" s="7" t="str">
        <f t="shared" si="10"/>
        <v>S0074</v>
      </c>
      <c r="B75" s="8">
        <f t="shared" ca="1" si="11"/>
        <v>44219</v>
      </c>
      <c r="C75" s="15" t="str" cm="1">
        <f t="array" aca="1" ref="C75" ca="1">INDEX($Q$2:$Q$31, RANDBETWEEN(1, COUNTA($Q$2:$Q$31)))</f>
        <v>Latte</v>
      </c>
      <c r="D75" s="10" t="str" cm="1">
        <f t="array" aca="1" ref="D75" ca="1">INDEX($R$2:$R$310, RANDBETWEEN(1, COUNTA($Q$2:$Q$310)))</f>
        <v>L</v>
      </c>
      <c r="E75">
        <f t="shared" ca="1" si="12"/>
        <v>5</v>
      </c>
      <c r="F75" cm="1">
        <f t="array" aca="1" ref="F75" ca="1">INDEX($S$2:$S$31, RANDBETWEEN(1, COUNTA($S$2:$S$31)))</f>
        <v>59000</v>
      </c>
      <c r="G75" cm="1">
        <f t="array" aca="1" ref="G75" ca="1">INDEX($S$2:$S$31, RANDBETWEEN(1, COUNTA($S$2:$S$31)))</f>
        <v>49000</v>
      </c>
      <c r="H75">
        <f t="shared" ca="1" si="13"/>
        <v>9</v>
      </c>
      <c r="I75">
        <f t="shared" ca="1" si="14"/>
        <v>53690</v>
      </c>
      <c r="J75" s="10" t="str">
        <f t="shared" ca="1" si="15"/>
        <v>Online</v>
      </c>
      <c r="K75" s="10">
        <f t="shared" ca="1" si="16"/>
        <v>53690</v>
      </c>
      <c r="L75" s="10">
        <f t="shared" ca="1" si="17"/>
        <v>268450</v>
      </c>
      <c r="M75" s="12" t="str" cm="1">
        <f t="array" aca="1" ref="M75" ca="1">INDEX($R$33:$R$82, RANDBETWEEN(1, COUNTA($R$33:$R$82)))</f>
        <v>NV32</v>
      </c>
      <c r="N75">
        <f t="shared" ca="1" si="18"/>
        <v>24</v>
      </c>
      <c r="Q75" s="10"/>
      <c r="R75" s="10" t="s">
        <v>255</v>
      </c>
    </row>
    <row r="76" spans="1:18" ht="16.8" x14ac:dyDescent="0.3">
      <c r="A76" s="7" t="str">
        <f t="shared" si="10"/>
        <v>S0075</v>
      </c>
      <c r="B76" s="8">
        <f t="shared" ca="1" si="11"/>
        <v>45225</v>
      </c>
      <c r="C76" s="15" t="str" cm="1">
        <f t="array" aca="1" ref="C76" ca="1">INDEX($Q$2:$Q$31, RANDBETWEEN(1, COUNTA($Q$2:$Q$31)))</f>
        <v>Cappuccino</v>
      </c>
      <c r="D76" s="10" t="str" cm="1">
        <f t="array" aca="1" ref="D76" ca="1">INDEX($R$2:$R$310, RANDBETWEEN(1, COUNTA($Q$2:$Q$310)))</f>
        <v>M</v>
      </c>
      <c r="E76">
        <f t="shared" ca="1" si="12"/>
        <v>1</v>
      </c>
      <c r="F76" cm="1">
        <f t="array" aca="1" ref="F76" ca="1">INDEX($S$2:$S$31, RANDBETWEEN(1, COUNTA($S$2:$S$31)))</f>
        <v>59000</v>
      </c>
      <c r="G76" cm="1">
        <f t="array" aca="1" ref="G76" ca="1">INDEX($S$2:$S$31, RANDBETWEEN(1, COUNTA($S$2:$S$31)))</f>
        <v>65000</v>
      </c>
      <c r="H76">
        <f t="shared" ca="1" si="13"/>
        <v>6</v>
      </c>
      <c r="I76">
        <f t="shared" ca="1" si="14"/>
        <v>55460</v>
      </c>
      <c r="J76" s="10" t="str">
        <f t="shared" ca="1" si="15"/>
        <v>Online</v>
      </c>
      <c r="K76" s="10">
        <f t="shared" ca="1" si="16"/>
        <v>55460</v>
      </c>
      <c r="L76" s="10">
        <f t="shared" ca="1" si="17"/>
        <v>55460</v>
      </c>
      <c r="M76" s="12" t="str" cm="1">
        <f t="array" aca="1" ref="M76" ca="1">INDEX($R$33:$R$82, RANDBETWEEN(1, COUNTA($R$33:$R$82)))</f>
        <v>NV38</v>
      </c>
      <c r="N76">
        <f t="shared" ca="1" si="18"/>
        <v>35</v>
      </c>
      <c r="Q76" s="10"/>
      <c r="R76" s="10" t="s">
        <v>256</v>
      </c>
    </row>
    <row r="77" spans="1:18" ht="16.8" x14ac:dyDescent="0.3">
      <c r="A77" s="7" t="str">
        <f t="shared" si="10"/>
        <v>S0076</v>
      </c>
      <c r="B77" s="8">
        <f t="shared" ca="1" si="11"/>
        <v>45101</v>
      </c>
      <c r="C77" s="15" t="str" cm="1">
        <f t="array" aca="1" ref="C77" ca="1">INDEX($Q$2:$Q$31, RANDBETWEEN(1, COUNTA($Q$2:$Q$31)))</f>
        <v>Mocha</v>
      </c>
      <c r="D77" s="10" t="str" cm="1">
        <f t="array" aca="1" ref="D77" ca="1">INDEX($R$2:$R$310, RANDBETWEEN(1, COUNTA($Q$2:$Q$310)))</f>
        <v>M</v>
      </c>
      <c r="E77">
        <f t="shared" ca="1" si="12"/>
        <v>3</v>
      </c>
      <c r="F77" cm="1">
        <f t="array" aca="1" ref="F77" ca="1">INDEX($S$2:$S$31, RANDBETWEEN(1, COUNTA($S$2:$S$31)))</f>
        <v>59000</v>
      </c>
      <c r="G77" cm="1">
        <f t="array" aca="1" ref="G77" ca="1">INDEX($S$2:$S$31, RANDBETWEEN(1, COUNTA($S$2:$S$31)))</f>
        <v>39000</v>
      </c>
      <c r="H77">
        <f t="shared" ca="1" si="13"/>
        <v>12</v>
      </c>
      <c r="I77">
        <f t="shared" ca="1" si="14"/>
        <v>39000</v>
      </c>
      <c r="J77" s="10" t="str">
        <f t="shared" ca="1" si="15"/>
        <v>Offline</v>
      </c>
      <c r="K77" s="10">
        <f t="shared" ca="1" si="16"/>
        <v>39000</v>
      </c>
      <c r="L77" s="10">
        <f t="shared" ca="1" si="17"/>
        <v>117000</v>
      </c>
      <c r="M77" s="12" t="str" cm="1">
        <f t="array" aca="1" ref="M77" ca="1">INDEX($R$33:$R$82, RANDBETWEEN(1, COUNTA($R$33:$R$82)))</f>
        <v>NV16</v>
      </c>
      <c r="N77">
        <f t="shared" ca="1" si="18"/>
        <v>5</v>
      </c>
      <c r="R77" s="10" t="s">
        <v>257</v>
      </c>
    </row>
    <row r="78" spans="1:18" ht="16.8" x14ac:dyDescent="0.3">
      <c r="A78" s="7" t="str">
        <f t="shared" si="10"/>
        <v>S0077</v>
      </c>
      <c r="B78" s="8">
        <f t="shared" ca="1" si="11"/>
        <v>44490</v>
      </c>
      <c r="C78" s="15" t="str" cm="1">
        <f t="array" aca="1" ref="C78" ca="1">INDEX($Q$2:$Q$31, RANDBETWEEN(1, COUNTA($Q$2:$Q$31)))</f>
        <v>Americano</v>
      </c>
      <c r="D78" s="10" t="str" cm="1">
        <f t="array" aca="1" ref="D78" ca="1">INDEX($R$2:$R$310, RANDBETWEEN(1, COUNTA($Q$2:$Q$310)))</f>
        <v>L</v>
      </c>
      <c r="E78">
        <f t="shared" ca="1" si="12"/>
        <v>3</v>
      </c>
      <c r="F78" cm="1">
        <f t="array" aca="1" ref="F78" ca="1">INDEX($S$2:$S$31, RANDBETWEEN(1, COUNTA($S$2:$S$31)))</f>
        <v>45000</v>
      </c>
      <c r="G78" cm="1">
        <f t="array" aca="1" ref="G78" ca="1">INDEX($S$2:$S$31, RANDBETWEEN(1, COUNTA($S$2:$S$31)))</f>
        <v>55000</v>
      </c>
      <c r="H78">
        <f t="shared" ca="1" si="13"/>
        <v>10</v>
      </c>
      <c r="I78">
        <f t="shared" ca="1" si="14"/>
        <v>40500</v>
      </c>
      <c r="J78" s="10" t="str">
        <f t="shared" ca="1" si="15"/>
        <v>Online</v>
      </c>
      <c r="K78" s="10">
        <f t="shared" ca="1" si="16"/>
        <v>40500</v>
      </c>
      <c r="L78" s="10">
        <f t="shared" ca="1" si="17"/>
        <v>121500</v>
      </c>
      <c r="M78" s="12" t="str" cm="1">
        <f t="array" aca="1" ref="M78" ca="1">INDEX($R$33:$R$82, RANDBETWEEN(1, COUNTA($R$33:$R$82)))</f>
        <v>NV4</v>
      </c>
      <c r="N78">
        <f t="shared" ca="1" si="18"/>
        <v>47</v>
      </c>
      <c r="R78" s="10" t="s">
        <v>258</v>
      </c>
    </row>
    <row r="79" spans="1:18" ht="16.8" x14ac:dyDescent="0.3">
      <c r="A79" s="7" t="str">
        <f t="shared" si="10"/>
        <v>S0078</v>
      </c>
      <c r="B79" s="8">
        <f t="shared" ca="1" si="11"/>
        <v>44299</v>
      </c>
      <c r="C79" s="15" t="str" cm="1">
        <f t="array" aca="1" ref="C79" ca="1">INDEX($Q$2:$Q$31, RANDBETWEEN(1, COUNTA($Q$2:$Q$31)))</f>
        <v xml:space="preserve">Chocolate Freeze </v>
      </c>
      <c r="D79" s="10" t="str" cm="1">
        <f t="array" aca="1" ref="D79" ca="1">INDEX($R$2:$R$310, RANDBETWEEN(1, COUNTA($Q$2:$Q$310)))</f>
        <v>S</v>
      </c>
      <c r="E79">
        <f t="shared" ca="1" si="12"/>
        <v>3</v>
      </c>
      <c r="F79" cm="1">
        <f t="array" aca="1" ref="F79" ca="1">INDEX($S$2:$S$31, RANDBETWEEN(1, COUNTA($S$2:$S$31)))</f>
        <v>49000</v>
      </c>
      <c r="G79" cm="1">
        <f t="array" aca="1" ref="G79" ca="1">INDEX($S$2:$S$31, RANDBETWEEN(1, COUNTA($S$2:$S$31)))</f>
        <v>59000</v>
      </c>
      <c r="H79">
        <f t="shared" ca="1" si="13"/>
        <v>7</v>
      </c>
      <c r="I79">
        <f t="shared" ca="1" si="14"/>
        <v>59000</v>
      </c>
      <c r="J79" s="10" t="str">
        <f t="shared" ca="1" si="15"/>
        <v>Offline</v>
      </c>
      <c r="K79" s="10">
        <f t="shared" ca="1" si="16"/>
        <v>59000</v>
      </c>
      <c r="L79" s="10">
        <f t="shared" ca="1" si="17"/>
        <v>177000</v>
      </c>
      <c r="M79" s="12" t="str" cm="1">
        <f t="array" aca="1" ref="M79" ca="1">INDEX($R$33:$R$82, RANDBETWEEN(1, COUNTA($R$33:$R$82)))</f>
        <v>NV44</v>
      </c>
      <c r="N79">
        <f t="shared" ca="1" si="18"/>
        <v>44</v>
      </c>
      <c r="R79" s="10" t="s">
        <v>259</v>
      </c>
    </row>
    <row r="80" spans="1:18" ht="16.8" x14ac:dyDescent="0.3">
      <c r="A80" s="7" t="str">
        <f t="shared" si="10"/>
        <v>S0079</v>
      </c>
      <c r="B80" s="8">
        <f t="shared" ca="1" si="11"/>
        <v>44244</v>
      </c>
      <c r="C80" s="15" t="str" cm="1">
        <f t="array" aca="1" ref="C80" ca="1">INDEX($Q$2:$Q$31, RANDBETWEEN(1, COUNTA($Q$2:$Q$31)))</f>
        <v>Cookies &amp; Cream</v>
      </c>
      <c r="D80" s="10" t="str" cm="1">
        <f t="array" aca="1" ref="D80" ca="1">INDEX($R$2:$R$310, RANDBETWEEN(1, COUNTA($Q$2:$Q$310)))</f>
        <v>M</v>
      </c>
      <c r="E80">
        <f t="shared" ca="1" si="12"/>
        <v>1</v>
      </c>
      <c r="F80" cm="1">
        <f t="array" aca="1" ref="F80" ca="1">INDEX($S$2:$S$31, RANDBETWEEN(1, COUNTA($S$2:$S$31)))</f>
        <v>29000</v>
      </c>
      <c r="G80" cm="1">
        <f t="array" aca="1" ref="G80" ca="1">INDEX($S$2:$S$31, RANDBETWEEN(1, COUNTA($S$2:$S$31)))</f>
        <v>49000</v>
      </c>
      <c r="H80">
        <f t="shared" ca="1" si="13"/>
        <v>13</v>
      </c>
      <c r="I80">
        <f t="shared" ca="1" si="14"/>
        <v>25230</v>
      </c>
      <c r="J80" s="10" t="str">
        <f t="shared" ca="1" si="15"/>
        <v>Online</v>
      </c>
      <c r="K80" s="10">
        <f t="shared" ca="1" si="16"/>
        <v>25230</v>
      </c>
      <c r="L80" s="10">
        <f t="shared" ca="1" si="17"/>
        <v>25230</v>
      </c>
      <c r="M80" s="12" t="str" cm="1">
        <f t="array" aca="1" ref="M80" ca="1">INDEX($R$33:$R$82, RANDBETWEEN(1, COUNTA($R$33:$R$82)))</f>
        <v>NV5</v>
      </c>
      <c r="N80">
        <f t="shared" ca="1" si="18"/>
        <v>29</v>
      </c>
      <c r="R80" s="10" t="s">
        <v>260</v>
      </c>
    </row>
    <row r="81" spans="1:18" ht="16.8" x14ac:dyDescent="0.3">
      <c r="A81" s="7" t="str">
        <f t="shared" si="10"/>
        <v>S0080</v>
      </c>
      <c r="B81" s="8">
        <f t="shared" ca="1" si="11"/>
        <v>44583</v>
      </c>
      <c r="C81" s="15" t="str" cm="1">
        <f t="array" aca="1" ref="C81" ca="1">INDEX($Q$2:$Q$31, RANDBETWEEN(1, COUNTA($Q$2:$Q$31)))</f>
        <v>Cookies &amp; Cream</v>
      </c>
      <c r="D81" s="10" t="str" cm="1">
        <f t="array" aca="1" ref="D81" ca="1">INDEX($R$2:$R$310, RANDBETWEEN(1, COUNTA($Q$2:$Q$310)))</f>
        <v>M</v>
      </c>
      <c r="E81">
        <f t="shared" ca="1" si="12"/>
        <v>3</v>
      </c>
      <c r="F81" cm="1">
        <f t="array" aca="1" ref="F81" ca="1">INDEX($S$2:$S$31, RANDBETWEEN(1, COUNTA($S$2:$S$31)))</f>
        <v>49000</v>
      </c>
      <c r="G81" cm="1">
        <f t="array" aca="1" ref="G81" ca="1">INDEX($S$2:$S$31, RANDBETWEEN(1, COUNTA($S$2:$S$31)))</f>
        <v>69000</v>
      </c>
      <c r="H81">
        <f t="shared" ca="1" si="13"/>
        <v>13</v>
      </c>
      <c r="I81">
        <f t="shared" ca="1" si="14"/>
        <v>42630</v>
      </c>
      <c r="J81" s="10" t="str">
        <f t="shared" ca="1" si="15"/>
        <v>Online</v>
      </c>
      <c r="K81" s="10">
        <f t="shared" ca="1" si="16"/>
        <v>42630</v>
      </c>
      <c r="L81" s="10">
        <f t="shared" ca="1" si="17"/>
        <v>127890</v>
      </c>
      <c r="M81" s="12" t="str" cm="1">
        <f t="array" aca="1" ref="M81" ca="1">INDEX($R$33:$R$82, RANDBETWEEN(1, COUNTA($R$33:$R$82)))</f>
        <v>NV15</v>
      </c>
      <c r="N81">
        <f t="shared" ca="1" si="18"/>
        <v>44</v>
      </c>
      <c r="R81" s="10" t="s">
        <v>261</v>
      </c>
    </row>
    <row r="82" spans="1:18" ht="16.8" x14ac:dyDescent="0.3">
      <c r="A82" s="7" t="str">
        <f t="shared" si="10"/>
        <v>S0081</v>
      </c>
      <c r="B82" s="8">
        <f t="shared" ca="1" si="11"/>
        <v>44604</v>
      </c>
      <c r="C82" s="15" t="str" cm="1">
        <f t="array" aca="1" ref="C82" ca="1">INDEX($Q$2:$Q$31, RANDBETWEEN(1, COUNTA($Q$2:$Q$31)))</f>
        <v>Iced Black Coffee</v>
      </c>
      <c r="D82" s="10" t="str" cm="1">
        <f t="array" aca="1" ref="D82" ca="1">INDEX($R$2:$R$310, RANDBETWEEN(1, COUNTA($Q$2:$Q$310)))</f>
        <v>L</v>
      </c>
      <c r="E82">
        <f t="shared" ca="1" si="12"/>
        <v>1</v>
      </c>
      <c r="F82" cm="1">
        <f t="array" aca="1" ref="F82" ca="1">INDEX($S$2:$S$31, RANDBETWEEN(1, COUNTA($S$2:$S$31)))</f>
        <v>49000</v>
      </c>
      <c r="G82" cm="1">
        <f t="array" aca="1" ref="G82" ca="1">INDEX($S$2:$S$31, RANDBETWEEN(1, COUNTA($S$2:$S$31)))</f>
        <v>59000</v>
      </c>
      <c r="H82">
        <f t="shared" ca="1" si="13"/>
        <v>6</v>
      </c>
      <c r="I82">
        <f t="shared" ca="1" si="14"/>
        <v>46060</v>
      </c>
      <c r="J82" s="10" t="str">
        <f t="shared" ca="1" si="15"/>
        <v>Online</v>
      </c>
      <c r="K82" s="10">
        <f t="shared" ca="1" si="16"/>
        <v>46060</v>
      </c>
      <c r="L82" s="10">
        <f t="shared" ca="1" si="17"/>
        <v>46060</v>
      </c>
      <c r="M82" s="12" t="str" cm="1">
        <f t="array" aca="1" ref="M82" ca="1">INDEX($R$33:$R$82, RANDBETWEEN(1, COUNTA($R$33:$R$82)))</f>
        <v>NV37</v>
      </c>
      <c r="N82">
        <f t="shared" ca="1" si="18"/>
        <v>47</v>
      </c>
      <c r="R82" s="10" t="s">
        <v>262</v>
      </c>
    </row>
    <row r="83" spans="1:18" ht="16.8" x14ac:dyDescent="0.3">
      <c r="A83" s="7" t="str">
        <f t="shared" si="10"/>
        <v>S0082</v>
      </c>
      <c r="B83" s="8">
        <f t="shared" ca="1" si="11"/>
        <v>44227</v>
      </c>
      <c r="C83" s="15" t="str" cm="1">
        <f t="array" aca="1" ref="C83" ca="1">INDEX($Q$2:$Q$31, RANDBETWEEN(1, COUNTA($Q$2:$Q$31)))</f>
        <v>Cappuccino</v>
      </c>
      <c r="D83" s="10" t="str" cm="1">
        <f t="array" aca="1" ref="D83" ca="1">INDEX($R$2:$R$310, RANDBETWEEN(1, COUNTA($Q$2:$Q$310)))</f>
        <v>L</v>
      </c>
      <c r="E83">
        <f t="shared" ca="1" si="12"/>
        <v>2</v>
      </c>
      <c r="F83" cm="1">
        <f t="array" aca="1" ref="F83" ca="1">INDEX($S$2:$S$31, RANDBETWEEN(1, COUNTA($S$2:$S$31)))</f>
        <v>59000</v>
      </c>
      <c r="G83" cm="1">
        <f t="array" aca="1" ref="G83" ca="1">INDEX($S$2:$S$31, RANDBETWEEN(1, COUNTA($S$2:$S$31)))</f>
        <v>65000</v>
      </c>
      <c r="H83">
        <f t="shared" ca="1" si="13"/>
        <v>9</v>
      </c>
      <c r="I83">
        <f t="shared" ca="1" si="14"/>
        <v>53690</v>
      </c>
      <c r="J83" s="10" t="str">
        <f t="shared" ca="1" si="15"/>
        <v>Online</v>
      </c>
      <c r="K83" s="10">
        <f t="shared" ca="1" si="16"/>
        <v>53690</v>
      </c>
      <c r="L83" s="10">
        <f t="shared" ca="1" si="17"/>
        <v>107380</v>
      </c>
      <c r="M83" s="12" t="str" cm="1">
        <f t="array" aca="1" ref="M83" ca="1">INDEX($R$33:$R$82, RANDBETWEEN(1, COUNTA($R$33:$R$82)))</f>
        <v>NV40</v>
      </c>
      <c r="N83">
        <f t="shared" ca="1" si="18"/>
        <v>26</v>
      </c>
    </row>
    <row r="84" spans="1:18" ht="16.8" x14ac:dyDescent="0.3">
      <c r="A84" s="7" t="str">
        <f t="shared" si="10"/>
        <v>S0083</v>
      </c>
      <c r="B84" s="8">
        <f t="shared" ca="1" si="11"/>
        <v>44559</v>
      </c>
      <c r="C84" s="15" t="str" cm="1">
        <f t="array" aca="1" ref="C84" ca="1">INDEX($Q$2:$Q$31, RANDBETWEEN(1, COUNTA($Q$2:$Q$31)))</f>
        <v>Classic Phin Freeze</v>
      </c>
      <c r="D84" s="10" t="str" cm="1">
        <f t="array" aca="1" ref="D84" ca="1">INDEX($R$2:$R$310, RANDBETWEEN(1, COUNTA($Q$2:$Q$310)))</f>
        <v>M</v>
      </c>
      <c r="E84">
        <f t="shared" ca="1" si="12"/>
        <v>4</v>
      </c>
      <c r="F84" cm="1">
        <f t="array" aca="1" ref="F84" ca="1">INDEX($S$2:$S$31, RANDBETWEEN(1, COUNTA($S$2:$S$31)))</f>
        <v>49000</v>
      </c>
      <c r="G84" cm="1">
        <f t="array" aca="1" ref="G84" ca="1">INDEX($S$2:$S$31, RANDBETWEEN(1, COUNTA($S$2:$S$31)))</f>
        <v>49000</v>
      </c>
      <c r="H84">
        <f t="shared" ca="1" si="13"/>
        <v>14</v>
      </c>
      <c r="I84">
        <f t="shared" ca="1" si="14"/>
        <v>49000</v>
      </c>
      <c r="J84" s="10" t="str">
        <f t="shared" ca="1" si="15"/>
        <v>Offline</v>
      </c>
      <c r="K84" s="10">
        <f t="shared" ca="1" si="16"/>
        <v>49000</v>
      </c>
      <c r="L84" s="10">
        <f t="shared" ca="1" si="17"/>
        <v>196000</v>
      </c>
      <c r="M84" s="12" t="str" cm="1">
        <f t="array" aca="1" ref="M84" ca="1">INDEX($R$33:$R$82, RANDBETWEEN(1, COUNTA($R$33:$R$82)))</f>
        <v>NV30</v>
      </c>
      <c r="N84">
        <f t="shared" ca="1" si="18"/>
        <v>48</v>
      </c>
    </row>
    <row r="85" spans="1:18" ht="16.8" x14ac:dyDescent="0.3">
      <c r="A85" s="7" t="str">
        <f t="shared" si="10"/>
        <v>S0084</v>
      </c>
      <c r="B85" s="8">
        <f t="shared" ca="1" si="11"/>
        <v>45025</v>
      </c>
      <c r="C85" s="15" t="str" cm="1">
        <f t="array" aca="1" ref="C85" ca="1">INDEX($Q$2:$Q$31, RANDBETWEEN(1, COUNTA($Q$2:$Q$31)))</f>
        <v xml:space="preserve">Chocolate Freeze </v>
      </c>
      <c r="D85" s="10" t="str" cm="1">
        <f t="array" aca="1" ref="D85" ca="1">INDEX($R$2:$R$310, RANDBETWEEN(1, COUNTA($Q$2:$Q$310)))</f>
        <v>M</v>
      </c>
      <c r="E85">
        <f t="shared" ca="1" si="12"/>
        <v>3</v>
      </c>
      <c r="F85" cm="1">
        <f t="array" aca="1" ref="F85" ca="1">INDEX($S$2:$S$31, RANDBETWEEN(1, COUNTA($S$2:$S$31)))</f>
        <v>65000</v>
      </c>
      <c r="G85" cm="1">
        <f t="array" aca="1" ref="G85" ca="1">INDEX($S$2:$S$31, RANDBETWEEN(1, COUNTA($S$2:$S$31)))</f>
        <v>49000</v>
      </c>
      <c r="H85">
        <f t="shared" ca="1" si="13"/>
        <v>8</v>
      </c>
      <c r="I85">
        <f t="shared" ca="1" si="14"/>
        <v>59800</v>
      </c>
      <c r="J85" s="10" t="str">
        <f t="shared" ca="1" si="15"/>
        <v>Online</v>
      </c>
      <c r="K85" s="10">
        <f t="shared" ca="1" si="16"/>
        <v>59800</v>
      </c>
      <c r="L85" s="10">
        <f t="shared" ca="1" si="17"/>
        <v>179400</v>
      </c>
      <c r="M85" s="12" t="str" cm="1">
        <f t="array" aca="1" ref="M85" ca="1">INDEX($R$33:$R$82, RANDBETWEEN(1, COUNTA($R$33:$R$82)))</f>
        <v>NV41</v>
      </c>
      <c r="N85">
        <f t="shared" ca="1" si="18"/>
        <v>19</v>
      </c>
    </row>
    <row r="86" spans="1:18" ht="16.8" x14ac:dyDescent="0.3">
      <c r="A86" s="7" t="str">
        <f t="shared" si="10"/>
        <v>S0085</v>
      </c>
      <c r="B86" s="8">
        <f t="shared" ca="1" si="11"/>
        <v>44403</v>
      </c>
      <c r="C86" s="15" t="str" cm="1">
        <f t="array" aca="1" ref="C86" ca="1">INDEX($Q$2:$Q$31, RANDBETWEEN(1, COUNTA($Q$2:$Q$31)))</f>
        <v>Classic Phin Freeze</v>
      </c>
      <c r="D86" s="10" t="str" cm="1">
        <f t="array" aca="1" ref="D86" ca="1">INDEX($R$2:$R$310, RANDBETWEEN(1, COUNTA($Q$2:$Q$310)))</f>
        <v>M</v>
      </c>
      <c r="E86">
        <f t="shared" ca="1" si="12"/>
        <v>1</v>
      </c>
      <c r="F86" cm="1">
        <f t="array" aca="1" ref="F86" ca="1">INDEX($S$2:$S$31, RANDBETWEEN(1, COUNTA($S$2:$S$31)))</f>
        <v>59000</v>
      </c>
      <c r="G86" cm="1">
        <f t="array" aca="1" ref="G86" ca="1">INDEX($S$2:$S$31, RANDBETWEEN(1, COUNTA($S$2:$S$31)))</f>
        <v>49000</v>
      </c>
      <c r="H86">
        <f t="shared" ca="1" si="13"/>
        <v>7</v>
      </c>
      <c r="I86">
        <f t="shared" ca="1" si="14"/>
        <v>54869.999999999993</v>
      </c>
      <c r="J86" s="10" t="str">
        <f t="shared" ca="1" si="15"/>
        <v>Online</v>
      </c>
      <c r="K86" s="10">
        <f t="shared" ca="1" si="16"/>
        <v>54869.999999999993</v>
      </c>
      <c r="L86" s="10">
        <f t="shared" ca="1" si="17"/>
        <v>54869.999999999993</v>
      </c>
      <c r="M86" s="12" t="str" cm="1">
        <f t="array" aca="1" ref="M86" ca="1">INDEX($R$33:$R$82, RANDBETWEEN(1, COUNTA($R$33:$R$82)))</f>
        <v>NV42</v>
      </c>
      <c r="N86">
        <f t="shared" ca="1" si="18"/>
        <v>18</v>
      </c>
    </row>
    <row r="87" spans="1:18" ht="16.8" x14ac:dyDescent="0.3">
      <c r="A87" s="7" t="str">
        <f t="shared" si="10"/>
        <v>S0086</v>
      </c>
      <c r="B87" s="8">
        <f t="shared" ca="1" si="11"/>
        <v>45261</v>
      </c>
      <c r="C87" s="15" t="str" cm="1">
        <f t="array" aca="1" ref="C87" ca="1">INDEX($Q$2:$Q$31, RANDBETWEEN(1, COUNTA($Q$2:$Q$31)))</f>
        <v xml:space="preserve">Chocolate Freeze </v>
      </c>
      <c r="D87" s="10" t="str" cm="1">
        <f t="array" aca="1" ref="D87" ca="1">INDEX($R$2:$R$310, RANDBETWEEN(1, COUNTA($Q$2:$Q$310)))</f>
        <v>M</v>
      </c>
      <c r="E87">
        <f t="shared" ca="1" si="12"/>
        <v>4</v>
      </c>
      <c r="F87" cm="1">
        <f t="array" aca="1" ref="F87" ca="1">INDEX($S$2:$S$31, RANDBETWEEN(1, COUNTA($S$2:$S$31)))</f>
        <v>65000</v>
      </c>
      <c r="G87" cm="1">
        <f t="array" aca="1" ref="G87" ca="1">INDEX($S$2:$S$31, RANDBETWEEN(1, COUNTA($S$2:$S$31)))</f>
        <v>59000</v>
      </c>
      <c r="H87">
        <f t="shared" ca="1" si="13"/>
        <v>9</v>
      </c>
      <c r="I87">
        <f t="shared" ca="1" si="14"/>
        <v>59000</v>
      </c>
      <c r="J87" s="10" t="str">
        <f t="shared" ca="1" si="15"/>
        <v>Offline</v>
      </c>
      <c r="K87" s="10">
        <f t="shared" ca="1" si="16"/>
        <v>59000</v>
      </c>
      <c r="L87" s="10">
        <f t="shared" ca="1" si="17"/>
        <v>236000</v>
      </c>
      <c r="M87" s="12" t="str" cm="1">
        <f t="array" aca="1" ref="M87" ca="1">INDEX($R$33:$R$82, RANDBETWEEN(1, COUNTA($R$33:$R$82)))</f>
        <v>NV7</v>
      </c>
      <c r="N87">
        <f t="shared" ca="1" si="18"/>
        <v>17</v>
      </c>
    </row>
    <row r="88" spans="1:18" ht="16.8" x14ac:dyDescent="0.3">
      <c r="A88" s="7" t="str">
        <f t="shared" si="10"/>
        <v>S0087</v>
      </c>
      <c r="B88" s="8">
        <f t="shared" ca="1" si="11"/>
        <v>45229</v>
      </c>
      <c r="C88" s="15" t="str" cm="1">
        <f t="array" aca="1" ref="C88" ca="1">INDEX($Q$2:$Q$31, RANDBETWEEN(1, COUNTA($Q$2:$Q$31)))</f>
        <v>Caramel Phin Freeze</v>
      </c>
      <c r="D88" s="10" t="str" cm="1">
        <f t="array" aca="1" ref="D88" ca="1">INDEX($R$2:$R$310, RANDBETWEEN(1, COUNTA($Q$2:$Q$310)))</f>
        <v>S</v>
      </c>
      <c r="E88">
        <f t="shared" ca="1" si="12"/>
        <v>5</v>
      </c>
      <c r="F88" cm="1">
        <f t="array" aca="1" ref="F88" ca="1">INDEX($S$2:$S$31, RANDBETWEEN(1, COUNTA($S$2:$S$31)))</f>
        <v>35000</v>
      </c>
      <c r="G88" cm="1">
        <f t="array" aca="1" ref="G88" ca="1">INDEX($S$2:$S$31, RANDBETWEEN(1, COUNTA($S$2:$S$31)))</f>
        <v>29000</v>
      </c>
      <c r="H88">
        <f t="shared" ca="1" si="13"/>
        <v>15</v>
      </c>
      <c r="I88">
        <f t="shared" ca="1" si="14"/>
        <v>29750</v>
      </c>
      <c r="J88" s="10" t="str">
        <f t="shared" ca="1" si="15"/>
        <v>Online</v>
      </c>
      <c r="K88" s="10">
        <f t="shared" ca="1" si="16"/>
        <v>29750</v>
      </c>
      <c r="L88" s="10">
        <f t="shared" ca="1" si="17"/>
        <v>148750</v>
      </c>
      <c r="M88" s="12" t="str" cm="1">
        <f t="array" aca="1" ref="M88" ca="1">INDEX($R$33:$R$82, RANDBETWEEN(1, COUNTA($R$33:$R$82)))</f>
        <v>NV39</v>
      </c>
      <c r="N88">
        <f t="shared" ca="1" si="18"/>
        <v>23</v>
      </c>
    </row>
    <row r="89" spans="1:18" ht="16.8" x14ac:dyDescent="0.3">
      <c r="A89" s="7" t="str">
        <f t="shared" si="10"/>
        <v>S0088</v>
      </c>
      <c r="B89" s="8">
        <f t="shared" ca="1" si="11"/>
        <v>44311</v>
      </c>
      <c r="C89" s="15" t="str" cm="1">
        <f t="array" aca="1" ref="C89" ca="1">INDEX($Q$2:$Q$31, RANDBETWEEN(1, COUNTA($Q$2:$Q$31)))</f>
        <v>Caramel Phin Freeze</v>
      </c>
      <c r="D89" s="10" t="str" cm="1">
        <f t="array" aca="1" ref="D89" ca="1">INDEX($R$2:$R$310, RANDBETWEEN(1, COUNTA($Q$2:$Q$310)))</f>
        <v>S</v>
      </c>
      <c r="E89">
        <f t="shared" ca="1" si="12"/>
        <v>5</v>
      </c>
      <c r="F89" cm="1">
        <f t="array" aca="1" ref="F89" ca="1">INDEX($S$2:$S$31, RANDBETWEEN(1, COUNTA($S$2:$S$31)))</f>
        <v>59000</v>
      </c>
      <c r="G89" cm="1">
        <f t="array" aca="1" ref="G89" ca="1">INDEX($S$2:$S$31, RANDBETWEEN(1, COUNTA($S$2:$S$31)))</f>
        <v>55000</v>
      </c>
      <c r="H89">
        <f t="shared" ca="1" si="13"/>
        <v>7</v>
      </c>
      <c r="I89">
        <f t="shared" ca="1" si="14"/>
        <v>54869.999999999993</v>
      </c>
      <c r="J89" s="10" t="str">
        <f t="shared" ca="1" si="15"/>
        <v>Online</v>
      </c>
      <c r="K89" s="10">
        <f t="shared" ca="1" si="16"/>
        <v>54869.999999999993</v>
      </c>
      <c r="L89" s="10">
        <f t="shared" ca="1" si="17"/>
        <v>274349.99999999994</v>
      </c>
      <c r="M89" s="12" t="str" cm="1">
        <f t="array" aca="1" ref="M89" ca="1">INDEX($R$33:$R$82, RANDBETWEEN(1, COUNTA($R$33:$R$82)))</f>
        <v>NV8</v>
      </c>
      <c r="N89">
        <f t="shared" ca="1" si="18"/>
        <v>12</v>
      </c>
    </row>
    <row r="90" spans="1:18" ht="16.8" x14ac:dyDescent="0.3">
      <c r="A90" s="7" t="str">
        <f t="shared" si="10"/>
        <v>S0089</v>
      </c>
      <c r="B90" s="8">
        <f t="shared" ca="1" si="11"/>
        <v>44361</v>
      </c>
      <c r="C90" s="15" t="str" cm="1">
        <f t="array" aca="1" ref="C90" ca="1">INDEX($Q$2:$Q$31, RANDBETWEEN(1, COUNTA($Q$2:$Q$31)))</f>
        <v>Caramel Phin Freeze</v>
      </c>
      <c r="D90" s="10" t="str" cm="1">
        <f t="array" aca="1" ref="D90" ca="1">INDEX($R$2:$R$310, RANDBETWEEN(1, COUNTA($Q$2:$Q$310)))</f>
        <v>S</v>
      </c>
      <c r="E90">
        <f t="shared" ca="1" si="12"/>
        <v>4</v>
      </c>
      <c r="F90" cm="1">
        <f t="array" aca="1" ref="F90" ca="1">INDEX($S$2:$S$31, RANDBETWEEN(1, COUNTA($S$2:$S$31)))</f>
        <v>49000</v>
      </c>
      <c r="G90" cm="1">
        <f t="array" aca="1" ref="G90" ca="1">INDEX($S$2:$S$31, RANDBETWEEN(1, COUNTA($S$2:$S$31)))</f>
        <v>55000</v>
      </c>
      <c r="H90">
        <f t="shared" ca="1" si="13"/>
        <v>9</v>
      </c>
      <c r="I90">
        <f t="shared" ca="1" si="14"/>
        <v>44590</v>
      </c>
      <c r="J90" s="10" t="str">
        <f t="shared" ca="1" si="15"/>
        <v>Online</v>
      </c>
      <c r="K90" s="10">
        <f t="shared" ca="1" si="16"/>
        <v>44590</v>
      </c>
      <c r="L90" s="10">
        <f t="shared" ca="1" si="17"/>
        <v>178360</v>
      </c>
      <c r="M90" s="12" t="str" cm="1">
        <f t="array" aca="1" ref="M90" ca="1">INDEX($R$33:$R$82, RANDBETWEEN(1, COUNTA($R$33:$R$82)))</f>
        <v>NV15</v>
      </c>
      <c r="N90">
        <f t="shared" ca="1" si="18"/>
        <v>4</v>
      </c>
    </row>
    <row r="91" spans="1:18" ht="16.8" x14ac:dyDescent="0.3">
      <c r="A91" s="7" t="str">
        <f t="shared" si="10"/>
        <v>S0090</v>
      </c>
      <c r="B91" s="8">
        <f t="shared" ca="1" si="11"/>
        <v>44946</v>
      </c>
      <c r="C91" s="15" t="str" cm="1">
        <f t="array" aca="1" ref="C91" ca="1">INDEX($Q$2:$Q$31, RANDBETWEEN(1, COUNTA($Q$2:$Q$31)))</f>
        <v>Classic Phin Freeze</v>
      </c>
      <c r="D91" s="10" t="str" cm="1">
        <f t="array" aca="1" ref="D91" ca="1">INDEX($R$2:$R$310, RANDBETWEEN(1, COUNTA($Q$2:$Q$310)))</f>
        <v>S</v>
      </c>
      <c r="E91">
        <f t="shared" ca="1" si="12"/>
        <v>3</v>
      </c>
      <c r="F91" cm="1">
        <f t="array" aca="1" ref="F91" ca="1">INDEX($S$2:$S$31, RANDBETWEEN(1, COUNTA($S$2:$S$31)))</f>
        <v>65000</v>
      </c>
      <c r="G91" cm="1">
        <f t="array" aca="1" ref="G91" ca="1">INDEX($S$2:$S$31, RANDBETWEEN(1, COUNTA($S$2:$S$31)))</f>
        <v>75000</v>
      </c>
      <c r="H91">
        <f t="shared" ca="1" si="13"/>
        <v>10</v>
      </c>
      <c r="I91">
        <f t="shared" ca="1" si="14"/>
        <v>58500</v>
      </c>
      <c r="J91" s="10" t="str">
        <f t="shared" ca="1" si="15"/>
        <v>Online</v>
      </c>
      <c r="K91" s="10">
        <f t="shared" ca="1" si="16"/>
        <v>58500</v>
      </c>
      <c r="L91" s="10">
        <f t="shared" ca="1" si="17"/>
        <v>175500</v>
      </c>
      <c r="M91" s="12" t="str" cm="1">
        <f t="array" aca="1" ref="M91" ca="1">INDEX($R$33:$R$82, RANDBETWEEN(1, COUNTA($R$33:$R$82)))</f>
        <v>NV40</v>
      </c>
      <c r="N91">
        <f t="shared" ca="1" si="18"/>
        <v>32</v>
      </c>
    </row>
    <row r="92" spans="1:18" ht="16.8" x14ac:dyDescent="0.3">
      <c r="A92" s="7" t="str">
        <f t="shared" si="10"/>
        <v>S0091</v>
      </c>
      <c r="B92" s="8">
        <f t="shared" ca="1" si="11"/>
        <v>44785</v>
      </c>
      <c r="C92" s="15" t="str" cm="1">
        <f t="array" aca="1" ref="C92" ca="1">INDEX($Q$2:$Q$31, RANDBETWEEN(1, COUNTA($Q$2:$Q$31)))</f>
        <v>Iced Black Coffee</v>
      </c>
      <c r="D92" s="10" t="str" cm="1">
        <f t="array" aca="1" ref="D92" ca="1">INDEX($R$2:$R$310, RANDBETWEEN(1, COUNTA($Q$2:$Q$310)))</f>
        <v>M</v>
      </c>
      <c r="E92">
        <f t="shared" ca="1" si="12"/>
        <v>2</v>
      </c>
      <c r="F92" cm="1">
        <f t="array" aca="1" ref="F92" ca="1">INDEX($S$2:$S$31, RANDBETWEEN(1, COUNTA($S$2:$S$31)))</f>
        <v>59000</v>
      </c>
      <c r="G92" cm="1">
        <f t="array" aca="1" ref="G92" ca="1">INDEX($S$2:$S$31, RANDBETWEEN(1, COUNTA($S$2:$S$31)))</f>
        <v>49000</v>
      </c>
      <c r="H92">
        <f t="shared" ca="1" si="13"/>
        <v>8</v>
      </c>
      <c r="I92">
        <f t="shared" ca="1" si="14"/>
        <v>54280</v>
      </c>
      <c r="J92" s="10" t="str">
        <f t="shared" ca="1" si="15"/>
        <v>Online</v>
      </c>
      <c r="K92" s="10">
        <f t="shared" ca="1" si="16"/>
        <v>54280</v>
      </c>
      <c r="L92" s="10">
        <f t="shared" ca="1" si="17"/>
        <v>108560</v>
      </c>
      <c r="M92" s="12" t="str" cm="1">
        <f t="array" aca="1" ref="M92" ca="1">INDEX($R$33:$R$82, RANDBETWEEN(1, COUNTA($R$33:$R$82)))</f>
        <v>NV42</v>
      </c>
      <c r="N92">
        <f t="shared" ca="1" si="18"/>
        <v>25</v>
      </c>
    </row>
    <row r="93" spans="1:18" ht="16.8" x14ac:dyDescent="0.3">
      <c r="A93" s="7" t="str">
        <f t="shared" si="10"/>
        <v>S0092</v>
      </c>
      <c r="B93" s="8">
        <f t="shared" ca="1" si="11"/>
        <v>44594</v>
      </c>
      <c r="C93" s="15" t="str" cm="1">
        <f t="array" aca="1" ref="C93" ca="1">INDEX($Q$2:$Q$31, RANDBETWEEN(1, COUNTA($Q$2:$Q$31)))</f>
        <v>Mocha</v>
      </c>
      <c r="D93" s="10" t="str" cm="1">
        <f t="array" aca="1" ref="D93" ca="1">INDEX($R$2:$R$310, RANDBETWEEN(1, COUNTA($Q$2:$Q$310)))</f>
        <v>M</v>
      </c>
      <c r="E93">
        <f t="shared" ca="1" si="12"/>
        <v>2</v>
      </c>
      <c r="F93" cm="1">
        <f t="array" aca="1" ref="F93" ca="1">INDEX($S$2:$S$31, RANDBETWEEN(1, COUNTA($S$2:$S$31)))</f>
        <v>69000</v>
      </c>
      <c r="G93" cm="1">
        <f t="array" aca="1" ref="G93" ca="1">INDEX($S$2:$S$31, RANDBETWEEN(1, COUNTA($S$2:$S$31)))</f>
        <v>29000</v>
      </c>
      <c r="H93">
        <f t="shared" ca="1" si="13"/>
        <v>6</v>
      </c>
      <c r="I93">
        <f t="shared" ca="1" si="14"/>
        <v>64859.999999999993</v>
      </c>
      <c r="J93" s="10" t="str">
        <f t="shared" ca="1" si="15"/>
        <v>Online</v>
      </c>
      <c r="K93" s="10">
        <f t="shared" ca="1" si="16"/>
        <v>64859.999999999993</v>
      </c>
      <c r="L93" s="10">
        <f t="shared" ca="1" si="17"/>
        <v>129719.99999999999</v>
      </c>
      <c r="M93" s="12" t="str" cm="1">
        <f t="array" aca="1" ref="M93" ca="1">INDEX($R$33:$R$82, RANDBETWEEN(1, COUNTA($R$33:$R$82)))</f>
        <v>NV47</v>
      </c>
      <c r="N93">
        <f t="shared" ca="1" si="18"/>
        <v>47</v>
      </c>
    </row>
    <row r="94" spans="1:18" ht="16.8" x14ac:dyDescent="0.3">
      <c r="A94" s="7" t="str">
        <f t="shared" si="10"/>
        <v>S0093</v>
      </c>
      <c r="B94" s="8">
        <f t="shared" ca="1" si="11"/>
        <v>45033</v>
      </c>
      <c r="C94" s="15" t="str" cm="1">
        <f t="array" aca="1" ref="C94" ca="1">INDEX($Q$2:$Q$31, RANDBETWEEN(1, COUNTA($Q$2:$Q$31)))</f>
        <v>Cookies &amp; Cream</v>
      </c>
      <c r="D94" s="10" t="str" cm="1">
        <f t="array" aca="1" ref="D94" ca="1">INDEX($R$2:$R$310, RANDBETWEEN(1, COUNTA($Q$2:$Q$310)))</f>
        <v>M</v>
      </c>
      <c r="E94">
        <f t="shared" ca="1" si="12"/>
        <v>5</v>
      </c>
      <c r="F94" cm="1">
        <f t="array" aca="1" ref="F94" ca="1">INDEX($S$2:$S$31, RANDBETWEEN(1, COUNTA($S$2:$S$31)))</f>
        <v>29000</v>
      </c>
      <c r="G94" cm="1">
        <f t="array" aca="1" ref="G94" ca="1">INDEX($S$2:$S$31, RANDBETWEEN(1, COUNTA($S$2:$S$31)))</f>
        <v>59000</v>
      </c>
      <c r="H94">
        <f t="shared" ca="1" si="13"/>
        <v>15</v>
      </c>
      <c r="I94">
        <f t="shared" ca="1" si="14"/>
        <v>59000</v>
      </c>
      <c r="J94" s="10" t="str">
        <f t="shared" ca="1" si="15"/>
        <v>Offline</v>
      </c>
      <c r="K94" s="10">
        <f t="shared" ca="1" si="16"/>
        <v>59000</v>
      </c>
      <c r="L94" s="10">
        <f t="shared" ca="1" si="17"/>
        <v>295000</v>
      </c>
      <c r="M94" s="12" t="str" cm="1">
        <f t="array" aca="1" ref="M94" ca="1">INDEX($R$33:$R$82, RANDBETWEEN(1, COUNTA($R$33:$R$82)))</f>
        <v>NV6</v>
      </c>
      <c r="N94">
        <f t="shared" ca="1" si="18"/>
        <v>20</v>
      </c>
    </row>
    <row r="95" spans="1:18" ht="16.8" x14ac:dyDescent="0.3">
      <c r="A95" s="7" t="str">
        <f t="shared" si="10"/>
        <v>S0094</v>
      </c>
      <c r="B95" s="8">
        <f t="shared" ca="1" si="11"/>
        <v>44824</v>
      </c>
      <c r="C95" s="15" t="str" cm="1">
        <f t="array" aca="1" ref="C95" ca="1">INDEX($Q$2:$Q$31, RANDBETWEEN(1, COUNTA($Q$2:$Q$31)))</f>
        <v>Mocha</v>
      </c>
      <c r="D95" s="10" t="str" cm="1">
        <f t="array" aca="1" ref="D95" ca="1">INDEX($R$2:$R$310, RANDBETWEEN(1, COUNTA($Q$2:$Q$310)))</f>
        <v>M</v>
      </c>
      <c r="E95">
        <f t="shared" ca="1" si="12"/>
        <v>1</v>
      </c>
      <c r="F95" cm="1">
        <f t="array" aca="1" ref="F95" ca="1">INDEX($S$2:$S$31, RANDBETWEEN(1, COUNTA($S$2:$S$31)))</f>
        <v>65000</v>
      </c>
      <c r="G95" cm="1">
        <f t="array" aca="1" ref="G95" ca="1">INDEX($S$2:$S$31, RANDBETWEEN(1, COUNTA($S$2:$S$31)))</f>
        <v>59000</v>
      </c>
      <c r="H95">
        <f t="shared" ca="1" si="13"/>
        <v>6</v>
      </c>
      <c r="I95">
        <f t="shared" ca="1" si="14"/>
        <v>61100</v>
      </c>
      <c r="J95" s="10" t="str">
        <f t="shared" ca="1" si="15"/>
        <v>Online</v>
      </c>
      <c r="K95" s="10">
        <f t="shared" ca="1" si="16"/>
        <v>61100</v>
      </c>
      <c r="L95" s="10">
        <f t="shared" ca="1" si="17"/>
        <v>61100</v>
      </c>
      <c r="M95" s="12" t="str" cm="1">
        <f t="array" aca="1" ref="M95" ca="1">INDEX($R$33:$R$82, RANDBETWEEN(1, COUNTA($R$33:$R$82)))</f>
        <v>NV31</v>
      </c>
      <c r="N95">
        <f t="shared" ca="1" si="18"/>
        <v>51</v>
      </c>
    </row>
    <row r="96" spans="1:18" ht="16.8" x14ac:dyDescent="0.3">
      <c r="A96" s="7" t="str">
        <f t="shared" si="10"/>
        <v>S0095</v>
      </c>
      <c r="B96" s="8">
        <f t="shared" ca="1" si="11"/>
        <v>45060</v>
      </c>
      <c r="C96" s="15" t="str" cm="1">
        <f t="array" aca="1" ref="C96" ca="1">INDEX($Q$2:$Q$31, RANDBETWEEN(1, COUNTA($Q$2:$Q$31)))</f>
        <v xml:space="preserve">Green Tea Freeze </v>
      </c>
      <c r="D96" s="10" t="str" cm="1">
        <f t="array" aca="1" ref="D96" ca="1">INDEX($R$2:$R$310, RANDBETWEEN(1, COUNTA($Q$2:$Q$310)))</f>
        <v>L</v>
      </c>
      <c r="E96">
        <f t="shared" ca="1" si="12"/>
        <v>2</v>
      </c>
      <c r="F96" cm="1">
        <f t="array" aca="1" ref="F96" ca="1">INDEX($S$2:$S$31, RANDBETWEEN(1, COUNTA($S$2:$S$31)))</f>
        <v>35000</v>
      </c>
      <c r="G96" cm="1">
        <f t="array" aca="1" ref="G96" ca="1">INDEX($S$2:$S$31, RANDBETWEEN(1, COUNTA($S$2:$S$31)))</f>
        <v>49000</v>
      </c>
      <c r="H96">
        <f t="shared" ca="1" si="13"/>
        <v>15</v>
      </c>
      <c r="I96">
        <f t="shared" ca="1" si="14"/>
        <v>29750</v>
      </c>
      <c r="J96" s="10" t="str">
        <f t="shared" ca="1" si="15"/>
        <v>Online</v>
      </c>
      <c r="K96" s="10">
        <f t="shared" ca="1" si="16"/>
        <v>29750</v>
      </c>
      <c r="L96" s="10">
        <f t="shared" ca="1" si="17"/>
        <v>59500</v>
      </c>
      <c r="M96" s="12" t="str" cm="1">
        <f t="array" aca="1" ref="M96" ca="1">INDEX($R$33:$R$82, RANDBETWEEN(1, COUNTA($R$33:$R$82)))</f>
        <v>NV30</v>
      </c>
      <c r="N96">
        <f t="shared" ca="1" si="18"/>
        <v>16</v>
      </c>
    </row>
    <row r="97" spans="1:14" ht="16.8" x14ac:dyDescent="0.3">
      <c r="A97" s="7" t="str">
        <f t="shared" si="10"/>
        <v>S0096</v>
      </c>
      <c r="B97" s="8">
        <f t="shared" ca="1" si="11"/>
        <v>45126</v>
      </c>
      <c r="C97" s="15" t="str" cm="1">
        <f t="array" aca="1" ref="C97" ca="1">INDEX($Q$2:$Q$31, RANDBETWEEN(1, COUNTA($Q$2:$Q$31)))</f>
        <v>Americano</v>
      </c>
      <c r="D97" s="10" t="str" cm="1">
        <f t="array" aca="1" ref="D97" ca="1">INDEX($R$2:$R$310, RANDBETWEEN(1, COUNTA($Q$2:$Q$310)))</f>
        <v>S</v>
      </c>
      <c r="E97">
        <f t="shared" ca="1" si="12"/>
        <v>5</v>
      </c>
      <c r="F97" cm="1">
        <f t="array" aca="1" ref="F97" ca="1">INDEX($S$2:$S$31, RANDBETWEEN(1, COUNTA($S$2:$S$31)))</f>
        <v>45000</v>
      </c>
      <c r="G97" cm="1">
        <f t="array" aca="1" ref="G97" ca="1">INDEX($S$2:$S$31, RANDBETWEEN(1, COUNTA($S$2:$S$31)))</f>
        <v>39000</v>
      </c>
      <c r="H97">
        <f t="shared" ca="1" si="13"/>
        <v>10</v>
      </c>
      <c r="I97">
        <f t="shared" ca="1" si="14"/>
        <v>39000</v>
      </c>
      <c r="J97" s="10" t="str">
        <f t="shared" ca="1" si="15"/>
        <v>Offline</v>
      </c>
      <c r="K97" s="10">
        <f t="shared" ca="1" si="16"/>
        <v>39000</v>
      </c>
      <c r="L97" s="10">
        <f t="shared" ca="1" si="17"/>
        <v>195000</v>
      </c>
      <c r="M97" s="12" t="str" cm="1">
        <f t="array" aca="1" ref="M97" ca="1">INDEX($R$33:$R$82, RANDBETWEEN(1, COUNTA($R$33:$R$82)))</f>
        <v>NV14</v>
      </c>
      <c r="N97">
        <f t="shared" ca="1" si="18"/>
        <v>16</v>
      </c>
    </row>
    <row r="98" spans="1:14" ht="16.8" x14ac:dyDescent="0.3">
      <c r="A98" s="7" t="str">
        <f t="shared" si="10"/>
        <v>S0097</v>
      </c>
      <c r="B98" s="8">
        <f t="shared" ca="1" si="11"/>
        <v>44854</v>
      </c>
      <c r="C98" s="15" t="str" cm="1">
        <f t="array" aca="1" ref="C98" ca="1">INDEX($Q$2:$Q$31, RANDBETWEEN(1, COUNTA($Q$2:$Q$31)))</f>
        <v>Cappuccino</v>
      </c>
      <c r="D98" s="10" t="str" cm="1">
        <f t="array" aca="1" ref="D98" ca="1">INDEX($R$2:$R$310, RANDBETWEEN(1, COUNTA($Q$2:$Q$310)))</f>
        <v>L</v>
      </c>
      <c r="E98">
        <f t="shared" ca="1" si="12"/>
        <v>4</v>
      </c>
      <c r="F98" cm="1">
        <f t="array" aca="1" ref="F98" ca="1">INDEX($S$2:$S$31, RANDBETWEEN(1, COUNTA($S$2:$S$31)))</f>
        <v>39000</v>
      </c>
      <c r="G98" cm="1">
        <f t="array" aca="1" ref="G98" ca="1">INDEX($S$2:$S$31, RANDBETWEEN(1, COUNTA($S$2:$S$31)))</f>
        <v>65000</v>
      </c>
      <c r="H98">
        <f t="shared" ca="1" si="13"/>
        <v>9</v>
      </c>
      <c r="I98">
        <f t="shared" ca="1" si="14"/>
        <v>65000</v>
      </c>
      <c r="J98" s="10" t="str">
        <f t="shared" ca="1" si="15"/>
        <v>Offline</v>
      </c>
      <c r="K98" s="10">
        <f t="shared" ca="1" si="16"/>
        <v>65000</v>
      </c>
      <c r="L98" s="10">
        <f t="shared" ca="1" si="17"/>
        <v>260000</v>
      </c>
      <c r="M98" s="12" t="str" cm="1">
        <f t="array" aca="1" ref="M98" ca="1">INDEX($R$33:$R$82, RANDBETWEEN(1, COUNTA($R$33:$R$82)))</f>
        <v>NV11</v>
      </c>
      <c r="N98">
        <f t="shared" ca="1" si="18"/>
        <v>44</v>
      </c>
    </row>
    <row r="99" spans="1:14" ht="16.8" x14ac:dyDescent="0.3">
      <c r="A99" s="7" t="str">
        <f t="shared" si="10"/>
        <v>S0098</v>
      </c>
      <c r="B99" s="8">
        <f t="shared" ca="1" si="11"/>
        <v>44686</v>
      </c>
      <c r="C99" s="15" t="str" cm="1">
        <f t="array" aca="1" ref="C99" ca="1">INDEX($Q$2:$Q$31, RANDBETWEEN(1, COUNTA($Q$2:$Q$31)))</f>
        <v>Caramel Phin Freeze</v>
      </c>
      <c r="D99" s="10" t="str" cm="1">
        <f t="array" aca="1" ref="D99" ca="1">INDEX($R$2:$R$310, RANDBETWEEN(1, COUNTA($Q$2:$Q$310)))</f>
        <v>S</v>
      </c>
      <c r="E99">
        <f t="shared" ca="1" si="12"/>
        <v>3</v>
      </c>
      <c r="F99" cm="1">
        <f t="array" aca="1" ref="F99" ca="1">INDEX($S$2:$S$31, RANDBETWEEN(1, COUNTA($S$2:$S$31)))</f>
        <v>65000</v>
      </c>
      <c r="G99" cm="1">
        <f t="array" aca="1" ref="G99" ca="1">INDEX($S$2:$S$31, RANDBETWEEN(1, COUNTA($S$2:$S$31)))</f>
        <v>45000</v>
      </c>
      <c r="H99">
        <f t="shared" ca="1" si="13"/>
        <v>12</v>
      </c>
      <c r="I99">
        <f t="shared" ca="1" si="14"/>
        <v>45000</v>
      </c>
      <c r="J99" s="10" t="str">
        <f t="shared" ca="1" si="15"/>
        <v>Offline</v>
      </c>
      <c r="K99" s="10">
        <f t="shared" ca="1" si="16"/>
        <v>45000</v>
      </c>
      <c r="L99" s="10">
        <f t="shared" ca="1" si="17"/>
        <v>135000</v>
      </c>
      <c r="M99" s="12" t="str" cm="1">
        <f t="array" aca="1" ref="M99" ca="1">INDEX($R$33:$R$82, RANDBETWEEN(1, COUNTA($R$33:$R$82)))</f>
        <v>NV4</v>
      </c>
      <c r="N99">
        <f t="shared" ca="1" si="18"/>
        <v>29</v>
      </c>
    </row>
    <row r="100" spans="1:14" ht="16.8" x14ac:dyDescent="0.3">
      <c r="A100" s="7" t="str">
        <f t="shared" si="10"/>
        <v>S0099</v>
      </c>
      <c r="B100" s="8">
        <f t="shared" ca="1" si="11"/>
        <v>44862</v>
      </c>
      <c r="C100" s="15" t="str" cm="1">
        <f t="array" aca="1" ref="C100" ca="1">INDEX($Q$2:$Q$31, RANDBETWEEN(1, COUNTA($Q$2:$Q$31)))</f>
        <v xml:space="preserve">Chocolate Freeze </v>
      </c>
      <c r="D100" s="10" t="str" cm="1">
        <f t="array" aca="1" ref="D100" ca="1">INDEX($R$2:$R$310, RANDBETWEEN(1, COUNTA($Q$2:$Q$310)))</f>
        <v>S</v>
      </c>
      <c r="E100">
        <f t="shared" ca="1" si="12"/>
        <v>3</v>
      </c>
      <c r="F100" cm="1">
        <f t="array" aca="1" ref="F100" ca="1">INDEX($S$2:$S$31, RANDBETWEEN(1, COUNTA($S$2:$S$31)))</f>
        <v>35000</v>
      </c>
      <c r="G100" cm="1">
        <f t="array" aca="1" ref="G100" ca="1">INDEX($S$2:$S$31, RANDBETWEEN(1, COUNTA($S$2:$S$31)))</f>
        <v>49000</v>
      </c>
      <c r="H100">
        <f t="shared" ca="1" si="13"/>
        <v>6</v>
      </c>
      <c r="I100">
        <f t="shared" ca="1" si="14"/>
        <v>49000</v>
      </c>
      <c r="J100" s="10" t="str">
        <f t="shared" ca="1" si="15"/>
        <v>Offline</v>
      </c>
      <c r="K100" s="10">
        <f t="shared" ca="1" si="16"/>
        <v>49000</v>
      </c>
      <c r="L100" s="10">
        <f t="shared" ca="1" si="17"/>
        <v>147000</v>
      </c>
      <c r="M100" s="12" t="str" cm="1">
        <f t="array" aca="1" ref="M100" ca="1">INDEX($R$33:$R$82, RANDBETWEEN(1, COUNTA($R$33:$R$82)))</f>
        <v>NV36</v>
      </c>
      <c r="N100">
        <f t="shared" ca="1" si="18"/>
        <v>48</v>
      </c>
    </row>
    <row r="101" spans="1:14" ht="16.8" x14ac:dyDescent="0.3">
      <c r="A101" s="7" t="str">
        <f t="shared" si="10"/>
        <v>S0100</v>
      </c>
      <c r="B101" s="8">
        <f t="shared" ca="1" si="11"/>
        <v>45204</v>
      </c>
      <c r="C101" s="15" t="str" cm="1">
        <f t="array" aca="1" ref="C101" ca="1">INDEX($Q$2:$Q$31, RANDBETWEEN(1, COUNTA($Q$2:$Q$31)))</f>
        <v>Cookies &amp; Cream</v>
      </c>
      <c r="D101" s="10" t="str" cm="1">
        <f t="array" aca="1" ref="D101" ca="1">INDEX($R$2:$R$310, RANDBETWEEN(1, COUNTA($Q$2:$Q$310)))</f>
        <v>M</v>
      </c>
      <c r="E101">
        <f t="shared" ca="1" si="12"/>
        <v>4</v>
      </c>
      <c r="F101" cm="1">
        <f t="array" aca="1" ref="F101" ca="1">INDEX($S$2:$S$31, RANDBETWEEN(1, COUNTA($S$2:$S$31)))</f>
        <v>39000</v>
      </c>
      <c r="G101" cm="1">
        <f t="array" aca="1" ref="G101" ca="1">INDEX($S$2:$S$31, RANDBETWEEN(1, COUNTA($S$2:$S$31)))</f>
        <v>59000</v>
      </c>
      <c r="H101">
        <f t="shared" ca="1" si="13"/>
        <v>13</v>
      </c>
      <c r="I101">
        <f t="shared" ca="1" si="14"/>
        <v>59000</v>
      </c>
      <c r="J101" s="10" t="str">
        <f t="shared" ca="1" si="15"/>
        <v>Offline</v>
      </c>
      <c r="K101" s="10">
        <f t="shared" ca="1" si="16"/>
        <v>59000</v>
      </c>
      <c r="L101" s="10">
        <f t="shared" ca="1" si="17"/>
        <v>236000</v>
      </c>
      <c r="M101" s="12" t="str" cm="1">
        <f t="array" aca="1" ref="M101" ca="1">INDEX($R$33:$R$82, RANDBETWEEN(1, COUNTA($R$33:$R$82)))</f>
        <v>NV28</v>
      </c>
      <c r="N101">
        <f t="shared" ca="1" si="18"/>
        <v>18</v>
      </c>
    </row>
    <row r="102" spans="1:14" ht="16.8" x14ac:dyDescent="0.3">
      <c r="A102" s="7" t="str">
        <f t="shared" si="10"/>
        <v>S0101</v>
      </c>
      <c r="B102" s="8">
        <f t="shared" ca="1" si="11"/>
        <v>45059</v>
      </c>
      <c r="C102" s="15" t="str" cm="1">
        <f t="array" aca="1" ref="C102" ca="1">INDEX($Q$2:$Q$31, RANDBETWEEN(1, COUNTA($Q$2:$Q$31)))</f>
        <v>Latte</v>
      </c>
      <c r="D102" s="10" t="str" cm="1">
        <f t="array" aca="1" ref="D102" ca="1">INDEX($R$2:$R$310, RANDBETWEEN(1, COUNTA($Q$2:$Q$310)))</f>
        <v>L</v>
      </c>
      <c r="E102">
        <f t="shared" ca="1" si="12"/>
        <v>4</v>
      </c>
      <c r="F102" cm="1">
        <f t="array" aca="1" ref="F102" ca="1">INDEX($S$2:$S$31, RANDBETWEEN(1, COUNTA($S$2:$S$31)))</f>
        <v>65000</v>
      </c>
      <c r="G102" cm="1">
        <f t="array" aca="1" ref="G102" ca="1">INDEX($S$2:$S$31, RANDBETWEEN(1, COUNTA($S$2:$S$31)))</f>
        <v>59000</v>
      </c>
      <c r="H102">
        <f t="shared" ca="1" si="13"/>
        <v>13</v>
      </c>
      <c r="I102">
        <f t="shared" ca="1" si="14"/>
        <v>56550</v>
      </c>
      <c r="J102" s="10" t="str">
        <f t="shared" ca="1" si="15"/>
        <v>Online</v>
      </c>
      <c r="K102" s="10">
        <f t="shared" ca="1" si="16"/>
        <v>56550</v>
      </c>
      <c r="L102" s="10">
        <f t="shared" ca="1" si="17"/>
        <v>226200</v>
      </c>
      <c r="M102" s="12" t="str" cm="1">
        <f t="array" aca="1" ref="M102" ca="1">INDEX($R$33:$R$82, RANDBETWEEN(1, COUNTA($R$33:$R$82)))</f>
        <v>NV40</v>
      </c>
      <c r="N102">
        <f t="shared" ca="1" si="18"/>
        <v>39</v>
      </c>
    </row>
    <row r="103" spans="1:14" ht="16.8" x14ac:dyDescent="0.3">
      <c r="A103" s="7" t="str">
        <f t="shared" si="10"/>
        <v>S0102</v>
      </c>
      <c r="B103" s="8">
        <f t="shared" ca="1" si="11"/>
        <v>45200</v>
      </c>
      <c r="C103" s="15" t="str" cm="1">
        <f t="array" aca="1" ref="C103" ca="1">INDEX($Q$2:$Q$31, RANDBETWEEN(1, COUNTA($Q$2:$Q$31)))</f>
        <v>Caramel Phin Freeze</v>
      </c>
      <c r="D103" s="10" t="str" cm="1">
        <f t="array" aca="1" ref="D103" ca="1">INDEX($R$2:$R$310, RANDBETWEEN(1, COUNTA($Q$2:$Q$310)))</f>
        <v>S</v>
      </c>
      <c r="E103">
        <f t="shared" ca="1" si="12"/>
        <v>4</v>
      </c>
      <c r="F103" cm="1">
        <f t="array" aca="1" ref="F103" ca="1">INDEX($S$2:$S$31, RANDBETWEEN(1, COUNTA($S$2:$S$31)))</f>
        <v>55000</v>
      </c>
      <c r="G103" cm="1">
        <f t="array" aca="1" ref="G103" ca="1">INDEX($S$2:$S$31, RANDBETWEEN(1, COUNTA($S$2:$S$31)))</f>
        <v>49000</v>
      </c>
      <c r="H103">
        <f t="shared" ca="1" si="13"/>
        <v>14</v>
      </c>
      <c r="I103">
        <f t="shared" ca="1" si="14"/>
        <v>49000</v>
      </c>
      <c r="J103" s="10" t="str">
        <f t="shared" ca="1" si="15"/>
        <v>Offline</v>
      </c>
      <c r="K103" s="10">
        <f t="shared" ca="1" si="16"/>
        <v>49000</v>
      </c>
      <c r="L103" s="10">
        <f t="shared" ca="1" si="17"/>
        <v>196000</v>
      </c>
      <c r="M103" s="12" t="str" cm="1">
        <f t="array" aca="1" ref="M103" ca="1">INDEX($R$33:$R$82, RANDBETWEEN(1, COUNTA($R$33:$R$82)))</f>
        <v>NV37</v>
      </c>
      <c r="N103">
        <f t="shared" ca="1" si="18"/>
        <v>42</v>
      </c>
    </row>
    <row r="104" spans="1:14" ht="16.8" x14ac:dyDescent="0.3">
      <c r="A104" s="7" t="str">
        <f t="shared" si="10"/>
        <v>S0103</v>
      </c>
      <c r="B104" s="8">
        <f t="shared" ca="1" si="11"/>
        <v>45064</v>
      </c>
      <c r="C104" s="15" t="str" cm="1">
        <f t="array" aca="1" ref="C104" ca="1">INDEX($Q$2:$Q$31, RANDBETWEEN(1, COUNTA($Q$2:$Q$31)))</f>
        <v>Caramel Phin Freeze</v>
      </c>
      <c r="D104" s="10" t="str" cm="1">
        <f t="array" aca="1" ref="D104" ca="1">INDEX($R$2:$R$310, RANDBETWEEN(1, COUNTA($Q$2:$Q$310)))</f>
        <v>S</v>
      </c>
      <c r="E104">
        <f t="shared" ca="1" si="12"/>
        <v>5</v>
      </c>
      <c r="F104" cm="1">
        <f t="array" aca="1" ref="F104" ca="1">INDEX($S$2:$S$31, RANDBETWEEN(1, COUNTA($S$2:$S$31)))</f>
        <v>69000</v>
      </c>
      <c r="G104" cm="1">
        <f t="array" aca="1" ref="G104" ca="1">INDEX($S$2:$S$31, RANDBETWEEN(1, COUNTA($S$2:$S$31)))</f>
        <v>59000</v>
      </c>
      <c r="H104">
        <f t="shared" ca="1" si="13"/>
        <v>7</v>
      </c>
      <c r="I104">
        <f t="shared" ca="1" si="14"/>
        <v>64169.999999999993</v>
      </c>
      <c r="J104" s="10" t="str">
        <f t="shared" ca="1" si="15"/>
        <v>Online</v>
      </c>
      <c r="K104" s="10">
        <f t="shared" ca="1" si="16"/>
        <v>64169.999999999993</v>
      </c>
      <c r="L104" s="10">
        <f t="shared" ca="1" si="17"/>
        <v>320849.99999999994</v>
      </c>
      <c r="M104" s="12" t="str" cm="1">
        <f t="array" aca="1" ref="M104" ca="1">INDEX($R$33:$R$82, RANDBETWEEN(1, COUNTA($R$33:$R$82)))</f>
        <v>NV38</v>
      </c>
      <c r="N104">
        <f t="shared" ca="1" si="18"/>
        <v>9</v>
      </c>
    </row>
    <row r="105" spans="1:14" ht="16.8" x14ac:dyDescent="0.3">
      <c r="A105" s="7" t="str">
        <f t="shared" si="10"/>
        <v>S0104</v>
      </c>
      <c r="B105" s="8">
        <f t="shared" ca="1" si="11"/>
        <v>45161</v>
      </c>
      <c r="C105" s="15" t="str" cm="1">
        <f t="array" aca="1" ref="C105" ca="1">INDEX($Q$2:$Q$31, RANDBETWEEN(1, COUNTA($Q$2:$Q$31)))</f>
        <v>Cookies &amp; Cream</v>
      </c>
      <c r="D105" s="10" t="str" cm="1">
        <f t="array" aca="1" ref="D105" ca="1">INDEX($R$2:$R$310, RANDBETWEEN(1, COUNTA($Q$2:$Q$310)))</f>
        <v>M</v>
      </c>
      <c r="E105">
        <f t="shared" ca="1" si="12"/>
        <v>4</v>
      </c>
      <c r="F105" cm="1">
        <f t="array" aca="1" ref="F105" ca="1">INDEX($S$2:$S$31, RANDBETWEEN(1, COUNTA($S$2:$S$31)))</f>
        <v>69000</v>
      </c>
      <c r="G105" cm="1">
        <f t="array" aca="1" ref="G105" ca="1">INDEX($S$2:$S$31, RANDBETWEEN(1, COUNTA($S$2:$S$31)))</f>
        <v>35000</v>
      </c>
      <c r="H105">
        <f t="shared" ca="1" si="13"/>
        <v>13</v>
      </c>
      <c r="I105">
        <f t="shared" ca="1" si="14"/>
        <v>35000</v>
      </c>
      <c r="J105" s="10" t="str">
        <f t="shared" ca="1" si="15"/>
        <v>Offline</v>
      </c>
      <c r="K105" s="10">
        <f t="shared" ca="1" si="16"/>
        <v>35000</v>
      </c>
      <c r="L105" s="10">
        <f t="shared" ca="1" si="17"/>
        <v>140000</v>
      </c>
      <c r="M105" s="12" t="str" cm="1">
        <f t="array" aca="1" ref="M105" ca="1">INDEX($R$33:$R$82, RANDBETWEEN(1, COUNTA($R$33:$R$82)))</f>
        <v>NV33</v>
      </c>
      <c r="N105">
        <f t="shared" ca="1" si="18"/>
        <v>2</v>
      </c>
    </row>
    <row r="106" spans="1:14" ht="16.8" x14ac:dyDescent="0.3">
      <c r="A106" s="7" t="str">
        <f t="shared" si="10"/>
        <v>S0105</v>
      </c>
      <c r="B106" s="8">
        <f t="shared" ca="1" si="11"/>
        <v>44642</v>
      </c>
      <c r="C106" s="15" t="str" cm="1">
        <f t="array" aca="1" ref="C106" ca="1">INDEX($Q$2:$Q$31, RANDBETWEEN(1, COUNTA($Q$2:$Q$31)))</f>
        <v>Cookies &amp; Cream</v>
      </c>
      <c r="D106" s="10" t="str" cm="1">
        <f t="array" aca="1" ref="D106" ca="1">INDEX($R$2:$R$310, RANDBETWEEN(1, COUNTA($Q$2:$Q$310)))</f>
        <v>L</v>
      </c>
      <c r="E106">
        <f t="shared" ca="1" si="12"/>
        <v>1</v>
      </c>
      <c r="F106" cm="1">
        <f t="array" aca="1" ref="F106" ca="1">INDEX($S$2:$S$31, RANDBETWEEN(1, COUNTA($S$2:$S$31)))</f>
        <v>49000</v>
      </c>
      <c r="G106" cm="1">
        <f t="array" aca="1" ref="G106" ca="1">INDEX($S$2:$S$31, RANDBETWEEN(1, COUNTA($S$2:$S$31)))</f>
        <v>49000</v>
      </c>
      <c r="H106">
        <f t="shared" ca="1" si="13"/>
        <v>5</v>
      </c>
      <c r="I106">
        <f t="shared" ca="1" si="14"/>
        <v>46550</v>
      </c>
      <c r="J106" s="10" t="str">
        <f t="shared" ca="1" si="15"/>
        <v>Online</v>
      </c>
      <c r="K106" s="10">
        <f t="shared" ca="1" si="16"/>
        <v>46550</v>
      </c>
      <c r="L106" s="10">
        <f t="shared" ca="1" si="17"/>
        <v>46550</v>
      </c>
      <c r="M106" s="12" t="str" cm="1">
        <f t="array" aca="1" ref="M106" ca="1">INDEX($R$33:$R$82, RANDBETWEEN(1, COUNTA($R$33:$R$82)))</f>
        <v>NV34</v>
      </c>
      <c r="N106">
        <f t="shared" ca="1" si="18"/>
        <v>21</v>
      </c>
    </row>
    <row r="107" spans="1:14" ht="16.8" x14ac:dyDescent="0.3">
      <c r="A107" s="7" t="str">
        <f t="shared" si="10"/>
        <v>S0106</v>
      </c>
      <c r="B107" s="8">
        <f t="shared" ca="1" si="11"/>
        <v>45200</v>
      </c>
      <c r="C107" s="15" t="str" cm="1">
        <f t="array" aca="1" ref="C107" ca="1">INDEX($Q$2:$Q$31, RANDBETWEEN(1, COUNTA($Q$2:$Q$31)))</f>
        <v>Iced Black Coffee</v>
      </c>
      <c r="D107" s="10" t="str" cm="1">
        <f t="array" aca="1" ref="D107" ca="1">INDEX($R$2:$R$310, RANDBETWEEN(1, COUNTA($Q$2:$Q$310)))</f>
        <v>L</v>
      </c>
      <c r="E107">
        <f t="shared" ca="1" si="12"/>
        <v>1</v>
      </c>
      <c r="F107" cm="1">
        <f t="array" aca="1" ref="F107" ca="1">INDEX($S$2:$S$31, RANDBETWEEN(1, COUNTA($S$2:$S$31)))</f>
        <v>59000</v>
      </c>
      <c r="G107" cm="1">
        <f t="array" aca="1" ref="G107" ca="1">INDEX($S$2:$S$31, RANDBETWEEN(1, COUNTA($S$2:$S$31)))</f>
        <v>35000</v>
      </c>
      <c r="H107">
        <f t="shared" ca="1" si="13"/>
        <v>13</v>
      </c>
      <c r="I107">
        <f t="shared" ca="1" si="14"/>
        <v>51330</v>
      </c>
      <c r="J107" s="10" t="str">
        <f t="shared" ca="1" si="15"/>
        <v>Online</v>
      </c>
      <c r="K107" s="10">
        <f t="shared" ca="1" si="16"/>
        <v>51330</v>
      </c>
      <c r="L107" s="10">
        <f t="shared" ca="1" si="17"/>
        <v>51330</v>
      </c>
      <c r="M107" s="12" t="str" cm="1">
        <f t="array" aca="1" ref="M107" ca="1">INDEX($R$33:$R$82, RANDBETWEEN(1, COUNTA($R$33:$R$82)))</f>
        <v>NV37</v>
      </c>
      <c r="N107">
        <f t="shared" ca="1" si="18"/>
        <v>33</v>
      </c>
    </row>
    <row r="108" spans="1:14" ht="16.8" x14ac:dyDescent="0.3">
      <c r="A108" s="7" t="str">
        <f t="shared" si="10"/>
        <v>S0107</v>
      </c>
      <c r="B108" s="8">
        <f t="shared" ca="1" si="11"/>
        <v>44817</v>
      </c>
      <c r="C108" s="15" t="str" cm="1">
        <f t="array" aca="1" ref="C108" ca="1">INDEX($Q$2:$Q$31, RANDBETWEEN(1, COUNTA($Q$2:$Q$31)))</f>
        <v>Cappuccino</v>
      </c>
      <c r="D108" s="10" t="str" cm="1">
        <f t="array" aca="1" ref="D108" ca="1">INDEX($R$2:$R$310, RANDBETWEEN(1, COUNTA($Q$2:$Q$310)))</f>
        <v>S</v>
      </c>
      <c r="E108">
        <f t="shared" ca="1" si="12"/>
        <v>3</v>
      </c>
      <c r="F108" cm="1">
        <f t="array" aca="1" ref="F108" ca="1">INDEX($S$2:$S$31, RANDBETWEEN(1, COUNTA($S$2:$S$31)))</f>
        <v>55000</v>
      </c>
      <c r="G108" cm="1">
        <f t="array" aca="1" ref="G108" ca="1">INDEX($S$2:$S$31, RANDBETWEEN(1, COUNTA($S$2:$S$31)))</f>
        <v>49000</v>
      </c>
      <c r="H108">
        <f t="shared" ca="1" si="13"/>
        <v>9</v>
      </c>
      <c r="I108">
        <f t="shared" ca="1" si="14"/>
        <v>49000</v>
      </c>
      <c r="J108" s="10" t="str">
        <f t="shared" ca="1" si="15"/>
        <v>Offline</v>
      </c>
      <c r="K108" s="10">
        <f t="shared" ca="1" si="16"/>
        <v>49000</v>
      </c>
      <c r="L108" s="10">
        <f t="shared" ca="1" si="17"/>
        <v>147000</v>
      </c>
      <c r="M108" s="12" t="str" cm="1">
        <f t="array" aca="1" ref="M108" ca="1">INDEX($R$33:$R$82, RANDBETWEEN(1, COUNTA($R$33:$R$82)))</f>
        <v>NV43</v>
      </c>
      <c r="N108">
        <f t="shared" ca="1" si="18"/>
        <v>28</v>
      </c>
    </row>
    <row r="109" spans="1:14" ht="16.8" x14ac:dyDescent="0.3">
      <c r="A109" s="7" t="str">
        <f t="shared" si="10"/>
        <v>S0108</v>
      </c>
      <c r="B109" s="8">
        <f t="shared" ca="1" si="11"/>
        <v>45217</v>
      </c>
      <c r="C109" s="15" t="str" cm="1">
        <f t="array" aca="1" ref="C109" ca="1">INDEX($Q$2:$Q$31, RANDBETWEEN(1, COUNTA($Q$2:$Q$31)))</f>
        <v>Classic Phin Freeze</v>
      </c>
      <c r="D109" s="10" t="str" cm="1">
        <f t="array" aca="1" ref="D109" ca="1">INDEX($R$2:$R$310, RANDBETWEEN(1, COUNTA($Q$2:$Q$310)))</f>
        <v>S</v>
      </c>
      <c r="E109">
        <f t="shared" ca="1" si="12"/>
        <v>5</v>
      </c>
      <c r="F109" cm="1">
        <f t="array" aca="1" ref="F109" ca="1">INDEX($S$2:$S$31, RANDBETWEEN(1, COUNTA($S$2:$S$31)))</f>
        <v>59000</v>
      </c>
      <c r="G109" cm="1">
        <f t="array" aca="1" ref="G109" ca="1">INDEX($S$2:$S$31, RANDBETWEEN(1, COUNTA($S$2:$S$31)))</f>
        <v>69000</v>
      </c>
      <c r="H109">
        <f t="shared" ca="1" si="13"/>
        <v>15</v>
      </c>
      <c r="I109">
        <f t="shared" ca="1" si="14"/>
        <v>50150</v>
      </c>
      <c r="J109" s="10" t="str">
        <f t="shared" ca="1" si="15"/>
        <v>Online</v>
      </c>
      <c r="K109" s="10">
        <f t="shared" ca="1" si="16"/>
        <v>50150</v>
      </c>
      <c r="L109" s="10">
        <f t="shared" ca="1" si="17"/>
        <v>250750</v>
      </c>
      <c r="M109" s="12" t="str" cm="1">
        <f t="array" aca="1" ref="M109" ca="1">INDEX($R$33:$R$82, RANDBETWEEN(1, COUNTA($R$33:$R$82)))</f>
        <v>NV21</v>
      </c>
      <c r="N109">
        <f t="shared" ca="1" si="18"/>
        <v>51</v>
      </c>
    </row>
    <row r="110" spans="1:14" ht="16.8" x14ac:dyDescent="0.3">
      <c r="A110" s="7" t="str">
        <f t="shared" si="10"/>
        <v>S0109</v>
      </c>
      <c r="B110" s="8">
        <f t="shared" ca="1" si="11"/>
        <v>44386</v>
      </c>
      <c r="C110" s="15" t="str" cm="1">
        <f t="array" aca="1" ref="C110" ca="1">INDEX($Q$2:$Q$31, RANDBETWEEN(1, COUNTA($Q$2:$Q$31)))</f>
        <v>Iced Black Coffee</v>
      </c>
      <c r="D110" s="10" t="str" cm="1">
        <f t="array" aca="1" ref="D110" ca="1">INDEX($R$2:$R$310, RANDBETWEEN(1, COUNTA($Q$2:$Q$310)))</f>
        <v>S</v>
      </c>
      <c r="E110">
        <f t="shared" ca="1" si="12"/>
        <v>3</v>
      </c>
      <c r="F110" cm="1">
        <f t="array" aca="1" ref="F110" ca="1">INDEX($S$2:$S$31, RANDBETWEEN(1, COUNTA($S$2:$S$31)))</f>
        <v>49000</v>
      </c>
      <c r="G110" cm="1">
        <f t="array" aca="1" ref="G110" ca="1">INDEX($S$2:$S$31, RANDBETWEEN(1, COUNTA($S$2:$S$31)))</f>
        <v>75000</v>
      </c>
      <c r="H110">
        <f t="shared" ca="1" si="13"/>
        <v>6</v>
      </c>
      <c r="I110">
        <f t="shared" ca="1" si="14"/>
        <v>46060</v>
      </c>
      <c r="J110" s="10" t="str">
        <f t="shared" ca="1" si="15"/>
        <v>Online</v>
      </c>
      <c r="K110" s="10">
        <f t="shared" ca="1" si="16"/>
        <v>46060</v>
      </c>
      <c r="L110" s="10">
        <f t="shared" ca="1" si="17"/>
        <v>138180</v>
      </c>
      <c r="M110" s="12" t="str" cm="1">
        <f t="array" aca="1" ref="M110" ca="1">INDEX($R$33:$R$82, RANDBETWEEN(1, COUNTA($R$33:$R$82)))</f>
        <v>NV1</v>
      </c>
      <c r="N110">
        <f t="shared" ca="1" si="18"/>
        <v>17</v>
      </c>
    </row>
    <row r="111" spans="1:14" ht="16.8" x14ac:dyDescent="0.3">
      <c r="A111" s="7" t="str">
        <f t="shared" si="10"/>
        <v>S0110</v>
      </c>
      <c r="B111" s="8">
        <f t="shared" ca="1" si="11"/>
        <v>44253</v>
      </c>
      <c r="C111" s="15" t="str" cm="1">
        <f t="array" aca="1" ref="C111" ca="1">INDEX($Q$2:$Q$31, RANDBETWEEN(1, COUNTA($Q$2:$Q$31)))</f>
        <v xml:space="preserve">Chocolate Freeze </v>
      </c>
      <c r="D111" s="10" t="str" cm="1">
        <f t="array" aca="1" ref="D111" ca="1">INDEX($R$2:$R$310, RANDBETWEEN(1, COUNTA($Q$2:$Q$310)))</f>
        <v>S</v>
      </c>
      <c r="E111">
        <f t="shared" ca="1" si="12"/>
        <v>5</v>
      </c>
      <c r="F111" cm="1">
        <f t="array" aca="1" ref="F111" ca="1">INDEX($S$2:$S$31, RANDBETWEEN(1, COUNTA($S$2:$S$31)))</f>
        <v>39000</v>
      </c>
      <c r="G111" cm="1">
        <f t="array" aca="1" ref="G111" ca="1">INDEX($S$2:$S$31, RANDBETWEEN(1, COUNTA($S$2:$S$31)))</f>
        <v>59000</v>
      </c>
      <c r="H111">
        <f t="shared" ca="1" si="13"/>
        <v>13</v>
      </c>
      <c r="I111">
        <f t="shared" ca="1" si="14"/>
        <v>33930</v>
      </c>
      <c r="J111" s="10" t="str">
        <f t="shared" ca="1" si="15"/>
        <v>Online</v>
      </c>
      <c r="K111" s="10">
        <f t="shared" ca="1" si="16"/>
        <v>33930</v>
      </c>
      <c r="L111" s="10">
        <f t="shared" ca="1" si="17"/>
        <v>169650</v>
      </c>
      <c r="M111" s="12" t="str" cm="1">
        <f t="array" aca="1" ref="M111" ca="1">INDEX($R$33:$R$82, RANDBETWEEN(1, COUNTA($R$33:$R$82)))</f>
        <v>NV6</v>
      </c>
      <c r="N111">
        <f t="shared" ca="1" si="18"/>
        <v>39</v>
      </c>
    </row>
    <row r="112" spans="1:14" ht="16.8" x14ac:dyDescent="0.3">
      <c r="A112" s="7" t="str">
        <f t="shared" si="10"/>
        <v>S0111</v>
      </c>
      <c r="B112" s="8">
        <f t="shared" ca="1" si="11"/>
        <v>45182</v>
      </c>
      <c r="C112" s="15" t="str" cm="1">
        <f t="array" aca="1" ref="C112" ca="1">INDEX($Q$2:$Q$31, RANDBETWEEN(1, COUNTA($Q$2:$Q$31)))</f>
        <v xml:space="preserve">Green Tea Freeze </v>
      </c>
      <c r="D112" s="10" t="str" cm="1">
        <f t="array" aca="1" ref="D112" ca="1">INDEX($R$2:$R$310, RANDBETWEEN(1, COUNTA($Q$2:$Q$310)))</f>
        <v>S</v>
      </c>
      <c r="E112">
        <f t="shared" ca="1" si="12"/>
        <v>1</v>
      </c>
      <c r="F112" cm="1">
        <f t="array" aca="1" ref="F112" ca="1">INDEX($S$2:$S$31, RANDBETWEEN(1, COUNTA($S$2:$S$31)))</f>
        <v>49000</v>
      </c>
      <c r="G112" cm="1">
        <f t="array" aca="1" ref="G112" ca="1">INDEX($S$2:$S$31, RANDBETWEEN(1, COUNTA($S$2:$S$31)))</f>
        <v>65000</v>
      </c>
      <c r="H112">
        <f t="shared" ca="1" si="13"/>
        <v>13</v>
      </c>
      <c r="I112">
        <f t="shared" ca="1" si="14"/>
        <v>65000</v>
      </c>
      <c r="J112" s="10" t="str">
        <f t="shared" ca="1" si="15"/>
        <v>Offline</v>
      </c>
      <c r="K112" s="10">
        <f t="shared" ca="1" si="16"/>
        <v>65000</v>
      </c>
      <c r="L112" s="10">
        <f t="shared" ca="1" si="17"/>
        <v>65000</v>
      </c>
      <c r="M112" s="12" t="str" cm="1">
        <f t="array" aca="1" ref="M112" ca="1">INDEX($R$33:$R$82, RANDBETWEEN(1, COUNTA($R$33:$R$82)))</f>
        <v>NV46</v>
      </c>
      <c r="N112">
        <f t="shared" ca="1" si="18"/>
        <v>35</v>
      </c>
    </row>
    <row r="113" spans="1:14" ht="16.8" x14ac:dyDescent="0.3">
      <c r="A113" s="7" t="str">
        <f t="shared" si="10"/>
        <v>S0112</v>
      </c>
      <c r="B113" s="8">
        <f t="shared" ca="1" si="11"/>
        <v>44914</v>
      </c>
      <c r="C113" s="15" t="str" cm="1">
        <f t="array" aca="1" ref="C113" ca="1">INDEX($Q$2:$Q$31, RANDBETWEEN(1, COUNTA($Q$2:$Q$31)))</f>
        <v>Cappuccino</v>
      </c>
      <c r="D113" s="10" t="str" cm="1">
        <f t="array" aca="1" ref="D113" ca="1">INDEX($R$2:$R$310, RANDBETWEEN(1, COUNTA($Q$2:$Q$310)))</f>
        <v>M</v>
      </c>
      <c r="E113">
        <f t="shared" ca="1" si="12"/>
        <v>5</v>
      </c>
      <c r="F113" cm="1">
        <f t="array" aca="1" ref="F113" ca="1">INDEX($S$2:$S$31, RANDBETWEEN(1, COUNTA($S$2:$S$31)))</f>
        <v>59000</v>
      </c>
      <c r="G113" cm="1">
        <f t="array" aca="1" ref="G113" ca="1">INDEX($S$2:$S$31, RANDBETWEEN(1, COUNTA($S$2:$S$31)))</f>
        <v>59000</v>
      </c>
      <c r="H113">
        <f t="shared" ca="1" si="13"/>
        <v>10</v>
      </c>
      <c r="I113">
        <f t="shared" ca="1" si="14"/>
        <v>53100</v>
      </c>
      <c r="J113" s="10" t="str">
        <f t="shared" ca="1" si="15"/>
        <v>Online</v>
      </c>
      <c r="K113" s="10">
        <f t="shared" ca="1" si="16"/>
        <v>53100</v>
      </c>
      <c r="L113" s="10">
        <f t="shared" ca="1" si="17"/>
        <v>265500</v>
      </c>
      <c r="M113" s="12" t="str" cm="1">
        <f t="array" aca="1" ref="M113" ca="1">INDEX($R$33:$R$82, RANDBETWEEN(1, COUNTA($R$33:$R$82)))</f>
        <v>NV50</v>
      </c>
      <c r="N113">
        <f t="shared" ca="1" si="18"/>
        <v>21</v>
      </c>
    </row>
    <row r="114" spans="1:14" ht="16.8" x14ac:dyDescent="0.3">
      <c r="A114" s="7" t="str">
        <f t="shared" si="10"/>
        <v>S0113</v>
      </c>
      <c r="B114" s="8">
        <f t="shared" ca="1" si="11"/>
        <v>44863</v>
      </c>
      <c r="C114" s="15" t="str" cm="1">
        <f t="array" aca="1" ref="C114" ca="1">INDEX($Q$2:$Q$31, RANDBETWEEN(1, COUNTA($Q$2:$Q$31)))</f>
        <v xml:space="preserve">Green Tea Freeze </v>
      </c>
      <c r="D114" s="10" t="str" cm="1">
        <f t="array" aca="1" ref="D114" ca="1">INDEX($R$2:$R$310, RANDBETWEEN(1, COUNTA($Q$2:$Q$310)))</f>
        <v>L</v>
      </c>
      <c r="E114">
        <f t="shared" ca="1" si="12"/>
        <v>2</v>
      </c>
      <c r="F114" cm="1">
        <f t="array" aca="1" ref="F114" ca="1">INDEX($S$2:$S$31, RANDBETWEEN(1, COUNTA($S$2:$S$31)))</f>
        <v>59000</v>
      </c>
      <c r="G114" cm="1">
        <f t="array" aca="1" ref="G114" ca="1">INDEX($S$2:$S$31, RANDBETWEEN(1, COUNTA($S$2:$S$31)))</f>
        <v>65000</v>
      </c>
      <c r="H114">
        <f t="shared" ca="1" si="13"/>
        <v>13</v>
      </c>
      <c r="I114">
        <f t="shared" ca="1" si="14"/>
        <v>51330</v>
      </c>
      <c r="J114" s="10" t="str">
        <f t="shared" ca="1" si="15"/>
        <v>Online</v>
      </c>
      <c r="K114" s="10">
        <f t="shared" ca="1" si="16"/>
        <v>51330</v>
      </c>
      <c r="L114" s="10">
        <f t="shared" ca="1" si="17"/>
        <v>102660</v>
      </c>
      <c r="M114" s="12" t="str" cm="1">
        <f t="array" aca="1" ref="M114" ca="1">INDEX($R$33:$R$82, RANDBETWEEN(1, COUNTA($R$33:$R$82)))</f>
        <v>NV14</v>
      </c>
      <c r="N114">
        <f t="shared" ca="1" si="18"/>
        <v>27</v>
      </c>
    </row>
    <row r="115" spans="1:14" ht="16.8" x14ac:dyDescent="0.3">
      <c r="A115" s="7" t="str">
        <f t="shared" si="10"/>
        <v>S0114</v>
      </c>
      <c r="B115" s="8">
        <f t="shared" ca="1" si="11"/>
        <v>44544</v>
      </c>
      <c r="C115" s="15" t="str" cm="1">
        <f t="array" aca="1" ref="C115" ca="1">INDEX($Q$2:$Q$31, RANDBETWEEN(1, COUNTA($Q$2:$Q$31)))</f>
        <v>Americano</v>
      </c>
      <c r="D115" s="10" t="str" cm="1">
        <f t="array" aca="1" ref="D115" ca="1">INDEX($R$2:$R$310, RANDBETWEEN(1, COUNTA($Q$2:$Q$310)))</f>
        <v>M</v>
      </c>
      <c r="E115">
        <f t="shared" ca="1" si="12"/>
        <v>5</v>
      </c>
      <c r="F115" cm="1">
        <f t="array" aca="1" ref="F115" ca="1">INDEX($S$2:$S$31, RANDBETWEEN(1, COUNTA($S$2:$S$31)))</f>
        <v>69000</v>
      </c>
      <c r="G115" cm="1">
        <f t="array" aca="1" ref="G115" ca="1">INDEX($S$2:$S$31, RANDBETWEEN(1, COUNTA($S$2:$S$31)))</f>
        <v>45000</v>
      </c>
      <c r="H115">
        <f t="shared" ca="1" si="13"/>
        <v>11</v>
      </c>
      <c r="I115">
        <f t="shared" ca="1" si="14"/>
        <v>45000</v>
      </c>
      <c r="J115" s="10" t="str">
        <f t="shared" ca="1" si="15"/>
        <v>Offline</v>
      </c>
      <c r="K115" s="10">
        <f t="shared" ca="1" si="16"/>
        <v>45000</v>
      </c>
      <c r="L115" s="10">
        <f t="shared" ca="1" si="17"/>
        <v>225000</v>
      </c>
      <c r="M115" s="12" t="str" cm="1">
        <f t="array" aca="1" ref="M115" ca="1">INDEX($R$33:$R$82, RANDBETWEEN(1, COUNTA($R$33:$R$82)))</f>
        <v>NV32</v>
      </c>
      <c r="N115">
        <f t="shared" ca="1" si="18"/>
        <v>34</v>
      </c>
    </row>
    <row r="116" spans="1:14" ht="16.8" x14ac:dyDescent="0.3">
      <c r="A116" s="7" t="str">
        <f t="shared" si="10"/>
        <v>S0115</v>
      </c>
      <c r="B116" s="8">
        <f t="shared" ca="1" si="11"/>
        <v>44815</v>
      </c>
      <c r="C116" s="15" t="str" cm="1">
        <f t="array" aca="1" ref="C116" ca="1">INDEX($Q$2:$Q$31, RANDBETWEEN(1, COUNTA($Q$2:$Q$31)))</f>
        <v>Caramel Phin Freeze</v>
      </c>
      <c r="D116" s="10" t="str" cm="1">
        <f t="array" aca="1" ref="D116" ca="1">INDEX($R$2:$R$310, RANDBETWEEN(1, COUNTA($Q$2:$Q$310)))</f>
        <v>S</v>
      </c>
      <c r="E116">
        <f t="shared" ca="1" si="12"/>
        <v>3</v>
      </c>
      <c r="F116" cm="1">
        <f t="array" aca="1" ref="F116" ca="1">INDEX($S$2:$S$31, RANDBETWEEN(1, COUNTA($S$2:$S$31)))</f>
        <v>49000</v>
      </c>
      <c r="G116" cm="1">
        <f t="array" aca="1" ref="G116" ca="1">INDEX($S$2:$S$31, RANDBETWEEN(1, COUNTA($S$2:$S$31)))</f>
        <v>49000</v>
      </c>
      <c r="H116">
        <f t="shared" ca="1" si="13"/>
        <v>14</v>
      </c>
      <c r="I116">
        <f t="shared" ca="1" si="14"/>
        <v>49000</v>
      </c>
      <c r="J116" s="10" t="str">
        <f t="shared" ca="1" si="15"/>
        <v>Offline</v>
      </c>
      <c r="K116" s="10">
        <f t="shared" ca="1" si="16"/>
        <v>49000</v>
      </c>
      <c r="L116" s="10">
        <f t="shared" ca="1" si="17"/>
        <v>147000</v>
      </c>
      <c r="M116" s="12" t="str" cm="1">
        <f t="array" aca="1" ref="M116" ca="1">INDEX($R$33:$R$82, RANDBETWEEN(1, COUNTA($R$33:$R$82)))</f>
        <v>NV31</v>
      </c>
      <c r="N116">
        <f t="shared" ca="1" si="18"/>
        <v>25</v>
      </c>
    </row>
    <row r="117" spans="1:14" ht="16.8" x14ac:dyDescent="0.3">
      <c r="A117" s="7" t="str">
        <f t="shared" si="10"/>
        <v>S0116</v>
      </c>
      <c r="B117" s="8">
        <f t="shared" ca="1" si="11"/>
        <v>44502</v>
      </c>
      <c r="C117" s="15" t="str" cm="1">
        <f t="array" aca="1" ref="C117" ca="1">INDEX($Q$2:$Q$31, RANDBETWEEN(1, COUNTA($Q$2:$Q$31)))</f>
        <v>Caramel Phin Freeze</v>
      </c>
      <c r="D117" s="10" t="str" cm="1">
        <f t="array" aca="1" ref="D117" ca="1">INDEX($R$2:$R$310, RANDBETWEEN(1, COUNTA($Q$2:$Q$310)))</f>
        <v>L</v>
      </c>
      <c r="E117">
        <f t="shared" ca="1" si="12"/>
        <v>4</v>
      </c>
      <c r="F117" cm="1">
        <f t="array" aca="1" ref="F117" ca="1">INDEX($S$2:$S$31, RANDBETWEEN(1, COUNTA($S$2:$S$31)))</f>
        <v>59000</v>
      </c>
      <c r="G117" cm="1">
        <f t="array" aca="1" ref="G117" ca="1">INDEX($S$2:$S$31, RANDBETWEEN(1, COUNTA($S$2:$S$31)))</f>
        <v>49000</v>
      </c>
      <c r="H117">
        <f t="shared" ca="1" si="13"/>
        <v>5</v>
      </c>
      <c r="I117">
        <f t="shared" ca="1" si="14"/>
        <v>56050</v>
      </c>
      <c r="J117" s="10" t="str">
        <f t="shared" ca="1" si="15"/>
        <v>Online</v>
      </c>
      <c r="K117" s="10">
        <f t="shared" ca="1" si="16"/>
        <v>56050</v>
      </c>
      <c r="L117" s="10">
        <f t="shared" ca="1" si="17"/>
        <v>224200</v>
      </c>
      <c r="M117" s="12" t="str" cm="1">
        <f t="array" aca="1" ref="M117" ca="1">INDEX($R$33:$R$82, RANDBETWEEN(1, COUNTA($R$33:$R$82)))</f>
        <v>NV39</v>
      </c>
      <c r="N117">
        <f t="shared" ca="1" si="18"/>
        <v>37</v>
      </c>
    </row>
    <row r="118" spans="1:14" ht="16.8" x14ac:dyDescent="0.3">
      <c r="A118" s="7" t="str">
        <f t="shared" si="10"/>
        <v>S0117</v>
      </c>
      <c r="B118" s="8">
        <f t="shared" ca="1" si="11"/>
        <v>44610</v>
      </c>
      <c r="C118" s="15" t="str" cm="1">
        <f t="array" aca="1" ref="C118" ca="1">INDEX($Q$2:$Q$31, RANDBETWEEN(1, COUNTA($Q$2:$Q$31)))</f>
        <v>Americano</v>
      </c>
      <c r="D118" s="10" t="str" cm="1">
        <f t="array" aca="1" ref="D118" ca="1">INDEX($R$2:$R$310, RANDBETWEEN(1, COUNTA($Q$2:$Q$310)))</f>
        <v>M</v>
      </c>
      <c r="E118">
        <f t="shared" ca="1" si="12"/>
        <v>3</v>
      </c>
      <c r="F118" cm="1">
        <f t="array" aca="1" ref="F118" ca="1">INDEX($S$2:$S$31, RANDBETWEEN(1, COUNTA($S$2:$S$31)))</f>
        <v>55000</v>
      </c>
      <c r="G118" cm="1">
        <f t="array" aca="1" ref="G118" ca="1">INDEX($S$2:$S$31, RANDBETWEEN(1, COUNTA($S$2:$S$31)))</f>
        <v>69000</v>
      </c>
      <c r="H118">
        <f t="shared" ca="1" si="13"/>
        <v>11</v>
      </c>
      <c r="I118">
        <f t="shared" ca="1" si="14"/>
        <v>69000</v>
      </c>
      <c r="J118" s="10" t="str">
        <f t="shared" ca="1" si="15"/>
        <v>Offline</v>
      </c>
      <c r="K118" s="10">
        <f t="shared" ca="1" si="16"/>
        <v>69000</v>
      </c>
      <c r="L118" s="10">
        <f t="shared" ca="1" si="17"/>
        <v>207000</v>
      </c>
      <c r="M118" s="12" t="str" cm="1">
        <f t="array" aca="1" ref="M118" ca="1">INDEX($R$33:$R$82, RANDBETWEEN(1, COUNTA($R$33:$R$82)))</f>
        <v>NV12</v>
      </c>
      <c r="N118">
        <f t="shared" ca="1" si="18"/>
        <v>27</v>
      </c>
    </row>
    <row r="119" spans="1:14" ht="16.8" x14ac:dyDescent="0.3">
      <c r="A119" s="7" t="str">
        <f t="shared" si="10"/>
        <v>S0118</v>
      </c>
      <c r="B119" s="8">
        <f t="shared" ca="1" si="11"/>
        <v>44974</v>
      </c>
      <c r="C119" s="15" t="str" cm="1">
        <f t="array" aca="1" ref="C119" ca="1">INDEX($Q$2:$Q$31, RANDBETWEEN(1, COUNTA($Q$2:$Q$31)))</f>
        <v>Latte</v>
      </c>
      <c r="D119" s="10" t="str" cm="1">
        <f t="array" aca="1" ref="D119" ca="1">INDEX($R$2:$R$310, RANDBETWEEN(1, COUNTA($Q$2:$Q$310)))</f>
        <v>L</v>
      </c>
      <c r="E119">
        <f t="shared" ca="1" si="12"/>
        <v>4</v>
      </c>
      <c r="F119" cm="1">
        <f t="array" aca="1" ref="F119" ca="1">INDEX($S$2:$S$31, RANDBETWEEN(1, COUNTA($S$2:$S$31)))</f>
        <v>65000</v>
      </c>
      <c r="G119" cm="1">
        <f t="array" aca="1" ref="G119" ca="1">INDEX($S$2:$S$31, RANDBETWEEN(1, COUNTA($S$2:$S$31)))</f>
        <v>59000</v>
      </c>
      <c r="H119">
        <f t="shared" ca="1" si="13"/>
        <v>13</v>
      </c>
      <c r="I119">
        <f t="shared" ca="1" si="14"/>
        <v>56550</v>
      </c>
      <c r="J119" s="10" t="str">
        <f t="shared" ca="1" si="15"/>
        <v>Online</v>
      </c>
      <c r="K119" s="10">
        <f t="shared" ca="1" si="16"/>
        <v>56550</v>
      </c>
      <c r="L119" s="10">
        <f t="shared" ca="1" si="17"/>
        <v>226200</v>
      </c>
      <c r="M119" s="12" t="str" cm="1">
        <f t="array" aca="1" ref="M119" ca="1">INDEX($R$33:$R$82, RANDBETWEEN(1, COUNTA($R$33:$R$82)))</f>
        <v>NV20</v>
      </c>
      <c r="N119">
        <f t="shared" ca="1" si="18"/>
        <v>37</v>
      </c>
    </row>
    <row r="120" spans="1:14" ht="16.8" x14ac:dyDescent="0.3">
      <c r="A120" s="7" t="str">
        <f t="shared" si="10"/>
        <v>S0119</v>
      </c>
      <c r="B120" s="8">
        <f t="shared" ca="1" si="11"/>
        <v>44436</v>
      </c>
      <c r="C120" s="15" t="str" cm="1">
        <f t="array" aca="1" ref="C120" ca="1">INDEX($Q$2:$Q$31, RANDBETWEEN(1, COUNTA($Q$2:$Q$31)))</f>
        <v>Iced Black Coffee</v>
      </c>
      <c r="D120" s="10" t="str" cm="1">
        <f t="array" aca="1" ref="D120" ca="1">INDEX($R$2:$R$310, RANDBETWEEN(1, COUNTA($Q$2:$Q$310)))</f>
        <v>L</v>
      </c>
      <c r="E120">
        <f t="shared" ca="1" si="12"/>
        <v>2</v>
      </c>
      <c r="F120" cm="1">
        <f t="array" aca="1" ref="F120" ca="1">INDEX($S$2:$S$31, RANDBETWEEN(1, COUNTA($S$2:$S$31)))</f>
        <v>49000</v>
      </c>
      <c r="G120" cm="1">
        <f t="array" aca="1" ref="G120" ca="1">INDEX($S$2:$S$31, RANDBETWEEN(1, COUNTA($S$2:$S$31)))</f>
        <v>65000</v>
      </c>
      <c r="H120">
        <f t="shared" ca="1" si="13"/>
        <v>7</v>
      </c>
      <c r="I120">
        <f t="shared" ca="1" si="14"/>
        <v>65000</v>
      </c>
      <c r="J120" s="10" t="str">
        <f t="shared" ca="1" si="15"/>
        <v>Offline</v>
      </c>
      <c r="K120" s="10">
        <f t="shared" ca="1" si="16"/>
        <v>65000</v>
      </c>
      <c r="L120" s="10">
        <f t="shared" ca="1" si="17"/>
        <v>130000</v>
      </c>
      <c r="M120" s="12" t="str" cm="1">
        <f t="array" aca="1" ref="M120" ca="1">INDEX($R$33:$R$82, RANDBETWEEN(1, COUNTA($R$33:$R$82)))</f>
        <v>NV32</v>
      </c>
      <c r="N120">
        <f t="shared" ca="1" si="18"/>
        <v>41</v>
      </c>
    </row>
    <row r="121" spans="1:14" ht="16.8" x14ac:dyDescent="0.3">
      <c r="A121" s="7" t="str">
        <f t="shared" si="10"/>
        <v>S0120</v>
      </c>
      <c r="B121" s="8">
        <f t="shared" ca="1" si="11"/>
        <v>45099</v>
      </c>
      <c r="C121" s="15" t="str" cm="1">
        <f t="array" aca="1" ref="C121" ca="1">INDEX($Q$2:$Q$31, RANDBETWEEN(1, COUNTA($Q$2:$Q$31)))</f>
        <v>Iced Black Coffee</v>
      </c>
      <c r="D121" s="10" t="str" cm="1">
        <f t="array" aca="1" ref="D121" ca="1">INDEX($R$2:$R$310, RANDBETWEEN(1, COUNTA($Q$2:$Q$310)))</f>
        <v>S</v>
      </c>
      <c r="E121">
        <f t="shared" ca="1" si="12"/>
        <v>4</v>
      </c>
      <c r="F121" cm="1">
        <f t="array" aca="1" ref="F121" ca="1">INDEX($S$2:$S$31, RANDBETWEEN(1, COUNTA($S$2:$S$31)))</f>
        <v>69000</v>
      </c>
      <c r="G121" cm="1">
        <f t="array" aca="1" ref="G121" ca="1">INDEX($S$2:$S$31, RANDBETWEEN(1, COUNTA($S$2:$S$31)))</f>
        <v>59000</v>
      </c>
      <c r="H121">
        <f t="shared" ca="1" si="13"/>
        <v>15</v>
      </c>
      <c r="I121">
        <f t="shared" ca="1" si="14"/>
        <v>58650</v>
      </c>
      <c r="J121" s="10" t="str">
        <f t="shared" ca="1" si="15"/>
        <v>Online</v>
      </c>
      <c r="K121" s="10">
        <f t="shared" ca="1" si="16"/>
        <v>58650</v>
      </c>
      <c r="L121" s="10">
        <f t="shared" ca="1" si="17"/>
        <v>234600</v>
      </c>
      <c r="M121" s="12" t="str" cm="1">
        <f t="array" aca="1" ref="M121" ca="1">INDEX($R$33:$R$82, RANDBETWEEN(1, COUNTA($R$33:$R$82)))</f>
        <v>NV14</v>
      </c>
      <c r="N121">
        <f t="shared" ca="1" si="18"/>
        <v>32</v>
      </c>
    </row>
    <row r="122" spans="1:14" ht="16.8" x14ac:dyDescent="0.3">
      <c r="A122" s="7" t="str">
        <f t="shared" si="10"/>
        <v>S0121</v>
      </c>
      <c r="B122" s="8">
        <f t="shared" ca="1" si="11"/>
        <v>44344</v>
      </c>
      <c r="C122" s="15" t="str" cm="1">
        <f t="array" aca="1" ref="C122" ca="1">INDEX($Q$2:$Q$31, RANDBETWEEN(1, COUNTA($Q$2:$Q$31)))</f>
        <v xml:space="preserve">Chocolate Freeze </v>
      </c>
      <c r="D122" s="10" t="str" cm="1">
        <f t="array" aca="1" ref="D122" ca="1">INDEX($R$2:$R$310, RANDBETWEEN(1, COUNTA($Q$2:$Q$310)))</f>
        <v>S</v>
      </c>
      <c r="E122">
        <f t="shared" ca="1" si="12"/>
        <v>4</v>
      </c>
      <c r="F122" cm="1">
        <f t="array" aca="1" ref="F122" ca="1">INDEX($S$2:$S$31, RANDBETWEEN(1, COUNTA($S$2:$S$31)))</f>
        <v>59000</v>
      </c>
      <c r="G122" cm="1">
        <f t="array" aca="1" ref="G122" ca="1">INDEX($S$2:$S$31, RANDBETWEEN(1, COUNTA($S$2:$S$31)))</f>
        <v>29000</v>
      </c>
      <c r="H122">
        <f t="shared" ca="1" si="13"/>
        <v>5</v>
      </c>
      <c r="I122">
        <f t="shared" ca="1" si="14"/>
        <v>56050</v>
      </c>
      <c r="J122" s="10" t="str">
        <f t="shared" ca="1" si="15"/>
        <v>Online</v>
      </c>
      <c r="K122" s="10">
        <f t="shared" ca="1" si="16"/>
        <v>56050</v>
      </c>
      <c r="L122" s="10">
        <f t="shared" ca="1" si="17"/>
        <v>224200</v>
      </c>
      <c r="M122" s="12" t="str" cm="1">
        <f t="array" aca="1" ref="M122" ca="1">INDEX($R$33:$R$82, RANDBETWEEN(1, COUNTA($R$33:$R$82)))</f>
        <v>NV40</v>
      </c>
      <c r="N122">
        <f t="shared" ca="1" si="18"/>
        <v>13</v>
      </c>
    </row>
    <row r="123" spans="1:14" ht="16.8" x14ac:dyDescent="0.3">
      <c r="A123" s="7" t="str">
        <f t="shared" si="10"/>
        <v>S0122</v>
      </c>
      <c r="B123" s="8">
        <f t="shared" ca="1" si="11"/>
        <v>45017</v>
      </c>
      <c r="C123" s="15" t="str" cm="1">
        <f t="array" aca="1" ref="C123" ca="1">INDEX($Q$2:$Q$31, RANDBETWEEN(1, COUNTA($Q$2:$Q$31)))</f>
        <v>Cappuccino</v>
      </c>
      <c r="D123" s="10" t="str" cm="1">
        <f t="array" aca="1" ref="D123" ca="1">INDEX($R$2:$R$310, RANDBETWEEN(1, COUNTA($Q$2:$Q$310)))</f>
        <v>S</v>
      </c>
      <c r="E123">
        <f t="shared" ca="1" si="12"/>
        <v>2</v>
      </c>
      <c r="F123" cm="1">
        <f t="array" aca="1" ref="F123" ca="1">INDEX($S$2:$S$31, RANDBETWEEN(1, COUNTA($S$2:$S$31)))</f>
        <v>65000</v>
      </c>
      <c r="G123" cm="1">
        <f t="array" aca="1" ref="G123" ca="1">INDEX($S$2:$S$31, RANDBETWEEN(1, COUNTA($S$2:$S$31)))</f>
        <v>39000</v>
      </c>
      <c r="H123">
        <f t="shared" ca="1" si="13"/>
        <v>13</v>
      </c>
      <c r="I123">
        <f t="shared" ca="1" si="14"/>
        <v>56550</v>
      </c>
      <c r="J123" s="10" t="str">
        <f t="shared" ca="1" si="15"/>
        <v>Online</v>
      </c>
      <c r="K123" s="10">
        <f t="shared" ca="1" si="16"/>
        <v>56550</v>
      </c>
      <c r="L123" s="10">
        <f t="shared" ca="1" si="17"/>
        <v>113100</v>
      </c>
      <c r="M123" s="12" t="str" cm="1">
        <f t="array" aca="1" ref="M123" ca="1">INDEX($R$33:$R$82, RANDBETWEEN(1, COUNTA($R$33:$R$82)))</f>
        <v>NV35</v>
      </c>
      <c r="N123">
        <f t="shared" ca="1" si="18"/>
        <v>42</v>
      </c>
    </row>
    <row r="124" spans="1:14" ht="16.8" x14ac:dyDescent="0.3">
      <c r="A124" s="7" t="str">
        <f t="shared" si="10"/>
        <v>S0123</v>
      </c>
      <c r="B124" s="8">
        <f t="shared" ca="1" si="11"/>
        <v>44227</v>
      </c>
      <c r="C124" s="15" t="str" cm="1">
        <f t="array" aca="1" ref="C124" ca="1">INDEX($Q$2:$Q$31, RANDBETWEEN(1, COUNTA($Q$2:$Q$31)))</f>
        <v>Latte</v>
      </c>
      <c r="D124" s="10" t="str" cm="1">
        <f t="array" aca="1" ref="D124" ca="1">INDEX($R$2:$R$310, RANDBETWEEN(1, COUNTA($Q$2:$Q$310)))</f>
        <v>S</v>
      </c>
      <c r="E124">
        <f t="shared" ca="1" si="12"/>
        <v>1</v>
      </c>
      <c r="F124" cm="1">
        <f t="array" aca="1" ref="F124" ca="1">INDEX($S$2:$S$31, RANDBETWEEN(1, COUNTA($S$2:$S$31)))</f>
        <v>59000</v>
      </c>
      <c r="G124" cm="1">
        <f t="array" aca="1" ref="G124" ca="1">INDEX($S$2:$S$31, RANDBETWEEN(1, COUNTA($S$2:$S$31)))</f>
        <v>59000</v>
      </c>
      <c r="H124">
        <f t="shared" ca="1" si="13"/>
        <v>5</v>
      </c>
      <c r="I124">
        <f t="shared" ca="1" si="14"/>
        <v>56050</v>
      </c>
      <c r="J124" s="10" t="str">
        <f t="shared" ca="1" si="15"/>
        <v>Online</v>
      </c>
      <c r="K124" s="10">
        <f t="shared" ca="1" si="16"/>
        <v>56050</v>
      </c>
      <c r="L124" s="10">
        <f t="shared" ca="1" si="17"/>
        <v>56050</v>
      </c>
      <c r="M124" s="12" t="str" cm="1">
        <f t="array" aca="1" ref="M124" ca="1">INDEX($R$33:$R$82, RANDBETWEEN(1, COUNTA($R$33:$R$82)))</f>
        <v>NV45</v>
      </c>
      <c r="N124">
        <f t="shared" ca="1" si="18"/>
        <v>38</v>
      </c>
    </row>
    <row r="125" spans="1:14" ht="16.8" x14ac:dyDescent="0.3">
      <c r="A125" s="7" t="str">
        <f t="shared" si="10"/>
        <v>S0124</v>
      </c>
      <c r="B125" s="8">
        <f t="shared" ca="1" si="11"/>
        <v>45112</v>
      </c>
      <c r="C125" s="15" t="str" cm="1">
        <f t="array" aca="1" ref="C125" ca="1">INDEX($Q$2:$Q$31, RANDBETWEEN(1, COUNTA($Q$2:$Q$31)))</f>
        <v xml:space="preserve">Green Tea Freeze </v>
      </c>
      <c r="D125" s="10" t="str" cm="1">
        <f t="array" aca="1" ref="D125" ca="1">INDEX($R$2:$R$310, RANDBETWEEN(1, COUNTA($Q$2:$Q$310)))</f>
        <v>M</v>
      </c>
      <c r="E125">
        <f t="shared" ca="1" si="12"/>
        <v>1</v>
      </c>
      <c r="F125" cm="1">
        <f t="array" aca="1" ref="F125" ca="1">INDEX($S$2:$S$31, RANDBETWEEN(1, COUNTA($S$2:$S$31)))</f>
        <v>39000</v>
      </c>
      <c r="G125" cm="1">
        <f t="array" aca="1" ref="G125" ca="1">INDEX($S$2:$S$31, RANDBETWEEN(1, COUNTA($S$2:$S$31)))</f>
        <v>49000</v>
      </c>
      <c r="H125">
        <f t="shared" ca="1" si="13"/>
        <v>13</v>
      </c>
      <c r="I125">
        <f t="shared" ca="1" si="14"/>
        <v>49000</v>
      </c>
      <c r="J125" s="10" t="str">
        <f t="shared" ca="1" si="15"/>
        <v>Offline</v>
      </c>
      <c r="K125" s="10">
        <f t="shared" ca="1" si="16"/>
        <v>49000</v>
      </c>
      <c r="L125" s="10">
        <f t="shared" ca="1" si="17"/>
        <v>49000</v>
      </c>
      <c r="M125" s="12" t="str" cm="1">
        <f t="array" aca="1" ref="M125" ca="1">INDEX($R$33:$R$82, RANDBETWEEN(1, COUNTA($R$33:$R$82)))</f>
        <v>NV10</v>
      </c>
      <c r="N125">
        <f t="shared" ca="1" si="18"/>
        <v>3</v>
      </c>
    </row>
    <row r="126" spans="1:14" ht="16.8" x14ac:dyDescent="0.3">
      <c r="A126" s="7" t="str">
        <f t="shared" si="10"/>
        <v>S0125</v>
      </c>
      <c r="B126" s="8">
        <f t="shared" ca="1" si="11"/>
        <v>44388</v>
      </c>
      <c r="C126" s="15" t="str" cm="1">
        <f t="array" aca="1" ref="C126" ca="1">INDEX($Q$2:$Q$31, RANDBETWEEN(1, COUNTA($Q$2:$Q$31)))</f>
        <v>Latte</v>
      </c>
      <c r="D126" s="10" t="str" cm="1">
        <f t="array" aca="1" ref="D126" ca="1">INDEX($R$2:$R$310, RANDBETWEEN(1, COUNTA($Q$2:$Q$310)))</f>
        <v>M</v>
      </c>
      <c r="E126">
        <f t="shared" ca="1" si="12"/>
        <v>1</v>
      </c>
      <c r="F126" cm="1">
        <f t="array" aca="1" ref="F126" ca="1">INDEX($S$2:$S$31, RANDBETWEEN(1, COUNTA($S$2:$S$31)))</f>
        <v>49000</v>
      </c>
      <c r="G126" cm="1">
        <f t="array" aca="1" ref="G126" ca="1">INDEX($S$2:$S$31, RANDBETWEEN(1, COUNTA($S$2:$S$31)))</f>
        <v>59000</v>
      </c>
      <c r="H126">
        <f t="shared" ca="1" si="13"/>
        <v>5</v>
      </c>
      <c r="I126">
        <f t="shared" ca="1" si="14"/>
        <v>59000</v>
      </c>
      <c r="J126" s="10" t="str">
        <f t="shared" ca="1" si="15"/>
        <v>Offline</v>
      </c>
      <c r="K126" s="10">
        <f t="shared" ca="1" si="16"/>
        <v>59000</v>
      </c>
      <c r="L126" s="10">
        <f t="shared" ca="1" si="17"/>
        <v>59000</v>
      </c>
      <c r="M126" s="12" t="str" cm="1">
        <f t="array" aca="1" ref="M126" ca="1">INDEX($R$33:$R$82, RANDBETWEEN(1, COUNTA($R$33:$R$82)))</f>
        <v>NV15</v>
      </c>
      <c r="N126">
        <f t="shared" ca="1" si="18"/>
        <v>45</v>
      </c>
    </row>
    <row r="127" spans="1:14" ht="16.8" x14ac:dyDescent="0.3">
      <c r="A127" s="7" t="str">
        <f t="shared" si="10"/>
        <v>S0126</v>
      </c>
      <c r="B127" s="8">
        <f t="shared" ca="1" si="11"/>
        <v>45187</v>
      </c>
      <c r="C127" s="15" t="str" cm="1">
        <f t="array" aca="1" ref="C127" ca="1">INDEX($Q$2:$Q$31, RANDBETWEEN(1, COUNTA($Q$2:$Q$31)))</f>
        <v>Classic Phin Freeze</v>
      </c>
      <c r="D127" s="10" t="str" cm="1">
        <f t="array" aca="1" ref="D127" ca="1">INDEX($R$2:$R$310, RANDBETWEEN(1, COUNTA($Q$2:$Q$310)))</f>
        <v>S</v>
      </c>
      <c r="E127">
        <f t="shared" ca="1" si="12"/>
        <v>2</v>
      </c>
      <c r="F127" cm="1">
        <f t="array" aca="1" ref="F127" ca="1">INDEX($S$2:$S$31, RANDBETWEEN(1, COUNTA($S$2:$S$31)))</f>
        <v>29000</v>
      </c>
      <c r="G127" cm="1">
        <f t="array" aca="1" ref="G127" ca="1">INDEX($S$2:$S$31, RANDBETWEEN(1, COUNTA($S$2:$S$31)))</f>
        <v>59000</v>
      </c>
      <c r="H127">
        <f t="shared" ca="1" si="13"/>
        <v>13</v>
      </c>
      <c r="I127">
        <f t="shared" ca="1" si="14"/>
        <v>25230</v>
      </c>
      <c r="J127" s="10" t="str">
        <f t="shared" ca="1" si="15"/>
        <v>Online</v>
      </c>
      <c r="K127" s="10">
        <f t="shared" ca="1" si="16"/>
        <v>25230</v>
      </c>
      <c r="L127" s="10">
        <f t="shared" ca="1" si="17"/>
        <v>50460</v>
      </c>
      <c r="M127" s="12" t="str" cm="1">
        <f t="array" aca="1" ref="M127" ca="1">INDEX($R$33:$R$82, RANDBETWEEN(1, COUNTA($R$33:$R$82)))</f>
        <v>NV12</v>
      </c>
      <c r="N127">
        <f t="shared" ca="1" si="18"/>
        <v>6</v>
      </c>
    </row>
    <row r="128" spans="1:14" ht="16.8" x14ac:dyDescent="0.3">
      <c r="A128" s="7" t="str">
        <f t="shared" si="10"/>
        <v>S0127</v>
      </c>
      <c r="B128" s="8">
        <f t="shared" ca="1" si="11"/>
        <v>44354</v>
      </c>
      <c r="C128" s="15" t="str" cm="1">
        <f t="array" aca="1" ref="C128" ca="1">INDEX($Q$2:$Q$31, RANDBETWEEN(1, COUNTA($Q$2:$Q$31)))</f>
        <v>Latte</v>
      </c>
      <c r="D128" s="10" t="str" cm="1">
        <f t="array" aca="1" ref="D128" ca="1">INDEX($R$2:$R$310, RANDBETWEEN(1, COUNTA($Q$2:$Q$310)))</f>
        <v>S</v>
      </c>
      <c r="E128">
        <f t="shared" ca="1" si="12"/>
        <v>3</v>
      </c>
      <c r="F128" cm="1">
        <f t="array" aca="1" ref="F128" ca="1">INDEX($S$2:$S$31, RANDBETWEEN(1, COUNTA($S$2:$S$31)))</f>
        <v>69000</v>
      </c>
      <c r="G128" cm="1">
        <f t="array" aca="1" ref="G128" ca="1">INDEX($S$2:$S$31, RANDBETWEEN(1, COUNTA($S$2:$S$31)))</f>
        <v>59000</v>
      </c>
      <c r="H128">
        <f t="shared" ca="1" si="13"/>
        <v>6</v>
      </c>
      <c r="I128">
        <f t="shared" ca="1" si="14"/>
        <v>64859.999999999993</v>
      </c>
      <c r="J128" s="10" t="str">
        <f t="shared" ca="1" si="15"/>
        <v>Online</v>
      </c>
      <c r="K128" s="10">
        <f t="shared" ca="1" si="16"/>
        <v>64859.999999999993</v>
      </c>
      <c r="L128" s="10">
        <f t="shared" ca="1" si="17"/>
        <v>194579.99999999997</v>
      </c>
      <c r="M128" s="12" t="str" cm="1">
        <f t="array" aca="1" ref="M128" ca="1">INDEX($R$33:$R$82, RANDBETWEEN(1, COUNTA($R$33:$R$82)))</f>
        <v>NV26</v>
      </c>
      <c r="N128">
        <f t="shared" ca="1" si="18"/>
        <v>47</v>
      </c>
    </row>
    <row r="129" spans="1:14" ht="16.8" x14ac:dyDescent="0.3">
      <c r="A129" s="7" t="str">
        <f t="shared" si="10"/>
        <v>S0128</v>
      </c>
      <c r="B129" s="8">
        <f t="shared" ca="1" si="11"/>
        <v>45188</v>
      </c>
      <c r="C129" s="15" t="str" cm="1">
        <f t="array" aca="1" ref="C129" ca="1">INDEX($Q$2:$Q$31, RANDBETWEEN(1, COUNTA($Q$2:$Q$31)))</f>
        <v xml:space="preserve">Green Tea Freeze </v>
      </c>
      <c r="D129" s="10" t="str" cm="1">
        <f t="array" aca="1" ref="D129" ca="1">INDEX($R$2:$R$310, RANDBETWEEN(1, COUNTA($Q$2:$Q$310)))</f>
        <v>M</v>
      </c>
      <c r="E129">
        <f t="shared" ca="1" si="12"/>
        <v>1</v>
      </c>
      <c r="F129" cm="1">
        <f t="array" aca="1" ref="F129" ca="1">INDEX($S$2:$S$31, RANDBETWEEN(1, COUNTA($S$2:$S$31)))</f>
        <v>59000</v>
      </c>
      <c r="G129" cm="1">
        <f t="array" aca="1" ref="G129" ca="1">INDEX($S$2:$S$31, RANDBETWEEN(1, COUNTA($S$2:$S$31)))</f>
        <v>65000</v>
      </c>
      <c r="H129">
        <f t="shared" ca="1" si="13"/>
        <v>6</v>
      </c>
      <c r="I129">
        <f t="shared" ca="1" si="14"/>
        <v>65000</v>
      </c>
      <c r="J129" s="10" t="str">
        <f t="shared" ca="1" si="15"/>
        <v>Offline</v>
      </c>
      <c r="K129" s="10">
        <f t="shared" ca="1" si="16"/>
        <v>65000</v>
      </c>
      <c r="L129" s="10">
        <f t="shared" ca="1" si="17"/>
        <v>65000</v>
      </c>
      <c r="M129" s="12" t="str" cm="1">
        <f t="array" aca="1" ref="M129" ca="1">INDEX($R$33:$R$82, RANDBETWEEN(1, COUNTA($R$33:$R$82)))</f>
        <v>NV44</v>
      </c>
      <c r="N129">
        <f t="shared" ca="1" si="18"/>
        <v>18</v>
      </c>
    </row>
    <row r="130" spans="1:14" ht="16.8" x14ac:dyDescent="0.3">
      <c r="A130" s="7" t="str">
        <f t="shared" si="10"/>
        <v>S0129</v>
      </c>
      <c r="B130" s="8">
        <f t="shared" ca="1" si="11"/>
        <v>45020</v>
      </c>
      <c r="C130" s="15" t="str" cm="1">
        <f t="array" aca="1" ref="C130" ca="1">INDEX($Q$2:$Q$31, RANDBETWEEN(1, COUNTA($Q$2:$Q$31)))</f>
        <v xml:space="preserve">Green Tea Freeze </v>
      </c>
      <c r="D130" s="10" t="str" cm="1">
        <f t="array" aca="1" ref="D130" ca="1">INDEX($R$2:$R$310, RANDBETWEEN(1, COUNTA($Q$2:$Q$310)))</f>
        <v>L</v>
      </c>
      <c r="E130">
        <f t="shared" ca="1" si="12"/>
        <v>3</v>
      </c>
      <c r="F130" cm="1">
        <f t="array" aca="1" ref="F130" ca="1">INDEX($S$2:$S$31, RANDBETWEEN(1, COUNTA($S$2:$S$31)))</f>
        <v>69000</v>
      </c>
      <c r="G130" cm="1">
        <f t="array" aca="1" ref="G130" ca="1">INDEX($S$2:$S$31, RANDBETWEEN(1, COUNTA($S$2:$S$31)))</f>
        <v>35000</v>
      </c>
      <c r="H130">
        <f t="shared" ca="1" si="13"/>
        <v>11</v>
      </c>
      <c r="I130">
        <f t="shared" ca="1" si="14"/>
        <v>35000</v>
      </c>
      <c r="J130" s="10" t="str">
        <f t="shared" ca="1" si="15"/>
        <v>Offline</v>
      </c>
      <c r="K130" s="10">
        <f t="shared" ca="1" si="16"/>
        <v>35000</v>
      </c>
      <c r="L130" s="10">
        <f t="shared" ca="1" si="17"/>
        <v>105000</v>
      </c>
      <c r="M130" s="12" t="str" cm="1">
        <f t="array" aca="1" ref="M130" ca="1">INDEX($R$33:$R$82, RANDBETWEEN(1, COUNTA($R$33:$R$82)))</f>
        <v>NV30</v>
      </c>
      <c r="N130">
        <f t="shared" ca="1" si="18"/>
        <v>20</v>
      </c>
    </row>
    <row r="131" spans="1:14" ht="16.8" x14ac:dyDescent="0.3">
      <c r="A131" s="7" t="str">
        <f t="shared" ref="A131:A190" si="19">"S"&amp;TEXT(ROW()-1,"0000")</f>
        <v>S0130</v>
      </c>
      <c r="B131" s="8">
        <f t="shared" ref="B131:B190" ca="1" si="20">DATE(2021,1,1) + RANDBETWEEN(0,1095)</f>
        <v>44698</v>
      </c>
      <c r="C131" s="15" t="str" cm="1">
        <f t="array" aca="1" ref="C131" ca="1">INDEX($Q$2:$Q$31, RANDBETWEEN(1, COUNTA($Q$2:$Q$31)))</f>
        <v xml:space="preserve">Chocolate Freeze </v>
      </c>
      <c r="D131" s="10" t="str" cm="1">
        <f t="array" aca="1" ref="D131" ca="1">INDEX($R$2:$R$310, RANDBETWEEN(1, COUNTA($Q$2:$Q$310)))</f>
        <v>M</v>
      </c>
      <c r="E131">
        <f t="shared" ref="E131:E190" ca="1" si="21">RANDBETWEEN(1,5)</f>
        <v>4</v>
      </c>
      <c r="F131" cm="1">
        <f t="array" aca="1" ref="F131" ca="1">INDEX($S$2:$S$31, RANDBETWEEN(1, COUNTA($S$2:$S$31)))</f>
        <v>65000</v>
      </c>
      <c r="G131" cm="1">
        <f t="array" aca="1" ref="G131" ca="1">INDEX($S$2:$S$31, RANDBETWEEN(1, COUNTA($S$2:$S$31)))</f>
        <v>49000</v>
      </c>
      <c r="H131">
        <f t="shared" ref="H131:H194" ca="1" si="22">RANDBETWEEN(5,15)</f>
        <v>13</v>
      </c>
      <c r="I131">
        <f t="shared" ref="I131:I194" ca="1" si="23">IF(J131="Online", F131*(1-H131/100), G131)</f>
        <v>49000</v>
      </c>
      <c r="J131" s="10" t="str">
        <f t="shared" ref="J131:J194" ca="1" si="24">IF(RANDBETWEEN(1,2)=1,"Online","Offline")</f>
        <v>Offline</v>
      </c>
      <c r="K131" s="10">
        <f t="shared" ref="K131:K194" ca="1" si="25">I131</f>
        <v>49000</v>
      </c>
      <c r="L131" s="10">
        <f t="shared" ref="L131:L194" ca="1" si="26">E131*K131</f>
        <v>196000</v>
      </c>
      <c r="M131" s="12" t="str" cm="1">
        <f t="array" aca="1" ref="M131" ca="1">INDEX($R$33:$R$82, RANDBETWEEN(1, COUNTA($R$33:$R$82)))</f>
        <v>NV32</v>
      </c>
      <c r="N131">
        <f t="shared" ref="N131:N194" ca="1" si="27" xml:space="preserve"> RANDBETWEEN(2,51)</f>
        <v>33</v>
      </c>
    </row>
    <row r="132" spans="1:14" ht="16.8" x14ac:dyDescent="0.3">
      <c r="A132" s="7" t="str">
        <f t="shared" si="19"/>
        <v>S0131</v>
      </c>
      <c r="B132" s="8">
        <f t="shared" ca="1" si="20"/>
        <v>44350</v>
      </c>
      <c r="C132" s="15" t="str" cm="1">
        <f t="array" aca="1" ref="C132" ca="1">INDEX($Q$2:$Q$31, RANDBETWEEN(1, COUNTA($Q$2:$Q$31)))</f>
        <v>Cappuccino</v>
      </c>
      <c r="D132" s="10" t="str" cm="1">
        <f t="array" aca="1" ref="D132" ca="1">INDEX($R$2:$R$310, RANDBETWEEN(1, COUNTA($Q$2:$Q$310)))</f>
        <v>M</v>
      </c>
      <c r="E132">
        <f t="shared" ca="1" si="21"/>
        <v>4</v>
      </c>
      <c r="F132" cm="1">
        <f t="array" aca="1" ref="F132" ca="1">INDEX($S$2:$S$31, RANDBETWEEN(1, COUNTA($S$2:$S$31)))</f>
        <v>59000</v>
      </c>
      <c r="G132" cm="1">
        <f t="array" aca="1" ref="G132" ca="1">INDEX($S$2:$S$31, RANDBETWEEN(1, COUNTA($S$2:$S$31)))</f>
        <v>49000</v>
      </c>
      <c r="H132">
        <f t="shared" ca="1" si="22"/>
        <v>9</v>
      </c>
      <c r="I132">
        <f t="shared" ca="1" si="23"/>
        <v>49000</v>
      </c>
      <c r="J132" s="10" t="str">
        <f t="shared" ca="1" si="24"/>
        <v>Offline</v>
      </c>
      <c r="K132" s="10">
        <f t="shared" ca="1" si="25"/>
        <v>49000</v>
      </c>
      <c r="L132" s="10">
        <f t="shared" ca="1" si="26"/>
        <v>196000</v>
      </c>
      <c r="M132" s="12" t="str" cm="1">
        <f t="array" aca="1" ref="M132" ca="1">INDEX($R$33:$R$82, RANDBETWEEN(1, COUNTA($R$33:$R$82)))</f>
        <v>NV45</v>
      </c>
      <c r="N132">
        <f t="shared" ca="1" si="27"/>
        <v>28</v>
      </c>
    </row>
    <row r="133" spans="1:14" ht="16.8" x14ac:dyDescent="0.3">
      <c r="A133" s="7" t="str">
        <f t="shared" si="19"/>
        <v>S0132</v>
      </c>
      <c r="B133" s="8">
        <f t="shared" ca="1" si="20"/>
        <v>44553</v>
      </c>
      <c r="C133" s="15" t="str" cm="1">
        <f t="array" aca="1" ref="C133" ca="1">INDEX($Q$2:$Q$31, RANDBETWEEN(1, COUNTA($Q$2:$Q$31)))</f>
        <v xml:space="preserve">Green Tea Freeze </v>
      </c>
      <c r="D133" s="10" t="str" cm="1">
        <f t="array" aca="1" ref="D133" ca="1">INDEX($R$2:$R$310, RANDBETWEEN(1, COUNTA($Q$2:$Q$310)))</f>
        <v>M</v>
      </c>
      <c r="E133">
        <f t="shared" ca="1" si="21"/>
        <v>2</v>
      </c>
      <c r="F133" cm="1">
        <f t="array" aca="1" ref="F133" ca="1">INDEX($S$2:$S$31, RANDBETWEEN(1, COUNTA($S$2:$S$31)))</f>
        <v>39000</v>
      </c>
      <c r="G133" cm="1">
        <f t="array" aca="1" ref="G133" ca="1">INDEX($S$2:$S$31, RANDBETWEEN(1, COUNTA($S$2:$S$31)))</f>
        <v>29000</v>
      </c>
      <c r="H133">
        <f t="shared" ca="1" si="22"/>
        <v>7</v>
      </c>
      <c r="I133">
        <f t="shared" ca="1" si="23"/>
        <v>36270</v>
      </c>
      <c r="J133" s="10" t="str">
        <f t="shared" ca="1" si="24"/>
        <v>Online</v>
      </c>
      <c r="K133" s="10">
        <f t="shared" ca="1" si="25"/>
        <v>36270</v>
      </c>
      <c r="L133" s="10">
        <f t="shared" ca="1" si="26"/>
        <v>72540</v>
      </c>
      <c r="M133" s="12" t="str" cm="1">
        <f t="array" aca="1" ref="M133" ca="1">INDEX($R$33:$R$82, RANDBETWEEN(1, COUNTA($R$33:$R$82)))</f>
        <v>NV16</v>
      </c>
      <c r="N133">
        <f t="shared" ca="1" si="27"/>
        <v>23</v>
      </c>
    </row>
    <row r="134" spans="1:14" ht="16.8" x14ac:dyDescent="0.3">
      <c r="A134" s="7" t="str">
        <f t="shared" si="19"/>
        <v>S0133</v>
      </c>
      <c r="B134" s="8">
        <f t="shared" ca="1" si="20"/>
        <v>44896</v>
      </c>
      <c r="C134" s="15" t="str" cm="1">
        <f t="array" aca="1" ref="C134" ca="1">INDEX($Q$2:$Q$31, RANDBETWEEN(1, COUNTA($Q$2:$Q$31)))</f>
        <v>Mocha</v>
      </c>
      <c r="D134" s="10" t="str" cm="1">
        <f t="array" aca="1" ref="D134" ca="1">INDEX($R$2:$R$310, RANDBETWEEN(1, COUNTA($Q$2:$Q$310)))</f>
        <v>L</v>
      </c>
      <c r="E134">
        <f t="shared" ca="1" si="21"/>
        <v>4</v>
      </c>
      <c r="F134" cm="1">
        <f t="array" aca="1" ref="F134" ca="1">INDEX($S$2:$S$31, RANDBETWEEN(1, COUNTA($S$2:$S$31)))</f>
        <v>45000</v>
      </c>
      <c r="G134" cm="1">
        <f t="array" aca="1" ref="G134" ca="1">INDEX($S$2:$S$31, RANDBETWEEN(1, COUNTA($S$2:$S$31)))</f>
        <v>45000</v>
      </c>
      <c r="H134">
        <f t="shared" ca="1" si="22"/>
        <v>9</v>
      </c>
      <c r="I134">
        <f t="shared" ca="1" si="23"/>
        <v>45000</v>
      </c>
      <c r="J134" s="10" t="str">
        <f t="shared" ca="1" si="24"/>
        <v>Offline</v>
      </c>
      <c r="K134" s="10">
        <f t="shared" ca="1" si="25"/>
        <v>45000</v>
      </c>
      <c r="L134" s="10">
        <f t="shared" ca="1" si="26"/>
        <v>180000</v>
      </c>
      <c r="M134" s="12" t="str" cm="1">
        <f t="array" aca="1" ref="M134" ca="1">INDEX($R$33:$R$82, RANDBETWEEN(1, COUNTA($R$33:$R$82)))</f>
        <v>NV41</v>
      </c>
      <c r="N134">
        <f t="shared" ca="1" si="27"/>
        <v>32</v>
      </c>
    </row>
    <row r="135" spans="1:14" ht="16.8" x14ac:dyDescent="0.3">
      <c r="A135" s="7" t="str">
        <f t="shared" si="19"/>
        <v>S0134</v>
      </c>
      <c r="B135" s="8">
        <f t="shared" ca="1" si="20"/>
        <v>44661</v>
      </c>
      <c r="C135" s="15" t="str" cm="1">
        <f t="array" aca="1" ref="C135" ca="1">INDEX($Q$2:$Q$31, RANDBETWEEN(1, COUNTA($Q$2:$Q$31)))</f>
        <v>Classic Phin Freeze</v>
      </c>
      <c r="D135" s="10" t="str" cm="1">
        <f t="array" aca="1" ref="D135" ca="1">INDEX($R$2:$R$310, RANDBETWEEN(1, COUNTA($Q$2:$Q$310)))</f>
        <v>M</v>
      </c>
      <c r="E135">
        <f t="shared" ca="1" si="21"/>
        <v>5</v>
      </c>
      <c r="F135" cm="1">
        <f t="array" aca="1" ref="F135" ca="1">INDEX($S$2:$S$31, RANDBETWEEN(1, COUNTA($S$2:$S$31)))</f>
        <v>55000</v>
      </c>
      <c r="G135" cm="1">
        <f t="array" aca="1" ref="G135" ca="1">INDEX($S$2:$S$31, RANDBETWEEN(1, COUNTA($S$2:$S$31)))</f>
        <v>59000</v>
      </c>
      <c r="H135">
        <f t="shared" ca="1" si="22"/>
        <v>9</v>
      </c>
      <c r="I135">
        <f t="shared" ca="1" si="23"/>
        <v>59000</v>
      </c>
      <c r="J135" s="10" t="str">
        <f t="shared" ca="1" si="24"/>
        <v>Offline</v>
      </c>
      <c r="K135" s="10">
        <f t="shared" ca="1" si="25"/>
        <v>59000</v>
      </c>
      <c r="L135" s="10">
        <f t="shared" ca="1" si="26"/>
        <v>295000</v>
      </c>
      <c r="M135" s="12" t="str" cm="1">
        <f t="array" aca="1" ref="M135" ca="1">INDEX($R$33:$R$82, RANDBETWEEN(1, COUNTA($R$33:$R$82)))</f>
        <v>NV35</v>
      </c>
      <c r="N135">
        <f t="shared" ca="1" si="27"/>
        <v>28</v>
      </c>
    </row>
    <row r="136" spans="1:14" ht="16.8" x14ac:dyDescent="0.3">
      <c r="A136" s="7" t="str">
        <f t="shared" si="19"/>
        <v>S0135</v>
      </c>
      <c r="B136" s="8">
        <f t="shared" ca="1" si="20"/>
        <v>44479</v>
      </c>
      <c r="C136" s="15" t="str" cm="1">
        <f t="array" aca="1" ref="C136" ca="1">INDEX($Q$2:$Q$31, RANDBETWEEN(1, COUNTA($Q$2:$Q$31)))</f>
        <v>Americano</v>
      </c>
      <c r="D136" s="10" t="str" cm="1">
        <f t="array" aca="1" ref="D136" ca="1">INDEX($R$2:$R$310, RANDBETWEEN(1, COUNTA($Q$2:$Q$310)))</f>
        <v>M</v>
      </c>
      <c r="E136">
        <f t="shared" ca="1" si="21"/>
        <v>1</v>
      </c>
      <c r="F136" cm="1">
        <f t="array" aca="1" ref="F136" ca="1">INDEX($S$2:$S$31, RANDBETWEEN(1, COUNTA($S$2:$S$31)))</f>
        <v>29000</v>
      </c>
      <c r="G136" cm="1">
        <f t="array" aca="1" ref="G136" ca="1">INDEX($S$2:$S$31, RANDBETWEEN(1, COUNTA($S$2:$S$31)))</f>
        <v>59000</v>
      </c>
      <c r="H136">
        <f t="shared" ca="1" si="22"/>
        <v>8</v>
      </c>
      <c r="I136">
        <f t="shared" ca="1" si="23"/>
        <v>59000</v>
      </c>
      <c r="J136" s="10" t="str">
        <f t="shared" ca="1" si="24"/>
        <v>Offline</v>
      </c>
      <c r="K136" s="10">
        <f t="shared" ca="1" si="25"/>
        <v>59000</v>
      </c>
      <c r="L136" s="10">
        <f t="shared" ca="1" si="26"/>
        <v>59000</v>
      </c>
      <c r="M136" s="12" t="str" cm="1">
        <f t="array" aca="1" ref="M136" ca="1">INDEX($R$33:$R$82, RANDBETWEEN(1, COUNTA($R$33:$R$82)))</f>
        <v>NV21</v>
      </c>
      <c r="N136">
        <f t="shared" ca="1" si="27"/>
        <v>33</v>
      </c>
    </row>
    <row r="137" spans="1:14" ht="16.8" x14ac:dyDescent="0.3">
      <c r="A137" s="7" t="str">
        <f t="shared" si="19"/>
        <v>S0136</v>
      </c>
      <c r="B137" s="8">
        <f t="shared" ca="1" si="20"/>
        <v>44687</v>
      </c>
      <c r="C137" s="15" t="str" cm="1">
        <f t="array" aca="1" ref="C137" ca="1">INDEX($Q$2:$Q$31, RANDBETWEEN(1, COUNTA($Q$2:$Q$31)))</f>
        <v>Cookies &amp; Cream</v>
      </c>
      <c r="D137" s="10" t="str" cm="1">
        <f t="array" aca="1" ref="D137" ca="1">INDEX($R$2:$R$310, RANDBETWEEN(1, COUNTA($Q$2:$Q$310)))</f>
        <v>M</v>
      </c>
      <c r="E137">
        <f t="shared" ca="1" si="21"/>
        <v>2</v>
      </c>
      <c r="F137" cm="1">
        <f t="array" aca="1" ref="F137" ca="1">INDEX($S$2:$S$31, RANDBETWEEN(1, COUNTA($S$2:$S$31)))</f>
        <v>55000</v>
      </c>
      <c r="G137" cm="1">
        <f t="array" aca="1" ref="G137" ca="1">INDEX($S$2:$S$31, RANDBETWEEN(1, COUNTA($S$2:$S$31)))</f>
        <v>45000</v>
      </c>
      <c r="H137">
        <f t="shared" ca="1" si="22"/>
        <v>6</v>
      </c>
      <c r="I137">
        <f t="shared" ca="1" si="23"/>
        <v>51700</v>
      </c>
      <c r="J137" s="10" t="str">
        <f t="shared" ca="1" si="24"/>
        <v>Online</v>
      </c>
      <c r="K137" s="10">
        <f t="shared" ca="1" si="25"/>
        <v>51700</v>
      </c>
      <c r="L137" s="10">
        <f t="shared" ca="1" si="26"/>
        <v>103400</v>
      </c>
      <c r="M137" s="12" t="str" cm="1">
        <f t="array" aca="1" ref="M137" ca="1">INDEX($R$33:$R$82, RANDBETWEEN(1, COUNTA($R$33:$R$82)))</f>
        <v>NV27</v>
      </c>
      <c r="N137">
        <f t="shared" ca="1" si="27"/>
        <v>27</v>
      </c>
    </row>
    <row r="138" spans="1:14" ht="16.8" x14ac:dyDescent="0.3">
      <c r="A138" s="7" t="str">
        <f t="shared" si="19"/>
        <v>S0137</v>
      </c>
      <c r="B138" s="8">
        <f t="shared" ca="1" si="20"/>
        <v>44569</v>
      </c>
      <c r="C138" s="15" t="str" cm="1">
        <f t="array" aca="1" ref="C138" ca="1">INDEX($Q$2:$Q$31, RANDBETWEEN(1, COUNTA($Q$2:$Q$31)))</f>
        <v>Cookies &amp; Cream</v>
      </c>
      <c r="D138" s="10" t="str" cm="1">
        <f t="array" aca="1" ref="D138" ca="1">INDEX($R$2:$R$310, RANDBETWEEN(1, COUNTA($Q$2:$Q$310)))</f>
        <v>L</v>
      </c>
      <c r="E138">
        <f t="shared" ca="1" si="21"/>
        <v>5</v>
      </c>
      <c r="F138" cm="1">
        <f t="array" aca="1" ref="F138" ca="1">INDEX($S$2:$S$31, RANDBETWEEN(1, COUNTA($S$2:$S$31)))</f>
        <v>59000</v>
      </c>
      <c r="G138" cm="1">
        <f t="array" aca="1" ref="G138" ca="1">INDEX($S$2:$S$31, RANDBETWEEN(1, COUNTA($S$2:$S$31)))</f>
        <v>65000</v>
      </c>
      <c r="H138">
        <f t="shared" ca="1" si="22"/>
        <v>13</v>
      </c>
      <c r="I138">
        <f t="shared" ca="1" si="23"/>
        <v>65000</v>
      </c>
      <c r="J138" s="10" t="str">
        <f t="shared" ca="1" si="24"/>
        <v>Offline</v>
      </c>
      <c r="K138" s="10">
        <f t="shared" ca="1" si="25"/>
        <v>65000</v>
      </c>
      <c r="L138" s="10">
        <f t="shared" ca="1" si="26"/>
        <v>325000</v>
      </c>
      <c r="M138" s="12" t="str" cm="1">
        <f t="array" aca="1" ref="M138" ca="1">INDEX($R$33:$R$82, RANDBETWEEN(1, COUNTA($R$33:$R$82)))</f>
        <v>NV19</v>
      </c>
      <c r="N138">
        <f t="shared" ca="1" si="27"/>
        <v>40</v>
      </c>
    </row>
    <row r="139" spans="1:14" ht="16.8" x14ac:dyDescent="0.3">
      <c r="A139" s="7" t="str">
        <f t="shared" si="19"/>
        <v>S0138</v>
      </c>
      <c r="B139" s="8">
        <f t="shared" ca="1" si="20"/>
        <v>44590</v>
      </c>
      <c r="C139" s="15" t="str" cm="1">
        <f t="array" aca="1" ref="C139" ca="1">INDEX($Q$2:$Q$31, RANDBETWEEN(1, COUNTA($Q$2:$Q$31)))</f>
        <v>Americano</v>
      </c>
      <c r="D139" s="10" t="str" cm="1">
        <f t="array" aca="1" ref="D139" ca="1">INDEX($R$2:$R$310, RANDBETWEEN(1, COUNTA($Q$2:$Q$310)))</f>
        <v>M</v>
      </c>
      <c r="E139">
        <f t="shared" ca="1" si="21"/>
        <v>3</v>
      </c>
      <c r="F139" cm="1">
        <f t="array" aca="1" ref="F139" ca="1">INDEX($S$2:$S$31, RANDBETWEEN(1, COUNTA($S$2:$S$31)))</f>
        <v>75000</v>
      </c>
      <c r="G139" cm="1">
        <f t="array" aca="1" ref="G139" ca="1">INDEX($S$2:$S$31, RANDBETWEEN(1, COUNTA($S$2:$S$31)))</f>
        <v>59000</v>
      </c>
      <c r="H139">
        <f t="shared" ca="1" si="22"/>
        <v>6</v>
      </c>
      <c r="I139">
        <f t="shared" ca="1" si="23"/>
        <v>59000</v>
      </c>
      <c r="J139" s="10" t="str">
        <f t="shared" ca="1" si="24"/>
        <v>Offline</v>
      </c>
      <c r="K139" s="10">
        <f t="shared" ca="1" si="25"/>
        <v>59000</v>
      </c>
      <c r="L139" s="10">
        <f t="shared" ca="1" si="26"/>
        <v>177000</v>
      </c>
      <c r="M139" s="12" t="str" cm="1">
        <f t="array" aca="1" ref="M139" ca="1">INDEX($R$33:$R$82, RANDBETWEEN(1, COUNTA($R$33:$R$82)))</f>
        <v>NV28</v>
      </c>
      <c r="N139">
        <f t="shared" ca="1" si="27"/>
        <v>25</v>
      </c>
    </row>
    <row r="140" spans="1:14" ht="16.8" x14ac:dyDescent="0.3">
      <c r="A140" s="7" t="str">
        <f t="shared" si="19"/>
        <v>S0139</v>
      </c>
      <c r="B140" s="8">
        <f t="shared" ca="1" si="20"/>
        <v>44957</v>
      </c>
      <c r="C140" s="15" t="str" cm="1">
        <f t="array" aca="1" ref="C140" ca="1">INDEX($Q$2:$Q$31, RANDBETWEEN(1, COUNTA($Q$2:$Q$31)))</f>
        <v>Americano</v>
      </c>
      <c r="D140" s="10" t="str" cm="1">
        <f t="array" aca="1" ref="D140" ca="1">INDEX($R$2:$R$310, RANDBETWEEN(1, COUNTA($Q$2:$Q$310)))</f>
        <v>L</v>
      </c>
      <c r="E140">
        <f t="shared" ca="1" si="21"/>
        <v>1</v>
      </c>
      <c r="F140" cm="1">
        <f t="array" aca="1" ref="F140" ca="1">INDEX($S$2:$S$31, RANDBETWEEN(1, COUNTA($S$2:$S$31)))</f>
        <v>59000</v>
      </c>
      <c r="G140" cm="1">
        <f t="array" aca="1" ref="G140" ca="1">INDEX($S$2:$S$31, RANDBETWEEN(1, COUNTA($S$2:$S$31)))</f>
        <v>59000</v>
      </c>
      <c r="H140">
        <f t="shared" ca="1" si="22"/>
        <v>9</v>
      </c>
      <c r="I140">
        <f t="shared" ca="1" si="23"/>
        <v>59000</v>
      </c>
      <c r="J140" s="10" t="str">
        <f t="shared" ca="1" si="24"/>
        <v>Offline</v>
      </c>
      <c r="K140" s="10">
        <f t="shared" ca="1" si="25"/>
        <v>59000</v>
      </c>
      <c r="L140" s="10">
        <f t="shared" ca="1" si="26"/>
        <v>59000</v>
      </c>
      <c r="M140" s="12" t="str" cm="1">
        <f t="array" aca="1" ref="M140" ca="1">INDEX($R$33:$R$82, RANDBETWEEN(1, COUNTA($R$33:$R$82)))</f>
        <v>NV9</v>
      </c>
      <c r="N140">
        <f t="shared" ca="1" si="27"/>
        <v>51</v>
      </c>
    </row>
    <row r="141" spans="1:14" ht="16.8" x14ac:dyDescent="0.3">
      <c r="A141" s="7" t="str">
        <f t="shared" si="19"/>
        <v>S0140</v>
      </c>
      <c r="B141" s="8">
        <f t="shared" ca="1" si="20"/>
        <v>45273</v>
      </c>
      <c r="C141" s="15" t="str" cm="1">
        <f t="array" aca="1" ref="C141" ca="1">INDEX($Q$2:$Q$31, RANDBETWEEN(1, COUNTA($Q$2:$Q$31)))</f>
        <v xml:space="preserve">Chocolate Freeze </v>
      </c>
      <c r="D141" s="10" t="str" cm="1">
        <f t="array" aca="1" ref="D141" ca="1">INDEX($R$2:$R$310, RANDBETWEEN(1, COUNTA($Q$2:$Q$310)))</f>
        <v>M</v>
      </c>
      <c r="E141">
        <f t="shared" ca="1" si="21"/>
        <v>2</v>
      </c>
      <c r="F141" cm="1">
        <f t="array" aca="1" ref="F141" ca="1">INDEX($S$2:$S$31, RANDBETWEEN(1, COUNTA($S$2:$S$31)))</f>
        <v>69000</v>
      </c>
      <c r="G141" cm="1">
        <f t="array" aca="1" ref="G141" ca="1">INDEX($S$2:$S$31, RANDBETWEEN(1, COUNTA($S$2:$S$31)))</f>
        <v>65000</v>
      </c>
      <c r="H141">
        <f t="shared" ca="1" si="22"/>
        <v>10</v>
      </c>
      <c r="I141">
        <f t="shared" ca="1" si="23"/>
        <v>62100</v>
      </c>
      <c r="J141" s="10" t="str">
        <f t="shared" ca="1" si="24"/>
        <v>Online</v>
      </c>
      <c r="K141" s="10">
        <f t="shared" ca="1" si="25"/>
        <v>62100</v>
      </c>
      <c r="L141" s="10">
        <f t="shared" ca="1" si="26"/>
        <v>124200</v>
      </c>
      <c r="M141" s="12" t="str" cm="1">
        <f t="array" aca="1" ref="M141" ca="1">INDEX($R$33:$R$82, RANDBETWEEN(1, COUNTA($R$33:$R$82)))</f>
        <v>NV42</v>
      </c>
      <c r="N141">
        <f t="shared" ca="1" si="27"/>
        <v>37</v>
      </c>
    </row>
    <row r="142" spans="1:14" ht="16.8" x14ac:dyDescent="0.3">
      <c r="A142" s="7" t="str">
        <f t="shared" si="19"/>
        <v>S0141</v>
      </c>
      <c r="B142" s="8">
        <f t="shared" ca="1" si="20"/>
        <v>44926</v>
      </c>
      <c r="C142" s="15" t="str" cm="1">
        <f t="array" aca="1" ref="C142" ca="1">INDEX($Q$2:$Q$31, RANDBETWEEN(1, COUNTA($Q$2:$Q$31)))</f>
        <v>Iced Black Coffee</v>
      </c>
      <c r="D142" s="10" t="str" cm="1">
        <f t="array" aca="1" ref="D142" ca="1">INDEX($R$2:$R$310, RANDBETWEEN(1, COUNTA($Q$2:$Q$310)))</f>
        <v>M</v>
      </c>
      <c r="E142">
        <f t="shared" ca="1" si="21"/>
        <v>5</v>
      </c>
      <c r="F142" cm="1">
        <f t="array" aca="1" ref="F142" ca="1">INDEX($S$2:$S$31, RANDBETWEEN(1, COUNTA($S$2:$S$31)))</f>
        <v>55000</v>
      </c>
      <c r="G142" cm="1">
        <f t="array" aca="1" ref="G142" ca="1">INDEX($S$2:$S$31, RANDBETWEEN(1, COUNTA($S$2:$S$31)))</f>
        <v>75000</v>
      </c>
      <c r="H142">
        <f t="shared" ca="1" si="22"/>
        <v>13</v>
      </c>
      <c r="I142">
        <f t="shared" ca="1" si="23"/>
        <v>47850</v>
      </c>
      <c r="J142" s="10" t="str">
        <f t="shared" ca="1" si="24"/>
        <v>Online</v>
      </c>
      <c r="K142" s="10">
        <f t="shared" ca="1" si="25"/>
        <v>47850</v>
      </c>
      <c r="L142" s="10">
        <f t="shared" ca="1" si="26"/>
        <v>239250</v>
      </c>
      <c r="M142" s="12" t="str" cm="1">
        <f t="array" aca="1" ref="M142" ca="1">INDEX($R$33:$R$82, RANDBETWEEN(1, COUNTA($R$33:$R$82)))</f>
        <v>NV25</v>
      </c>
      <c r="N142">
        <f t="shared" ca="1" si="27"/>
        <v>29</v>
      </c>
    </row>
    <row r="143" spans="1:14" ht="16.8" x14ac:dyDescent="0.3">
      <c r="A143" s="7" t="str">
        <f t="shared" si="19"/>
        <v>S0142</v>
      </c>
      <c r="B143" s="8">
        <f t="shared" ca="1" si="20"/>
        <v>44413</v>
      </c>
      <c r="C143" s="15" t="str" cm="1">
        <f t="array" aca="1" ref="C143" ca="1">INDEX($Q$2:$Q$31, RANDBETWEEN(1, COUNTA($Q$2:$Q$31)))</f>
        <v xml:space="preserve">Chocolate Freeze </v>
      </c>
      <c r="D143" s="10" t="str" cm="1">
        <f t="array" aca="1" ref="D143" ca="1">INDEX($R$2:$R$310, RANDBETWEEN(1, COUNTA($Q$2:$Q$310)))</f>
        <v>M</v>
      </c>
      <c r="E143">
        <f t="shared" ca="1" si="21"/>
        <v>3</v>
      </c>
      <c r="F143" cm="1">
        <f t="array" aca="1" ref="F143" ca="1">INDEX($S$2:$S$31, RANDBETWEEN(1, COUNTA($S$2:$S$31)))</f>
        <v>69000</v>
      </c>
      <c r="G143" cm="1">
        <f t="array" aca="1" ref="G143" ca="1">INDEX($S$2:$S$31, RANDBETWEEN(1, COUNTA($S$2:$S$31)))</f>
        <v>45000</v>
      </c>
      <c r="H143">
        <f t="shared" ca="1" si="22"/>
        <v>7</v>
      </c>
      <c r="I143">
        <f t="shared" ca="1" si="23"/>
        <v>64169.999999999993</v>
      </c>
      <c r="J143" s="10" t="str">
        <f t="shared" ca="1" si="24"/>
        <v>Online</v>
      </c>
      <c r="K143" s="10">
        <f t="shared" ca="1" si="25"/>
        <v>64169.999999999993</v>
      </c>
      <c r="L143" s="10">
        <f t="shared" ca="1" si="26"/>
        <v>192509.99999999997</v>
      </c>
      <c r="M143" s="12" t="str" cm="1">
        <f t="array" aca="1" ref="M143" ca="1">INDEX($R$33:$R$82, RANDBETWEEN(1, COUNTA($R$33:$R$82)))</f>
        <v>NV39</v>
      </c>
      <c r="N143">
        <f t="shared" ca="1" si="27"/>
        <v>46</v>
      </c>
    </row>
    <row r="144" spans="1:14" ht="16.8" x14ac:dyDescent="0.3">
      <c r="A144" s="7" t="str">
        <f t="shared" si="19"/>
        <v>S0143</v>
      </c>
      <c r="B144" s="8">
        <f t="shared" ca="1" si="20"/>
        <v>44283</v>
      </c>
      <c r="C144" s="15" t="str" cm="1">
        <f t="array" aca="1" ref="C144" ca="1">INDEX($Q$2:$Q$31, RANDBETWEEN(1, COUNTA($Q$2:$Q$31)))</f>
        <v>Americano</v>
      </c>
      <c r="D144" s="10" t="str" cm="1">
        <f t="array" aca="1" ref="D144" ca="1">INDEX($R$2:$R$310, RANDBETWEEN(1, COUNTA($Q$2:$Q$310)))</f>
        <v>M</v>
      </c>
      <c r="E144">
        <f t="shared" ca="1" si="21"/>
        <v>4</v>
      </c>
      <c r="F144" cm="1">
        <f t="array" aca="1" ref="F144" ca="1">INDEX($S$2:$S$31, RANDBETWEEN(1, COUNTA($S$2:$S$31)))</f>
        <v>59000</v>
      </c>
      <c r="G144" cm="1">
        <f t="array" aca="1" ref="G144" ca="1">INDEX($S$2:$S$31, RANDBETWEEN(1, COUNTA($S$2:$S$31)))</f>
        <v>49000</v>
      </c>
      <c r="H144">
        <f t="shared" ca="1" si="22"/>
        <v>13</v>
      </c>
      <c r="I144">
        <f t="shared" ca="1" si="23"/>
        <v>51330</v>
      </c>
      <c r="J144" s="10" t="str">
        <f t="shared" ca="1" si="24"/>
        <v>Online</v>
      </c>
      <c r="K144" s="10">
        <f t="shared" ca="1" si="25"/>
        <v>51330</v>
      </c>
      <c r="L144" s="10">
        <f t="shared" ca="1" si="26"/>
        <v>205320</v>
      </c>
      <c r="M144" s="12" t="str" cm="1">
        <f t="array" aca="1" ref="M144" ca="1">INDEX($R$33:$R$82, RANDBETWEEN(1, COUNTA($R$33:$R$82)))</f>
        <v>NV39</v>
      </c>
      <c r="N144">
        <f t="shared" ca="1" si="27"/>
        <v>38</v>
      </c>
    </row>
    <row r="145" spans="1:14" ht="16.8" x14ac:dyDescent="0.3">
      <c r="A145" s="7" t="str">
        <f t="shared" si="19"/>
        <v>S0144</v>
      </c>
      <c r="B145" s="8">
        <f t="shared" ca="1" si="20"/>
        <v>44254</v>
      </c>
      <c r="C145" s="15" t="str" cm="1">
        <f t="array" aca="1" ref="C145" ca="1">INDEX($Q$2:$Q$31, RANDBETWEEN(1, COUNTA($Q$2:$Q$31)))</f>
        <v>Latte</v>
      </c>
      <c r="D145" s="10" t="str" cm="1">
        <f t="array" aca="1" ref="D145" ca="1">INDEX($R$2:$R$310, RANDBETWEEN(1, COUNTA($Q$2:$Q$310)))</f>
        <v>M</v>
      </c>
      <c r="E145">
        <f t="shared" ca="1" si="21"/>
        <v>4</v>
      </c>
      <c r="F145" cm="1">
        <f t="array" aca="1" ref="F145" ca="1">INDEX($S$2:$S$31, RANDBETWEEN(1, COUNTA($S$2:$S$31)))</f>
        <v>59000</v>
      </c>
      <c r="G145" cm="1">
        <f t="array" aca="1" ref="G145" ca="1">INDEX($S$2:$S$31, RANDBETWEEN(1, COUNTA($S$2:$S$31)))</f>
        <v>55000</v>
      </c>
      <c r="H145">
        <f t="shared" ca="1" si="22"/>
        <v>13</v>
      </c>
      <c r="I145">
        <f t="shared" ca="1" si="23"/>
        <v>51330</v>
      </c>
      <c r="J145" s="10" t="str">
        <f t="shared" ca="1" si="24"/>
        <v>Online</v>
      </c>
      <c r="K145" s="10">
        <f t="shared" ca="1" si="25"/>
        <v>51330</v>
      </c>
      <c r="L145" s="10">
        <f t="shared" ca="1" si="26"/>
        <v>205320</v>
      </c>
      <c r="M145" s="12" t="str" cm="1">
        <f t="array" aca="1" ref="M145" ca="1">INDEX($R$33:$R$82, RANDBETWEEN(1, COUNTA($R$33:$R$82)))</f>
        <v>NV43</v>
      </c>
      <c r="N145">
        <f t="shared" ca="1" si="27"/>
        <v>21</v>
      </c>
    </row>
    <row r="146" spans="1:14" ht="16.8" x14ac:dyDescent="0.3">
      <c r="A146" s="7" t="str">
        <f t="shared" si="19"/>
        <v>S0145</v>
      </c>
      <c r="B146" s="8">
        <f t="shared" ca="1" si="20"/>
        <v>44632</v>
      </c>
      <c r="C146" s="15" t="str" cm="1">
        <f t="array" aca="1" ref="C146" ca="1">INDEX($Q$2:$Q$31, RANDBETWEEN(1, COUNTA($Q$2:$Q$31)))</f>
        <v>Mocha</v>
      </c>
      <c r="D146" s="10" t="str" cm="1">
        <f t="array" aca="1" ref="D146" ca="1">INDEX($R$2:$R$310, RANDBETWEEN(1, COUNTA($Q$2:$Q$310)))</f>
        <v>L</v>
      </c>
      <c r="E146">
        <f t="shared" ca="1" si="21"/>
        <v>2</v>
      </c>
      <c r="F146" cm="1">
        <f t="array" aca="1" ref="F146" ca="1">INDEX($S$2:$S$31, RANDBETWEEN(1, COUNTA($S$2:$S$31)))</f>
        <v>65000</v>
      </c>
      <c r="G146" cm="1">
        <f t="array" aca="1" ref="G146" ca="1">INDEX($S$2:$S$31, RANDBETWEEN(1, COUNTA($S$2:$S$31)))</f>
        <v>59000</v>
      </c>
      <c r="H146">
        <f t="shared" ca="1" si="22"/>
        <v>14</v>
      </c>
      <c r="I146">
        <f t="shared" ca="1" si="23"/>
        <v>59000</v>
      </c>
      <c r="J146" s="10" t="str">
        <f t="shared" ca="1" si="24"/>
        <v>Offline</v>
      </c>
      <c r="K146" s="10">
        <f t="shared" ca="1" si="25"/>
        <v>59000</v>
      </c>
      <c r="L146" s="10">
        <f t="shared" ca="1" si="26"/>
        <v>118000</v>
      </c>
      <c r="M146" s="12" t="str" cm="1">
        <f t="array" aca="1" ref="M146" ca="1">INDEX($R$33:$R$82, RANDBETWEEN(1, COUNTA($R$33:$R$82)))</f>
        <v>NV18</v>
      </c>
      <c r="N146">
        <f t="shared" ca="1" si="27"/>
        <v>2</v>
      </c>
    </row>
    <row r="147" spans="1:14" ht="16.8" x14ac:dyDescent="0.3">
      <c r="A147" s="7" t="str">
        <f t="shared" si="19"/>
        <v>S0146</v>
      </c>
      <c r="B147" s="8">
        <f t="shared" ca="1" si="20"/>
        <v>44237</v>
      </c>
      <c r="C147" s="15" t="str" cm="1">
        <f t="array" aca="1" ref="C147" ca="1">INDEX($Q$2:$Q$31, RANDBETWEEN(1, COUNTA($Q$2:$Q$31)))</f>
        <v>Cappuccino</v>
      </c>
      <c r="D147" s="10" t="str" cm="1">
        <f t="array" aca="1" ref="D147" ca="1">INDEX($R$2:$R$310, RANDBETWEEN(1, COUNTA($Q$2:$Q$310)))</f>
        <v>S</v>
      </c>
      <c r="E147">
        <f t="shared" ca="1" si="21"/>
        <v>5</v>
      </c>
      <c r="F147" cm="1">
        <f t="array" aca="1" ref="F147" ca="1">INDEX($S$2:$S$31, RANDBETWEEN(1, COUNTA($S$2:$S$31)))</f>
        <v>59000</v>
      </c>
      <c r="G147" cm="1">
        <f t="array" aca="1" ref="G147" ca="1">INDEX($S$2:$S$31, RANDBETWEEN(1, COUNTA($S$2:$S$31)))</f>
        <v>55000</v>
      </c>
      <c r="H147">
        <f t="shared" ca="1" si="22"/>
        <v>11</v>
      </c>
      <c r="I147">
        <f t="shared" ca="1" si="23"/>
        <v>55000</v>
      </c>
      <c r="J147" s="10" t="str">
        <f t="shared" ca="1" si="24"/>
        <v>Offline</v>
      </c>
      <c r="K147" s="10">
        <f t="shared" ca="1" si="25"/>
        <v>55000</v>
      </c>
      <c r="L147" s="10">
        <f t="shared" ca="1" si="26"/>
        <v>275000</v>
      </c>
      <c r="M147" s="12" t="str" cm="1">
        <f t="array" aca="1" ref="M147" ca="1">INDEX($R$33:$R$82, RANDBETWEEN(1, COUNTA($R$33:$R$82)))</f>
        <v>NV17</v>
      </c>
      <c r="N147">
        <f t="shared" ca="1" si="27"/>
        <v>38</v>
      </c>
    </row>
    <row r="148" spans="1:14" ht="16.8" x14ac:dyDescent="0.3">
      <c r="A148" s="7" t="str">
        <f t="shared" si="19"/>
        <v>S0147</v>
      </c>
      <c r="B148" s="8">
        <f t="shared" ca="1" si="20"/>
        <v>44369</v>
      </c>
      <c r="C148" s="15" t="str" cm="1">
        <f t="array" aca="1" ref="C148" ca="1">INDEX($Q$2:$Q$31, RANDBETWEEN(1, COUNTA($Q$2:$Q$31)))</f>
        <v>Classic Phin Freeze</v>
      </c>
      <c r="D148" s="10" t="str" cm="1">
        <f t="array" aca="1" ref="D148" ca="1">INDEX($R$2:$R$310, RANDBETWEEN(1, COUNTA($Q$2:$Q$310)))</f>
        <v>S</v>
      </c>
      <c r="E148">
        <f t="shared" ca="1" si="21"/>
        <v>1</v>
      </c>
      <c r="F148" cm="1">
        <f t="array" aca="1" ref="F148" ca="1">INDEX($S$2:$S$31, RANDBETWEEN(1, COUNTA($S$2:$S$31)))</f>
        <v>49000</v>
      </c>
      <c r="G148" cm="1">
        <f t="array" aca="1" ref="G148" ca="1">INDEX($S$2:$S$31, RANDBETWEEN(1, COUNTA($S$2:$S$31)))</f>
        <v>49000</v>
      </c>
      <c r="H148">
        <f t="shared" ca="1" si="22"/>
        <v>12</v>
      </c>
      <c r="I148">
        <f t="shared" ca="1" si="23"/>
        <v>43120</v>
      </c>
      <c r="J148" s="10" t="str">
        <f t="shared" ca="1" si="24"/>
        <v>Online</v>
      </c>
      <c r="K148" s="10">
        <f t="shared" ca="1" si="25"/>
        <v>43120</v>
      </c>
      <c r="L148" s="10">
        <f t="shared" ca="1" si="26"/>
        <v>43120</v>
      </c>
      <c r="M148" s="12" t="str" cm="1">
        <f t="array" aca="1" ref="M148" ca="1">INDEX($R$33:$R$82, RANDBETWEEN(1, COUNTA($R$33:$R$82)))</f>
        <v>NV44</v>
      </c>
      <c r="N148">
        <f t="shared" ca="1" si="27"/>
        <v>23</v>
      </c>
    </row>
    <row r="149" spans="1:14" ht="16.8" x14ac:dyDescent="0.3">
      <c r="A149" s="7" t="str">
        <f t="shared" si="19"/>
        <v>S0148</v>
      </c>
      <c r="B149" s="8">
        <f t="shared" ca="1" si="20"/>
        <v>44249</v>
      </c>
      <c r="C149" s="15" t="str" cm="1">
        <f t="array" aca="1" ref="C149" ca="1">INDEX($Q$2:$Q$31, RANDBETWEEN(1, COUNTA($Q$2:$Q$31)))</f>
        <v>Caramel Phin Freeze</v>
      </c>
      <c r="D149" s="10" t="str" cm="1">
        <f t="array" aca="1" ref="D149" ca="1">INDEX($R$2:$R$310, RANDBETWEEN(1, COUNTA($Q$2:$Q$310)))</f>
        <v>M</v>
      </c>
      <c r="E149">
        <f t="shared" ca="1" si="21"/>
        <v>3</v>
      </c>
      <c r="F149" cm="1">
        <f t="array" aca="1" ref="F149" ca="1">INDEX($S$2:$S$31, RANDBETWEEN(1, COUNTA($S$2:$S$31)))</f>
        <v>69000</v>
      </c>
      <c r="G149" cm="1">
        <f t="array" aca="1" ref="G149" ca="1">INDEX($S$2:$S$31, RANDBETWEEN(1, COUNTA($S$2:$S$31)))</f>
        <v>35000</v>
      </c>
      <c r="H149">
        <f t="shared" ca="1" si="22"/>
        <v>13</v>
      </c>
      <c r="I149">
        <f t="shared" ca="1" si="23"/>
        <v>35000</v>
      </c>
      <c r="J149" s="10" t="str">
        <f t="shared" ca="1" si="24"/>
        <v>Offline</v>
      </c>
      <c r="K149" s="10">
        <f t="shared" ca="1" si="25"/>
        <v>35000</v>
      </c>
      <c r="L149" s="10">
        <f t="shared" ca="1" si="26"/>
        <v>105000</v>
      </c>
      <c r="M149" s="12" t="str" cm="1">
        <f t="array" aca="1" ref="M149" ca="1">INDEX($R$33:$R$82, RANDBETWEEN(1, COUNTA($R$33:$R$82)))</f>
        <v>NV24</v>
      </c>
      <c r="N149">
        <f t="shared" ca="1" si="27"/>
        <v>6</v>
      </c>
    </row>
    <row r="150" spans="1:14" ht="16.8" x14ac:dyDescent="0.3">
      <c r="A150" s="7" t="str">
        <f t="shared" si="19"/>
        <v>S0149</v>
      </c>
      <c r="B150" s="8">
        <f t="shared" ca="1" si="20"/>
        <v>44959</v>
      </c>
      <c r="C150" s="15" t="str" cm="1">
        <f t="array" aca="1" ref="C150" ca="1">INDEX($Q$2:$Q$31, RANDBETWEEN(1, COUNTA($Q$2:$Q$31)))</f>
        <v>Mocha</v>
      </c>
      <c r="D150" s="10" t="str" cm="1">
        <f t="array" aca="1" ref="D150" ca="1">INDEX($R$2:$R$310, RANDBETWEEN(1, COUNTA($Q$2:$Q$310)))</f>
        <v>L</v>
      </c>
      <c r="E150">
        <f t="shared" ca="1" si="21"/>
        <v>2</v>
      </c>
      <c r="F150" cm="1">
        <f t="array" aca="1" ref="F150" ca="1">INDEX($S$2:$S$31, RANDBETWEEN(1, COUNTA($S$2:$S$31)))</f>
        <v>65000</v>
      </c>
      <c r="G150" cm="1">
        <f t="array" aca="1" ref="G150" ca="1">INDEX($S$2:$S$31, RANDBETWEEN(1, COUNTA($S$2:$S$31)))</f>
        <v>49000</v>
      </c>
      <c r="H150">
        <f t="shared" ca="1" si="22"/>
        <v>7</v>
      </c>
      <c r="I150">
        <f t="shared" ca="1" si="23"/>
        <v>60449.999999999993</v>
      </c>
      <c r="J150" s="10" t="str">
        <f t="shared" ca="1" si="24"/>
        <v>Online</v>
      </c>
      <c r="K150" s="10">
        <f t="shared" ca="1" si="25"/>
        <v>60449.999999999993</v>
      </c>
      <c r="L150" s="10">
        <f t="shared" ca="1" si="26"/>
        <v>120899.99999999999</v>
      </c>
      <c r="M150" s="12" t="str" cm="1">
        <f t="array" aca="1" ref="M150" ca="1">INDEX($R$33:$R$82, RANDBETWEEN(1, COUNTA($R$33:$R$82)))</f>
        <v>NV39</v>
      </c>
      <c r="N150">
        <f t="shared" ca="1" si="27"/>
        <v>28</v>
      </c>
    </row>
    <row r="151" spans="1:14" ht="16.8" x14ac:dyDescent="0.3">
      <c r="A151" s="7" t="str">
        <f t="shared" si="19"/>
        <v>S0150</v>
      </c>
      <c r="B151" s="8">
        <f t="shared" ca="1" si="20"/>
        <v>44431</v>
      </c>
      <c r="C151" s="15" t="str" cm="1">
        <f t="array" aca="1" ref="C151" ca="1">INDEX($Q$2:$Q$31, RANDBETWEEN(1, COUNTA($Q$2:$Q$31)))</f>
        <v>Latte</v>
      </c>
      <c r="D151" s="10" t="str" cm="1">
        <f t="array" aca="1" ref="D151" ca="1">INDEX($R$2:$R$310, RANDBETWEEN(1, COUNTA($Q$2:$Q$310)))</f>
        <v>S</v>
      </c>
      <c r="E151">
        <f t="shared" ca="1" si="21"/>
        <v>2</v>
      </c>
      <c r="F151" cm="1">
        <f t="array" aca="1" ref="F151" ca="1">INDEX($S$2:$S$31, RANDBETWEEN(1, COUNTA($S$2:$S$31)))</f>
        <v>49000</v>
      </c>
      <c r="G151" cm="1">
        <f t="array" aca="1" ref="G151" ca="1">INDEX($S$2:$S$31, RANDBETWEEN(1, COUNTA($S$2:$S$31)))</f>
        <v>45000</v>
      </c>
      <c r="H151">
        <f t="shared" ca="1" si="22"/>
        <v>12</v>
      </c>
      <c r="I151">
        <f t="shared" ca="1" si="23"/>
        <v>43120</v>
      </c>
      <c r="J151" s="10" t="str">
        <f t="shared" ca="1" si="24"/>
        <v>Online</v>
      </c>
      <c r="K151" s="10">
        <f t="shared" ca="1" si="25"/>
        <v>43120</v>
      </c>
      <c r="L151" s="10">
        <f t="shared" ca="1" si="26"/>
        <v>86240</v>
      </c>
      <c r="M151" s="12" t="str" cm="1">
        <f t="array" aca="1" ref="M151" ca="1">INDEX($R$33:$R$82, RANDBETWEEN(1, COUNTA($R$33:$R$82)))</f>
        <v>NV44</v>
      </c>
      <c r="N151">
        <f t="shared" ca="1" si="27"/>
        <v>51</v>
      </c>
    </row>
    <row r="152" spans="1:14" ht="16.8" x14ac:dyDescent="0.3">
      <c r="A152" s="7" t="str">
        <f t="shared" si="19"/>
        <v>S0151</v>
      </c>
      <c r="B152" s="8">
        <f t="shared" ca="1" si="20"/>
        <v>44646</v>
      </c>
      <c r="C152" s="15" t="str" cm="1">
        <f t="array" aca="1" ref="C152" ca="1">INDEX($Q$2:$Q$31, RANDBETWEEN(1, COUNTA($Q$2:$Q$31)))</f>
        <v>Classic Phin Freeze</v>
      </c>
      <c r="D152" s="10" t="str" cm="1">
        <f t="array" aca="1" ref="D152" ca="1">INDEX($R$2:$R$310, RANDBETWEEN(1, COUNTA($Q$2:$Q$310)))</f>
        <v>L</v>
      </c>
      <c r="E152">
        <f t="shared" ca="1" si="21"/>
        <v>4</v>
      </c>
      <c r="F152" cm="1">
        <f t="array" aca="1" ref="F152" ca="1">INDEX($S$2:$S$31, RANDBETWEEN(1, COUNTA($S$2:$S$31)))</f>
        <v>35000</v>
      </c>
      <c r="G152" cm="1">
        <f t="array" aca="1" ref="G152" ca="1">INDEX($S$2:$S$31, RANDBETWEEN(1, COUNTA($S$2:$S$31)))</f>
        <v>29000</v>
      </c>
      <c r="H152">
        <f t="shared" ca="1" si="22"/>
        <v>10</v>
      </c>
      <c r="I152">
        <f t="shared" ca="1" si="23"/>
        <v>29000</v>
      </c>
      <c r="J152" s="10" t="str">
        <f t="shared" ca="1" si="24"/>
        <v>Offline</v>
      </c>
      <c r="K152" s="10">
        <f t="shared" ca="1" si="25"/>
        <v>29000</v>
      </c>
      <c r="L152" s="10">
        <f t="shared" ca="1" si="26"/>
        <v>116000</v>
      </c>
      <c r="M152" s="12" t="str" cm="1">
        <f t="array" aca="1" ref="M152" ca="1">INDEX($R$33:$R$82, RANDBETWEEN(1, COUNTA($R$33:$R$82)))</f>
        <v>NV26</v>
      </c>
      <c r="N152">
        <f t="shared" ca="1" si="27"/>
        <v>46</v>
      </c>
    </row>
    <row r="153" spans="1:14" ht="16.8" x14ac:dyDescent="0.3">
      <c r="A153" s="7" t="str">
        <f t="shared" si="19"/>
        <v>S0152</v>
      </c>
      <c r="B153" s="8">
        <f t="shared" ca="1" si="20"/>
        <v>44923</v>
      </c>
      <c r="C153" s="15" t="str" cm="1">
        <f t="array" aca="1" ref="C153" ca="1">INDEX($Q$2:$Q$31, RANDBETWEEN(1, COUNTA($Q$2:$Q$31)))</f>
        <v>Americano</v>
      </c>
      <c r="D153" s="10" t="str" cm="1">
        <f t="array" aca="1" ref="D153" ca="1">INDEX($R$2:$R$310, RANDBETWEEN(1, COUNTA($Q$2:$Q$310)))</f>
        <v>L</v>
      </c>
      <c r="E153">
        <f t="shared" ca="1" si="21"/>
        <v>3</v>
      </c>
      <c r="F153" cm="1">
        <f t="array" aca="1" ref="F153" ca="1">INDEX($S$2:$S$31, RANDBETWEEN(1, COUNTA($S$2:$S$31)))</f>
        <v>65000</v>
      </c>
      <c r="G153" cm="1">
        <f t="array" aca="1" ref="G153" ca="1">INDEX($S$2:$S$31, RANDBETWEEN(1, COUNTA($S$2:$S$31)))</f>
        <v>35000</v>
      </c>
      <c r="H153">
        <f t="shared" ca="1" si="22"/>
        <v>13</v>
      </c>
      <c r="I153">
        <f t="shared" ca="1" si="23"/>
        <v>35000</v>
      </c>
      <c r="J153" s="10" t="str">
        <f t="shared" ca="1" si="24"/>
        <v>Offline</v>
      </c>
      <c r="K153" s="10">
        <f t="shared" ca="1" si="25"/>
        <v>35000</v>
      </c>
      <c r="L153" s="10">
        <f t="shared" ca="1" si="26"/>
        <v>105000</v>
      </c>
      <c r="M153" s="12" t="str" cm="1">
        <f t="array" aca="1" ref="M153" ca="1">INDEX($R$33:$R$82, RANDBETWEEN(1, COUNTA($R$33:$R$82)))</f>
        <v>NV38</v>
      </c>
      <c r="N153">
        <f t="shared" ca="1" si="27"/>
        <v>22</v>
      </c>
    </row>
    <row r="154" spans="1:14" ht="16.8" x14ac:dyDescent="0.3">
      <c r="A154" s="7" t="str">
        <f t="shared" si="19"/>
        <v>S0153</v>
      </c>
      <c r="B154" s="8">
        <f t="shared" ca="1" si="20"/>
        <v>44751</v>
      </c>
      <c r="C154" s="15" t="str" cm="1">
        <f t="array" aca="1" ref="C154" ca="1">INDEX($Q$2:$Q$31, RANDBETWEEN(1, COUNTA($Q$2:$Q$31)))</f>
        <v>Latte</v>
      </c>
      <c r="D154" s="10" t="str" cm="1">
        <f t="array" aca="1" ref="D154" ca="1">INDEX($R$2:$R$310, RANDBETWEEN(1, COUNTA($Q$2:$Q$310)))</f>
        <v>L</v>
      </c>
      <c r="E154">
        <f t="shared" ca="1" si="21"/>
        <v>1</v>
      </c>
      <c r="F154" cm="1">
        <f t="array" aca="1" ref="F154" ca="1">INDEX($S$2:$S$31, RANDBETWEEN(1, COUNTA($S$2:$S$31)))</f>
        <v>39000</v>
      </c>
      <c r="G154" cm="1">
        <f t="array" aca="1" ref="G154" ca="1">INDEX($S$2:$S$31, RANDBETWEEN(1, COUNTA($S$2:$S$31)))</f>
        <v>65000</v>
      </c>
      <c r="H154">
        <f t="shared" ca="1" si="22"/>
        <v>15</v>
      </c>
      <c r="I154">
        <f t="shared" ca="1" si="23"/>
        <v>65000</v>
      </c>
      <c r="J154" s="10" t="str">
        <f t="shared" ca="1" si="24"/>
        <v>Offline</v>
      </c>
      <c r="K154" s="10">
        <f t="shared" ca="1" si="25"/>
        <v>65000</v>
      </c>
      <c r="L154" s="10">
        <f t="shared" ca="1" si="26"/>
        <v>65000</v>
      </c>
      <c r="M154" s="12" t="str" cm="1">
        <f t="array" aca="1" ref="M154" ca="1">INDEX($R$33:$R$82, RANDBETWEEN(1, COUNTA($R$33:$R$82)))</f>
        <v>NV27</v>
      </c>
      <c r="N154">
        <f t="shared" ca="1" si="27"/>
        <v>43</v>
      </c>
    </row>
    <row r="155" spans="1:14" ht="16.8" x14ac:dyDescent="0.3">
      <c r="A155" s="7" t="str">
        <f t="shared" si="19"/>
        <v>S0154</v>
      </c>
      <c r="B155" s="8">
        <f t="shared" ca="1" si="20"/>
        <v>45125</v>
      </c>
      <c r="C155" s="15" t="str" cm="1">
        <f t="array" aca="1" ref="C155" ca="1">INDEX($Q$2:$Q$31, RANDBETWEEN(1, COUNTA($Q$2:$Q$31)))</f>
        <v>Cappuccino</v>
      </c>
      <c r="D155" s="10" t="str" cm="1">
        <f t="array" aca="1" ref="D155" ca="1">INDEX($R$2:$R$310, RANDBETWEEN(1, COUNTA($Q$2:$Q$310)))</f>
        <v>S</v>
      </c>
      <c r="E155">
        <f t="shared" ca="1" si="21"/>
        <v>2</v>
      </c>
      <c r="F155" cm="1">
        <f t="array" aca="1" ref="F155" ca="1">INDEX($S$2:$S$31, RANDBETWEEN(1, COUNTA($S$2:$S$31)))</f>
        <v>59000</v>
      </c>
      <c r="G155" cm="1">
        <f t="array" aca="1" ref="G155" ca="1">INDEX($S$2:$S$31, RANDBETWEEN(1, COUNTA($S$2:$S$31)))</f>
        <v>55000</v>
      </c>
      <c r="H155">
        <f t="shared" ca="1" si="22"/>
        <v>9</v>
      </c>
      <c r="I155">
        <f t="shared" ca="1" si="23"/>
        <v>53690</v>
      </c>
      <c r="J155" s="10" t="str">
        <f t="shared" ca="1" si="24"/>
        <v>Online</v>
      </c>
      <c r="K155" s="10">
        <f t="shared" ca="1" si="25"/>
        <v>53690</v>
      </c>
      <c r="L155" s="10">
        <f t="shared" ca="1" si="26"/>
        <v>107380</v>
      </c>
      <c r="M155" s="12" t="str" cm="1">
        <f t="array" aca="1" ref="M155" ca="1">INDEX($R$33:$R$82, RANDBETWEEN(1, COUNTA($R$33:$R$82)))</f>
        <v>NV15</v>
      </c>
      <c r="N155">
        <f t="shared" ca="1" si="27"/>
        <v>2</v>
      </c>
    </row>
    <row r="156" spans="1:14" ht="16.8" x14ac:dyDescent="0.3">
      <c r="A156" s="7" t="str">
        <f t="shared" si="19"/>
        <v>S0155</v>
      </c>
      <c r="B156" s="8">
        <f t="shared" ca="1" si="20"/>
        <v>44200</v>
      </c>
      <c r="C156" s="15" t="str" cm="1">
        <f t="array" aca="1" ref="C156" ca="1">INDEX($Q$2:$Q$31, RANDBETWEEN(1, COUNTA($Q$2:$Q$31)))</f>
        <v>Iced Black Coffee</v>
      </c>
      <c r="D156" s="10" t="str" cm="1">
        <f t="array" aca="1" ref="D156" ca="1">INDEX($R$2:$R$310, RANDBETWEEN(1, COUNTA($Q$2:$Q$310)))</f>
        <v>S</v>
      </c>
      <c r="E156">
        <f t="shared" ca="1" si="21"/>
        <v>3</v>
      </c>
      <c r="F156" cm="1">
        <f t="array" aca="1" ref="F156" ca="1">INDEX($S$2:$S$31, RANDBETWEEN(1, COUNTA($S$2:$S$31)))</f>
        <v>59000</v>
      </c>
      <c r="G156" cm="1">
        <f t="array" aca="1" ref="G156" ca="1">INDEX($S$2:$S$31, RANDBETWEEN(1, COUNTA($S$2:$S$31)))</f>
        <v>65000</v>
      </c>
      <c r="H156">
        <f t="shared" ca="1" si="22"/>
        <v>11</v>
      </c>
      <c r="I156">
        <f t="shared" ca="1" si="23"/>
        <v>52510</v>
      </c>
      <c r="J156" s="10" t="str">
        <f t="shared" ca="1" si="24"/>
        <v>Online</v>
      </c>
      <c r="K156" s="10">
        <f t="shared" ca="1" si="25"/>
        <v>52510</v>
      </c>
      <c r="L156" s="10">
        <f t="shared" ca="1" si="26"/>
        <v>157530</v>
      </c>
      <c r="M156" s="12" t="str" cm="1">
        <f t="array" aca="1" ref="M156" ca="1">INDEX($R$33:$R$82, RANDBETWEEN(1, COUNTA($R$33:$R$82)))</f>
        <v>NV1</v>
      </c>
      <c r="N156">
        <f t="shared" ca="1" si="27"/>
        <v>25</v>
      </c>
    </row>
    <row r="157" spans="1:14" ht="16.8" x14ac:dyDescent="0.3">
      <c r="A157" s="7" t="str">
        <f t="shared" si="19"/>
        <v>S0156</v>
      </c>
      <c r="B157" s="8">
        <f t="shared" ca="1" si="20"/>
        <v>45214</v>
      </c>
      <c r="C157" s="15" t="str" cm="1">
        <f t="array" aca="1" ref="C157" ca="1">INDEX($Q$2:$Q$31, RANDBETWEEN(1, COUNTA($Q$2:$Q$31)))</f>
        <v>Iced Black Coffee</v>
      </c>
      <c r="D157" s="10" t="str" cm="1">
        <f t="array" aca="1" ref="D157" ca="1">INDEX($R$2:$R$310, RANDBETWEEN(1, COUNTA($Q$2:$Q$310)))</f>
        <v>S</v>
      </c>
      <c r="E157">
        <f t="shared" ca="1" si="21"/>
        <v>1</v>
      </c>
      <c r="F157" cm="1">
        <f t="array" aca="1" ref="F157" ca="1">INDEX($S$2:$S$31, RANDBETWEEN(1, COUNTA($S$2:$S$31)))</f>
        <v>65000</v>
      </c>
      <c r="G157" cm="1">
        <f t="array" aca="1" ref="G157" ca="1">INDEX($S$2:$S$31, RANDBETWEEN(1, COUNTA($S$2:$S$31)))</f>
        <v>59000</v>
      </c>
      <c r="H157">
        <f t="shared" ca="1" si="22"/>
        <v>9</v>
      </c>
      <c r="I157">
        <f t="shared" ca="1" si="23"/>
        <v>59150</v>
      </c>
      <c r="J157" s="10" t="str">
        <f t="shared" ca="1" si="24"/>
        <v>Online</v>
      </c>
      <c r="K157" s="10">
        <f t="shared" ca="1" si="25"/>
        <v>59150</v>
      </c>
      <c r="L157" s="10">
        <f t="shared" ca="1" si="26"/>
        <v>59150</v>
      </c>
      <c r="M157" s="12" t="str" cm="1">
        <f t="array" aca="1" ref="M157" ca="1">INDEX($R$33:$R$82, RANDBETWEEN(1, COUNTA($R$33:$R$82)))</f>
        <v>NV18</v>
      </c>
      <c r="N157">
        <f t="shared" ca="1" si="27"/>
        <v>33</v>
      </c>
    </row>
    <row r="158" spans="1:14" ht="16.8" x14ac:dyDescent="0.3">
      <c r="A158" s="7" t="str">
        <f t="shared" si="19"/>
        <v>S0157</v>
      </c>
      <c r="B158" s="8">
        <f t="shared" ca="1" si="20"/>
        <v>44621</v>
      </c>
      <c r="C158" s="15" t="str" cm="1">
        <f t="array" aca="1" ref="C158" ca="1">INDEX($Q$2:$Q$31, RANDBETWEEN(1, COUNTA($Q$2:$Q$31)))</f>
        <v>Latte</v>
      </c>
      <c r="D158" s="10" t="str" cm="1">
        <f t="array" aca="1" ref="D158" ca="1">INDEX($R$2:$R$310, RANDBETWEEN(1, COUNTA($Q$2:$Q$310)))</f>
        <v>S</v>
      </c>
      <c r="E158">
        <f t="shared" ca="1" si="21"/>
        <v>1</v>
      </c>
      <c r="F158" cm="1">
        <f t="array" aca="1" ref="F158" ca="1">INDEX($S$2:$S$31, RANDBETWEEN(1, COUNTA($S$2:$S$31)))</f>
        <v>59000</v>
      </c>
      <c r="G158" cm="1">
        <f t="array" aca="1" ref="G158" ca="1">INDEX($S$2:$S$31, RANDBETWEEN(1, COUNTA($S$2:$S$31)))</f>
        <v>49000</v>
      </c>
      <c r="H158">
        <f t="shared" ca="1" si="22"/>
        <v>7</v>
      </c>
      <c r="I158">
        <f t="shared" ca="1" si="23"/>
        <v>49000</v>
      </c>
      <c r="J158" s="10" t="str">
        <f t="shared" ca="1" si="24"/>
        <v>Offline</v>
      </c>
      <c r="K158" s="10">
        <f t="shared" ca="1" si="25"/>
        <v>49000</v>
      </c>
      <c r="L158" s="10">
        <f t="shared" ca="1" si="26"/>
        <v>49000</v>
      </c>
      <c r="M158" s="12" t="str" cm="1">
        <f t="array" aca="1" ref="M158" ca="1">INDEX($R$33:$R$82, RANDBETWEEN(1, COUNTA($R$33:$R$82)))</f>
        <v>NV7</v>
      </c>
      <c r="N158">
        <f t="shared" ca="1" si="27"/>
        <v>37</v>
      </c>
    </row>
    <row r="159" spans="1:14" ht="16.8" x14ac:dyDescent="0.3">
      <c r="A159" s="7" t="str">
        <f t="shared" si="19"/>
        <v>S0158</v>
      </c>
      <c r="B159" s="8">
        <f t="shared" ca="1" si="20"/>
        <v>44837</v>
      </c>
      <c r="C159" s="15" t="str" cm="1">
        <f t="array" aca="1" ref="C159" ca="1">INDEX($Q$2:$Q$31, RANDBETWEEN(1, COUNTA($Q$2:$Q$31)))</f>
        <v>Caramel Phin Freeze</v>
      </c>
      <c r="D159" s="10" t="str" cm="1">
        <f t="array" aca="1" ref="D159" ca="1">INDEX($R$2:$R$310, RANDBETWEEN(1, COUNTA($Q$2:$Q$310)))</f>
        <v>M</v>
      </c>
      <c r="E159">
        <f t="shared" ca="1" si="21"/>
        <v>1</v>
      </c>
      <c r="F159" cm="1">
        <f t="array" aca="1" ref="F159" ca="1">INDEX($S$2:$S$31, RANDBETWEEN(1, COUNTA($S$2:$S$31)))</f>
        <v>65000</v>
      </c>
      <c r="G159" cm="1">
        <f t="array" aca="1" ref="G159" ca="1">INDEX($S$2:$S$31, RANDBETWEEN(1, COUNTA($S$2:$S$31)))</f>
        <v>65000</v>
      </c>
      <c r="H159">
        <f t="shared" ca="1" si="22"/>
        <v>13</v>
      </c>
      <c r="I159">
        <f t="shared" ca="1" si="23"/>
        <v>65000</v>
      </c>
      <c r="J159" s="10" t="str">
        <f t="shared" ca="1" si="24"/>
        <v>Offline</v>
      </c>
      <c r="K159" s="10">
        <f t="shared" ca="1" si="25"/>
        <v>65000</v>
      </c>
      <c r="L159" s="10">
        <f t="shared" ca="1" si="26"/>
        <v>65000</v>
      </c>
      <c r="M159" s="12" t="str" cm="1">
        <f t="array" aca="1" ref="M159" ca="1">INDEX($R$33:$R$82, RANDBETWEEN(1, COUNTA($R$33:$R$82)))</f>
        <v>NV15</v>
      </c>
      <c r="N159">
        <f t="shared" ca="1" si="27"/>
        <v>18</v>
      </c>
    </row>
    <row r="160" spans="1:14" ht="16.8" x14ac:dyDescent="0.3">
      <c r="A160" s="7" t="str">
        <f t="shared" si="19"/>
        <v>S0159</v>
      </c>
      <c r="B160" s="8">
        <f t="shared" ca="1" si="20"/>
        <v>45284</v>
      </c>
      <c r="C160" s="15" t="str" cm="1">
        <f t="array" aca="1" ref="C160" ca="1">INDEX($Q$2:$Q$31, RANDBETWEEN(1, COUNTA($Q$2:$Q$31)))</f>
        <v>Mocha</v>
      </c>
      <c r="D160" s="10" t="str" cm="1">
        <f t="array" aca="1" ref="D160" ca="1">INDEX($R$2:$R$310, RANDBETWEEN(1, COUNTA($Q$2:$Q$310)))</f>
        <v>M</v>
      </c>
      <c r="E160">
        <f t="shared" ca="1" si="21"/>
        <v>1</v>
      </c>
      <c r="F160" cm="1">
        <f t="array" aca="1" ref="F160" ca="1">INDEX($S$2:$S$31, RANDBETWEEN(1, COUNTA($S$2:$S$31)))</f>
        <v>49000</v>
      </c>
      <c r="G160" cm="1">
        <f t="array" aca="1" ref="G160" ca="1">INDEX($S$2:$S$31, RANDBETWEEN(1, COUNTA($S$2:$S$31)))</f>
        <v>49000</v>
      </c>
      <c r="H160">
        <f t="shared" ca="1" si="22"/>
        <v>11</v>
      </c>
      <c r="I160">
        <f t="shared" ca="1" si="23"/>
        <v>43610</v>
      </c>
      <c r="J160" s="10" t="str">
        <f t="shared" ca="1" si="24"/>
        <v>Online</v>
      </c>
      <c r="K160" s="10">
        <f t="shared" ca="1" si="25"/>
        <v>43610</v>
      </c>
      <c r="L160" s="10">
        <f t="shared" ca="1" si="26"/>
        <v>43610</v>
      </c>
      <c r="M160" s="12" t="str" cm="1">
        <f t="array" aca="1" ref="M160" ca="1">INDEX($R$33:$R$82, RANDBETWEEN(1, COUNTA($R$33:$R$82)))</f>
        <v>NV40</v>
      </c>
      <c r="N160">
        <f t="shared" ca="1" si="27"/>
        <v>25</v>
      </c>
    </row>
    <row r="161" spans="1:14" ht="16.8" x14ac:dyDescent="0.3">
      <c r="A161" s="7" t="str">
        <f t="shared" si="19"/>
        <v>S0160</v>
      </c>
      <c r="B161" s="8">
        <f t="shared" ca="1" si="20"/>
        <v>45187</v>
      </c>
      <c r="C161" s="15" t="str" cm="1">
        <f t="array" aca="1" ref="C161" ca="1">INDEX($Q$2:$Q$31, RANDBETWEEN(1, COUNTA($Q$2:$Q$31)))</f>
        <v>Iced Black Coffee</v>
      </c>
      <c r="D161" s="10" t="str" cm="1">
        <f t="array" aca="1" ref="D161" ca="1">INDEX($R$2:$R$310, RANDBETWEEN(1, COUNTA($Q$2:$Q$310)))</f>
        <v>M</v>
      </c>
      <c r="E161">
        <f t="shared" ca="1" si="21"/>
        <v>2</v>
      </c>
      <c r="F161" cm="1">
        <f t="array" aca="1" ref="F161" ca="1">INDEX($S$2:$S$31, RANDBETWEEN(1, COUNTA($S$2:$S$31)))</f>
        <v>55000</v>
      </c>
      <c r="G161" cm="1">
        <f t="array" aca="1" ref="G161" ca="1">INDEX($S$2:$S$31, RANDBETWEEN(1, COUNTA($S$2:$S$31)))</f>
        <v>65000</v>
      </c>
      <c r="H161">
        <f t="shared" ca="1" si="22"/>
        <v>5</v>
      </c>
      <c r="I161">
        <f t="shared" ca="1" si="23"/>
        <v>65000</v>
      </c>
      <c r="J161" s="10" t="str">
        <f t="shared" ca="1" si="24"/>
        <v>Offline</v>
      </c>
      <c r="K161" s="10">
        <f t="shared" ca="1" si="25"/>
        <v>65000</v>
      </c>
      <c r="L161" s="10">
        <f t="shared" ca="1" si="26"/>
        <v>130000</v>
      </c>
      <c r="M161" s="12" t="str" cm="1">
        <f t="array" aca="1" ref="M161" ca="1">INDEX($R$33:$R$82, RANDBETWEEN(1, COUNTA($R$33:$R$82)))</f>
        <v>NV11</v>
      </c>
      <c r="N161">
        <f t="shared" ca="1" si="27"/>
        <v>47</v>
      </c>
    </row>
    <row r="162" spans="1:14" ht="16.8" x14ac:dyDescent="0.3">
      <c r="A162" s="7" t="str">
        <f t="shared" si="19"/>
        <v>S0161</v>
      </c>
      <c r="B162" s="8">
        <f t="shared" ca="1" si="20"/>
        <v>45092</v>
      </c>
      <c r="C162" s="15" t="str" cm="1">
        <f t="array" aca="1" ref="C162" ca="1">INDEX($Q$2:$Q$31, RANDBETWEEN(1, COUNTA($Q$2:$Q$31)))</f>
        <v>Cappuccino</v>
      </c>
      <c r="D162" s="10" t="str" cm="1">
        <f t="array" aca="1" ref="D162" ca="1">INDEX($R$2:$R$310, RANDBETWEEN(1, COUNTA($Q$2:$Q$310)))</f>
        <v>L</v>
      </c>
      <c r="E162">
        <f t="shared" ca="1" si="21"/>
        <v>2</v>
      </c>
      <c r="F162" cm="1">
        <f t="array" aca="1" ref="F162" ca="1">INDEX($S$2:$S$31, RANDBETWEEN(1, COUNTA($S$2:$S$31)))</f>
        <v>69000</v>
      </c>
      <c r="G162" cm="1">
        <f t="array" aca="1" ref="G162" ca="1">INDEX($S$2:$S$31, RANDBETWEEN(1, COUNTA($S$2:$S$31)))</f>
        <v>59000</v>
      </c>
      <c r="H162">
        <f t="shared" ca="1" si="22"/>
        <v>12</v>
      </c>
      <c r="I162">
        <f t="shared" ca="1" si="23"/>
        <v>60720</v>
      </c>
      <c r="J162" s="10" t="str">
        <f t="shared" ca="1" si="24"/>
        <v>Online</v>
      </c>
      <c r="K162" s="10">
        <f t="shared" ca="1" si="25"/>
        <v>60720</v>
      </c>
      <c r="L162" s="10">
        <f t="shared" ca="1" si="26"/>
        <v>121440</v>
      </c>
      <c r="M162" s="12" t="str" cm="1">
        <f t="array" aca="1" ref="M162" ca="1">INDEX($R$33:$R$82, RANDBETWEEN(1, COUNTA($R$33:$R$82)))</f>
        <v>NV37</v>
      </c>
      <c r="N162">
        <f t="shared" ca="1" si="27"/>
        <v>20</v>
      </c>
    </row>
    <row r="163" spans="1:14" ht="16.8" x14ac:dyDescent="0.3">
      <c r="A163" s="7" t="str">
        <f t="shared" si="19"/>
        <v>S0162</v>
      </c>
      <c r="B163" s="8">
        <f t="shared" ca="1" si="20"/>
        <v>44828</v>
      </c>
      <c r="C163" s="15" t="str" cm="1">
        <f t="array" aca="1" ref="C163" ca="1">INDEX($Q$2:$Q$31, RANDBETWEEN(1, COUNTA($Q$2:$Q$31)))</f>
        <v>Classic Phin Freeze</v>
      </c>
      <c r="D163" s="10" t="str" cm="1">
        <f t="array" aca="1" ref="D163" ca="1">INDEX($R$2:$R$310, RANDBETWEEN(1, COUNTA($Q$2:$Q$310)))</f>
        <v>L</v>
      </c>
      <c r="E163">
        <f t="shared" ca="1" si="21"/>
        <v>5</v>
      </c>
      <c r="F163" cm="1">
        <f t="array" aca="1" ref="F163" ca="1">INDEX($S$2:$S$31, RANDBETWEEN(1, COUNTA($S$2:$S$31)))</f>
        <v>45000</v>
      </c>
      <c r="G163" cm="1">
        <f t="array" aca="1" ref="G163" ca="1">INDEX($S$2:$S$31, RANDBETWEEN(1, COUNTA($S$2:$S$31)))</f>
        <v>75000</v>
      </c>
      <c r="H163">
        <f t="shared" ca="1" si="22"/>
        <v>15</v>
      </c>
      <c r="I163">
        <f t="shared" ca="1" si="23"/>
        <v>75000</v>
      </c>
      <c r="J163" s="10" t="str">
        <f t="shared" ca="1" si="24"/>
        <v>Offline</v>
      </c>
      <c r="K163" s="10">
        <f t="shared" ca="1" si="25"/>
        <v>75000</v>
      </c>
      <c r="L163" s="10">
        <f t="shared" ca="1" si="26"/>
        <v>375000</v>
      </c>
      <c r="M163" s="12" t="str" cm="1">
        <f t="array" aca="1" ref="M163" ca="1">INDEX($R$33:$R$82, RANDBETWEEN(1, COUNTA($R$33:$R$82)))</f>
        <v>NV34</v>
      </c>
      <c r="N163">
        <f t="shared" ca="1" si="27"/>
        <v>13</v>
      </c>
    </row>
    <row r="164" spans="1:14" ht="16.8" x14ac:dyDescent="0.3">
      <c r="A164" s="7" t="str">
        <f t="shared" si="19"/>
        <v>S0163</v>
      </c>
      <c r="B164" s="8">
        <f t="shared" ca="1" si="20"/>
        <v>44294</v>
      </c>
      <c r="C164" s="15" t="str" cm="1">
        <f t="array" aca="1" ref="C164" ca="1">INDEX($Q$2:$Q$31, RANDBETWEEN(1, COUNTA($Q$2:$Q$31)))</f>
        <v>Caramel Phin Freeze</v>
      </c>
      <c r="D164" s="10" t="str" cm="1">
        <f t="array" aca="1" ref="D164" ca="1">INDEX($R$2:$R$310, RANDBETWEEN(1, COUNTA($Q$2:$Q$310)))</f>
        <v>S</v>
      </c>
      <c r="E164">
        <f t="shared" ca="1" si="21"/>
        <v>5</v>
      </c>
      <c r="F164" cm="1">
        <f t="array" aca="1" ref="F164" ca="1">INDEX($S$2:$S$31, RANDBETWEEN(1, COUNTA($S$2:$S$31)))</f>
        <v>59000</v>
      </c>
      <c r="G164" cm="1">
        <f t="array" aca="1" ref="G164" ca="1">INDEX($S$2:$S$31, RANDBETWEEN(1, COUNTA($S$2:$S$31)))</f>
        <v>65000</v>
      </c>
      <c r="H164">
        <f t="shared" ca="1" si="22"/>
        <v>13</v>
      </c>
      <c r="I164">
        <f t="shared" ca="1" si="23"/>
        <v>65000</v>
      </c>
      <c r="J164" s="10" t="str">
        <f t="shared" ca="1" si="24"/>
        <v>Offline</v>
      </c>
      <c r="K164" s="10">
        <f t="shared" ca="1" si="25"/>
        <v>65000</v>
      </c>
      <c r="L164" s="10">
        <f t="shared" ca="1" si="26"/>
        <v>325000</v>
      </c>
      <c r="M164" s="12" t="str" cm="1">
        <f t="array" aca="1" ref="M164" ca="1">INDEX($R$33:$R$82, RANDBETWEEN(1, COUNTA($R$33:$R$82)))</f>
        <v>NV47</v>
      </c>
      <c r="N164">
        <f t="shared" ca="1" si="27"/>
        <v>13</v>
      </c>
    </row>
    <row r="165" spans="1:14" ht="16.8" x14ac:dyDescent="0.3">
      <c r="A165" s="7" t="str">
        <f t="shared" si="19"/>
        <v>S0164</v>
      </c>
      <c r="B165" s="8">
        <f t="shared" ca="1" si="20"/>
        <v>44286</v>
      </c>
      <c r="C165" s="15" t="str" cm="1">
        <f t="array" aca="1" ref="C165" ca="1">INDEX($Q$2:$Q$31, RANDBETWEEN(1, COUNTA($Q$2:$Q$31)))</f>
        <v>Cappuccino</v>
      </c>
      <c r="D165" s="10" t="str" cm="1">
        <f t="array" aca="1" ref="D165" ca="1">INDEX($R$2:$R$310, RANDBETWEEN(1, COUNTA($Q$2:$Q$310)))</f>
        <v>L</v>
      </c>
      <c r="E165">
        <f t="shared" ca="1" si="21"/>
        <v>2</v>
      </c>
      <c r="F165" cm="1">
        <f t="array" aca="1" ref="F165" ca="1">INDEX($S$2:$S$31, RANDBETWEEN(1, COUNTA($S$2:$S$31)))</f>
        <v>59000</v>
      </c>
      <c r="G165" cm="1">
        <f t="array" aca="1" ref="G165" ca="1">INDEX($S$2:$S$31, RANDBETWEEN(1, COUNTA($S$2:$S$31)))</f>
        <v>59000</v>
      </c>
      <c r="H165">
        <f t="shared" ca="1" si="22"/>
        <v>14</v>
      </c>
      <c r="I165">
        <f t="shared" ca="1" si="23"/>
        <v>50740</v>
      </c>
      <c r="J165" s="10" t="str">
        <f t="shared" ca="1" si="24"/>
        <v>Online</v>
      </c>
      <c r="K165" s="10">
        <f t="shared" ca="1" si="25"/>
        <v>50740</v>
      </c>
      <c r="L165" s="10">
        <f t="shared" ca="1" si="26"/>
        <v>101480</v>
      </c>
      <c r="M165" s="12" t="str" cm="1">
        <f t="array" aca="1" ref="M165" ca="1">INDEX($R$33:$R$82, RANDBETWEEN(1, COUNTA($R$33:$R$82)))</f>
        <v>NV15</v>
      </c>
      <c r="N165">
        <f t="shared" ca="1" si="27"/>
        <v>43</v>
      </c>
    </row>
    <row r="166" spans="1:14" ht="16.8" x14ac:dyDescent="0.3">
      <c r="A166" s="7" t="str">
        <f t="shared" si="19"/>
        <v>S0165</v>
      </c>
      <c r="B166" s="8">
        <f t="shared" ca="1" si="20"/>
        <v>44865</v>
      </c>
      <c r="C166" s="15" t="str" cm="1">
        <f t="array" aca="1" ref="C166" ca="1">INDEX($Q$2:$Q$31, RANDBETWEEN(1, COUNTA($Q$2:$Q$31)))</f>
        <v>Mocha</v>
      </c>
      <c r="D166" s="10" t="str" cm="1">
        <f t="array" aca="1" ref="D166" ca="1">INDEX($R$2:$R$310, RANDBETWEEN(1, COUNTA($Q$2:$Q$310)))</f>
        <v>S</v>
      </c>
      <c r="E166">
        <f t="shared" ca="1" si="21"/>
        <v>2</v>
      </c>
      <c r="F166" cm="1">
        <f t="array" aca="1" ref="F166" ca="1">INDEX($S$2:$S$31, RANDBETWEEN(1, COUNTA($S$2:$S$31)))</f>
        <v>49000</v>
      </c>
      <c r="G166" cm="1">
        <f t="array" aca="1" ref="G166" ca="1">INDEX($S$2:$S$31, RANDBETWEEN(1, COUNTA($S$2:$S$31)))</f>
        <v>35000</v>
      </c>
      <c r="H166">
        <f t="shared" ca="1" si="22"/>
        <v>5</v>
      </c>
      <c r="I166">
        <f t="shared" ca="1" si="23"/>
        <v>35000</v>
      </c>
      <c r="J166" s="10" t="str">
        <f t="shared" ca="1" si="24"/>
        <v>Offline</v>
      </c>
      <c r="K166" s="10">
        <f t="shared" ca="1" si="25"/>
        <v>35000</v>
      </c>
      <c r="L166" s="10">
        <f t="shared" ca="1" si="26"/>
        <v>70000</v>
      </c>
      <c r="M166" s="12" t="str" cm="1">
        <f t="array" aca="1" ref="M166" ca="1">INDEX($R$33:$R$82, RANDBETWEEN(1, COUNTA($R$33:$R$82)))</f>
        <v>NV32</v>
      </c>
      <c r="N166">
        <f t="shared" ca="1" si="27"/>
        <v>22</v>
      </c>
    </row>
    <row r="167" spans="1:14" ht="16.8" x14ac:dyDescent="0.3">
      <c r="A167" s="7" t="str">
        <f t="shared" si="19"/>
        <v>S0166</v>
      </c>
      <c r="B167" s="8">
        <f t="shared" ca="1" si="20"/>
        <v>44654</v>
      </c>
      <c r="C167" s="15" t="str" cm="1">
        <f t="array" aca="1" ref="C167" ca="1">INDEX($Q$2:$Q$31, RANDBETWEEN(1, COUNTA($Q$2:$Q$31)))</f>
        <v>Classic Phin Freeze</v>
      </c>
      <c r="D167" s="10" t="str" cm="1">
        <f t="array" aca="1" ref="D167" ca="1">INDEX($R$2:$R$310, RANDBETWEEN(1, COUNTA($Q$2:$Q$310)))</f>
        <v>L</v>
      </c>
      <c r="E167">
        <f t="shared" ca="1" si="21"/>
        <v>2</v>
      </c>
      <c r="F167" cm="1">
        <f t="array" aca="1" ref="F167" ca="1">INDEX($S$2:$S$31, RANDBETWEEN(1, COUNTA($S$2:$S$31)))</f>
        <v>39000</v>
      </c>
      <c r="G167" cm="1">
        <f t="array" aca="1" ref="G167" ca="1">INDEX($S$2:$S$31, RANDBETWEEN(1, COUNTA($S$2:$S$31)))</f>
        <v>59000</v>
      </c>
      <c r="H167">
        <f t="shared" ca="1" si="22"/>
        <v>12</v>
      </c>
      <c r="I167">
        <f t="shared" ca="1" si="23"/>
        <v>34320</v>
      </c>
      <c r="J167" s="10" t="str">
        <f t="shared" ca="1" si="24"/>
        <v>Online</v>
      </c>
      <c r="K167" s="10">
        <f t="shared" ca="1" si="25"/>
        <v>34320</v>
      </c>
      <c r="L167" s="10">
        <f t="shared" ca="1" si="26"/>
        <v>68640</v>
      </c>
      <c r="M167" s="12" t="str" cm="1">
        <f t="array" aca="1" ref="M167" ca="1">INDEX($R$33:$R$82, RANDBETWEEN(1, COUNTA($R$33:$R$82)))</f>
        <v>NV16</v>
      </c>
      <c r="N167">
        <f t="shared" ca="1" si="27"/>
        <v>9</v>
      </c>
    </row>
    <row r="168" spans="1:14" ht="16.8" x14ac:dyDescent="0.3">
      <c r="A168" s="7" t="str">
        <f t="shared" si="19"/>
        <v>S0167</v>
      </c>
      <c r="B168" s="8">
        <f t="shared" ca="1" si="20"/>
        <v>44612</v>
      </c>
      <c r="C168" s="15" t="str" cm="1">
        <f t="array" aca="1" ref="C168" ca="1">INDEX($Q$2:$Q$31, RANDBETWEEN(1, COUNTA($Q$2:$Q$31)))</f>
        <v>Iced Black Coffee</v>
      </c>
      <c r="D168" s="10" t="str" cm="1">
        <f t="array" aca="1" ref="D168" ca="1">INDEX($R$2:$R$310, RANDBETWEEN(1, COUNTA($Q$2:$Q$310)))</f>
        <v>M</v>
      </c>
      <c r="E168">
        <f t="shared" ca="1" si="21"/>
        <v>1</v>
      </c>
      <c r="F168" cm="1">
        <f t="array" aca="1" ref="F168" ca="1">INDEX($S$2:$S$31, RANDBETWEEN(1, COUNTA($S$2:$S$31)))</f>
        <v>55000</v>
      </c>
      <c r="G168" cm="1">
        <f t="array" aca="1" ref="G168" ca="1">INDEX($S$2:$S$31, RANDBETWEEN(1, COUNTA($S$2:$S$31)))</f>
        <v>49000</v>
      </c>
      <c r="H168">
        <f t="shared" ca="1" si="22"/>
        <v>12</v>
      </c>
      <c r="I168">
        <f t="shared" ca="1" si="23"/>
        <v>48400</v>
      </c>
      <c r="J168" s="10" t="str">
        <f t="shared" ca="1" si="24"/>
        <v>Online</v>
      </c>
      <c r="K168" s="10">
        <f t="shared" ca="1" si="25"/>
        <v>48400</v>
      </c>
      <c r="L168" s="10">
        <f t="shared" ca="1" si="26"/>
        <v>48400</v>
      </c>
      <c r="M168" s="12" t="str" cm="1">
        <f t="array" aca="1" ref="M168" ca="1">INDEX($R$33:$R$82, RANDBETWEEN(1, COUNTA($R$33:$R$82)))</f>
        <v>NV11</v>
      </c>
      <c r="N168">
        <f t="shared" ca="1" si="27"/>
        <v>6</v>
      </c>
    </row>
    <row r="169" spans="1:14" ht="16.8" x14ac:dyDescent="0.3">
      <c r="A169" s="7" t="str">
        <f t="shared" si="19"/>
        <v>S0168</v>
      </c>
      <c r="B169" s="8">
        <f t="shared" ca="1" si="20"/>
        <v>44472</v>
      </c>
      <c r="C169" s="15" t="str" cm="1">
        <f t="array" aca="1" ref="C169" ca="1">INDEX($Q$2:$Q$31, RANDBETWEEN(1, COUNTA($Q$2:$Q$31)))</f>
        <v xml:space="preserve">Chocolate Freeze </v>
      </c>
      <c r="D169" s="10" t="str" cm="1">
        <f t="array" aca="1" ref="D169" ca="1">INDEX($R$2:$R$310, RANDBETWEEN(1, COUNTA($Q$2:$Q$310)))</f>
        <v>S</v>
      </c>
      <c r="E169">
        <f t="shared" ca="1" si="21"/>
        <v>1</v>
      </c>
      <c r="F169" cm="1">
        <f t="array" aca="1" ref="F169" ca="1">INDEX($S$2:$S$31, RANDBETWEEN(1, COUNTA($S$2:$S$31)))</f>
        <v>35000</v>
      </c>
      <c r="G169" cm="1">
        <f t="array" aca="1" ref="G169" ca="1">INDEX($S$2:$S$31, RANDBETWEEN(1, COUNTA($S$2:$S$31)))</f>
        <v>65000</v>
      </c>
      <c r="H169">
        <f t="shared" ca="1" si="22"/>
        <v>6</v>
      </c>
      <c r="I169">
        <f t="shared" ca="1" si="23"/>
        <v>65000</v>
      </c>
      <c r="J169" s="10" t="str">
        <f t="shared" ca="1" si="24"/>
        <v>Offline</v>
      </c>
      <c r="K169" s="10">
        <f t="shared" ca="1" si="25"/>
        <v>65000</v>
      </c>
      <c r="L169" s="10">
        <f t="shared" ca="1" si="26"/>
        <v>65000</v>
      </c>
      <c r="M169" s="12" t="str" cm="1">
        <f t="array" aca="1" ref="M169" ca="1">INDEX($R$33:$R$82, RANDBETWEEN(1, COUNTA($R$33:$R$82)))</f>
        <v>NV8</v>
      </c>
      <c r="N169">
        <f t="shared" ca="1" si="27"/>
        <v>28</v>
      </c>
    </row>
    <row r="170" spans="1:14" ht="16.8" x14ac:dyDescent="0.3">
      <c r="A170" s="7" t="str">
        <f t="shared" si="19"/>
        <v>S0169</v>
      </c>
      <c r="B170" s="8">
        <f t="shared" ca="1" si="20"/>
        <v>45088</v>
      </c>
      <c r="C170" s="15" t="str" cm="1">
        <f t="array" aca="1" ref="C170" ca="1">INDEX($Q$2:$Q$31, RANDBETWEEN(1, COUNTA($Q$2:$Q$31)))</f>
        <v xml:space="preserve">Green Tea Freeze </v>
      </c>
      <c r="D170" s="10" t="str" cm="1">
        <f t="array" aca="1" ref="D170" ca="1">INDEX($R$2:$R$310, RANDBETWEEN(1, COUNTA($Q$2:$Q$310)))</f>
        <v>M</v>
      </c>
      <c r="E170">
        <f t="shared" ca="1" si="21"/>
        <v>1</v>
      </c>
      <c r="F170" cm="1">
        <f t="array" aca="1" ref="F170" ca="1">INDEX($S$2:$S$31, RANDBETWEEN(1, COUNTA($S$2:$S$31)))</f>
        <v>59000</v>
      </c>
      <c r="G170" cm="1">
        <f t="array" aca="1" ref="G170" ca="1">INDEX($S$2:$S$31, RANDBETWEEN(1, COUNTA($S$2:$S$31)))</f>
        <v>39000</v>
      </c>
      <c r="H170">
        <f t="shared" ca="1" si="22"/>
        <v>7</v>
      </c>
      <c r="I170">
        <f t="shared" ca="1" si="23"/>
        <v>39000</v>
      </c>
      <c r="J170" s="10" t="str">
        <f t="shared" ca="1" si="24"/>
        <v>Offline</v>
      </c>
      <c r="K170" s="10">
        <f t="shared" ca="1" si="25"/>
        <v>39000</v>
      </c>
      <c r="L170" s="10">
        <f t="shared" ca="1" si="26"/>
        <v>39000</v>
      </c>
      <c r="M170" s="12" t="str" cm="1">
        <f t="array" aca="1" ref="M170" ca="1">INDEX($R$33:$R$82, RANDBETWEEN(1, COUNTA($R$33:$R$82)))</f>
        <v>NV30</v>
      </c>
      <c r="N170">
        <f t="shared" ca="1" si="27"/>
        <v>40</v>
      </c>
    </row>
    <row r="171" spans="1:14" ht="16.8" x14ac:dyDescent="0.3">
      <c r="A171" s="7" t="str">
        <f t="shared" si="19"/>
        <v>S0170</v>
      </c>
      <c r="B171" s="8">
        <f t="shared" ca="1" si="20"/>
        <v>44449</v>
      </c>
      <c r="C171" s="15" t="str" cm="1">
        <f t="array" aca="1" ref="C171" ca="1">INDEX($Q$2:$Q$31, RANDBETWEEN(1, COUNTA($Q$2:$Q$31)))</f>
        <v>Classic Phin Freeze</v>
      </c>
      <c r="D171" s="10" t="str" cm="1">
        <f t="array" aca="1" ref="D171" ca="1">INDEX($R$2:$R$310, RANDBETWEEN(1, COUNTA($Q$2:$Q$310)))</f>
        <v>M</v>
      </c>
      <c r="E171">
        <f t="shared" ca="1" si="21"/>
        <v>5</v>
      </c>
      <c r="F171" cm="1">
        <f t="array" aca="1" ref="F171" ca="1">INDEX($S$2:$S$31, RANDBETWEEN(1, COUNTA($S$2:$S$31)))</f>
        <v>49000</v>
      </c>
      <c r="G171" cm="1">
        <f t="array" aca="1" ref="G171" ca="1">INDEX($S$2:$S$31, RANDBETWEEN(1, COUNTA($S$2:$S$31)))</f>
        <v>49000</v>
      </c>
      <c r="H171">
        <f t="shared" ca="1" si="22"/>
        <v>7</v>
      </c>
      <c r="I171">
        <f t="shared" ca="1" si="23"/>
        <v>49000</v>
      </c>
      <c r="J171" s="10" t="str">
        <f t="shared" ca="1" si="24"/>
        <v>Offline</v>
      </c>
      <c r="K171" s="10">
        <f t="shared" ca="1" si="25"/>
        <v>49000</v>
      </c>
      <c r="L171" s="10">
        <f t="shared" ca="1" si="26"/>
        <v>245000</v>
      </c>
      <c r="M171" s="12" t="str" cm="1">
        <f t="array" aca="1" ref="M171" ca="1">INDEX($R$33:$R$82, RANDBETWEEN(1, COUNTA($R$33:$R$82)))</f>
        <v>NV12</v>
      </c>
      <c r="N171">
        <f t="shared" ca="1" si="27"/>
        <v>29</v>
      </c>
    </row>
    <row r="172" spans="1:14" ht="16.8" x14ac:dyDescent="0.3">
      <c r="A172" s="7" t="str">
        <f t="shared" si="19"/>
        <v>S0171</v>
      </c>
      <c r="B172" s="8">
        <f t="shared" ca="1" si="20"/>
        <v>44625</v>
      </c>
      <c r="C172" s="15" t="str" cm="1">
        <f t="array" aca="1" ref="C172" ca="1">INDEX($Q$2:$Q$31, RANDBETWEEN(1, COUNTA($Q$2:$Q$31)))</f>
        <v xml:space="preserve">Green Tea Freeze </v>
      </c>
      <c r="D172" s="10" t="str" cm="1">
        <f t="array" aca="1" ref="D172" ca="1">INDEX($R$2:$R$310, RANDBETWEEN(1, COUNTA($Q$2:$Q$310)))</f>
        <v>S</v>
      </c>
      <c r="E172">
        <f t="shared" ca="1" si="21"/>
        <v>1</v>
      </c>
      <c r="F172" cm="1">
        <f t="array" aca="1" ref="F172" ca="1">INDEX($S$2:$S$31, RANDBETWEEN(1, COUNTA($S$2:$S$31)))</f>
        <v>59000</v>
      </c>
      <c r="G172" cm="1">
        <f t="array" aca="1" ref="G172" ca="1">INDEX($S$2:$S$31, RANDBETWEEN(1, COUNTA($S$2:$S$31)))</f>
        <v>35000</v>
      </c>
      <c r="H172">
        <f t="shared" ca="1" si="22"/>
        <v>5</v>
      </c>
      <c r="I172">
        <f t="shared" ca="1" si="23"/>
        <v>56050</v>
      </c>
      <c r="J172" s="10" t="str">
        <f t="shared" ca="1" si="24"/>
        <v>Online</v>
      </c>
      <c r="K172" s="10">
        <f t="shared" ca="1" si="25"/>
        <v>56050</v>
      </c>
      <c r="L172" s="10">
        <f t="shared" ca="1" si="26"/>
        <v>56050</v>
      </c>
      <c r="M172" s="12" t="str" cm="1">
        <f t="array" aca="1" ref="M172" ca="1">INDEX($R$33:$R$82, RANDBETWEEN(1, COUNTA($R$33:$R$82)))</f>
        <v>NV36</v>
      </c>
      <c r="N172">
        <f t="shared" ca="1" si="27"/>
        <v>42</v>
      </c>
    </row>
    <row r="173" spans="1:14" ht="16.8" x14ac:dyDescent="0.3">
      <c r="A173" s="7" t="str">
        <f t="shared" si="19"/>
        <v>S0172</v>
      </c>
      <c r="B173" s="8">
        <f t="shared" ca="1" si="20"/>
        <v>45264</v>
      </c>
      <c r="C173" s="15" t="str" cm="1">
        <f t="array" aca="1" ref="C173" ca="1">INDEX($Q$2:$Q$31, RANDBETWEEN(1, COUNTA($Q$2:$Q$31)))</f>
        <v>Americano</v>
      </c>
      <c r="D173" s="10" t="str" cm="1">
        <f t="array" aca="1" ref="D173" ca="1">INDEX($R$2:$R$310, RANDBETWEEN(1, COUNTA($Q$2:$Q$310)))</f>
        <v>M</v>
      </c>
      <c r="E173">
        <f t="shared" ca="1" si="21"/>
        <v>1</v>
      </c>
      <c r="F173" cm="1">
        <f t="array" aca="1" ref="F173" ca="1">INDEX($S$2:$S$31, RANDBETWEEN(1, COUNTA($S$2:$S$31)))</f>
        <v>69000</v>
      </c>
      <c r="G173" cm="1">
        <f t="array" aca="1" ref="G173" ca="1">INDEX($S$2:$S$31, RANDBETWEEN(1, COUNTA($S$2:$S$31)))</f>
        <v>59000</v>
      </c>
      <c r="H173">
        <f t="shared" ca="1" si="22"/>
        <v>10</v>
      </c>
      <c r="I173">
        <f t="shared" ca="1" si="23"/>
        <v>62100</v>
      </c>
      <c r="J173" s="10" t="str">
        <f t="shared" ca="1" si="24"/>
        <v>Online</v>
      </c>
      <c r="K173" s="10">
        <f t="shared" ca="1" si="25"/>
        <v>62100</v>
      </c>
      <c r="L173" s="10">
        <f t="shared" ca="1" si="26"/>
        <v>62100</v>
      </c>
      <c r="M173" s="12" t="str" cm="1">
        <f t="array" aca="1" ref="M173" ca="1">INDEX($R$33:$R$82, RANDBETWEEN(1, COUNTA($R$33:$R$82)))</f>
        <v>NV13</v>
      </c>
      <c r="N173">
        <f t="shared" ca="1" si="27"/>
        <v>4</v>
      </c>
    </row>
    <row r="174" spans="1:14" ht="16.8" x14ac:dyDescent="0.3">
      <c r="A174" s="7" t="str">
        <f t="shared" si="19"/>
        <v>S0173</v>
      </c>
      <c r="B174" s="8">
        <f t="shared" ca="1" si="20"/>
        <v>44556</v>
      </c>
      <c r="C174" s="15" t="str" cm="1">
        <f t="array" aca="1" ref="C174" ca="1">INDEX($Q$2:$Q$31, RANDBETWEEN(1, COUNTA($Q$2:$Q$31)))</f>
        <v>Mocha</v>
      </c>
      <c r="D174" s="10" t="str" cm="1">
        <f t="array" aca="1" ref="D174" ca="1">INDEX($R$2:$R$310, RANDBETWEEN(1, COUNTA($Q$2:$Q$310)))</f>
        <v>S</v>
      </c>
      <c r="E174">
        <f t="shared" ca="1" si="21"/>
        <v>2</v>
      </c>
      <c r="F174" cm="1">
        <f t="array" aca="1" ref="F174" ca="1">INDEX($S$2:$S$31, RANDBETWEEN(1, COUNTA($S$2:$S$31)))</f>
        <v>55000</v>
      </c>
      <c r="G174" cm="1">
        <f t="array" aca="1" ref="G174" ca="1">INDEX($S$2:$S$31, RANDBETWEEN(1, COUNTA($S$2:$S$31)))</f>
        <v>59000</v>
      </c>
      <c r="H174">
        <f t="shared" ca="1" si="22"/>
        <v>7</v>
      </c>
      <c r="I174">
        <f t="shared" ca="1" si="23"/>
        <v>59000</v>
      </c>
      <c r="J174" s="10" t="str">
        <f t="shared" ca="1" si="24"/>
        <v>Offline</v>
      </c>
      <c r="K174" s="10">
        <f t="shared" ca="1" si="25"/>
        <v>59000</v>
      </c>
      <c r="L174" s="10">
        <f t="shared" ca="1" si="26"/>
        <v>118000</v>
      </c>
      <c r="M174" s="12" t="str" cm="1">
        <f t="array" aca="1" ref="M174" ca="1">INDEX($R$33:$R$82, RANDBETWEEN(1, COUNTA($R$33:$R$82)))</f>
        <v>NV16</v>
      </c>
      <c r="N174">
        <f t="shared" ca="1" si="27"/>
        <v>35</v>
      </c>
    </row>
    <row r="175" spans="1:14" ht="16.8" x14ac:dyDescent="0.3">
      <c r="A175" s="7" t="str">
        <f t="shared" si="19"/>
        <v>S0174</v>
      </c>
      <c r="B175" s="8">
        <f t="shared" ca="1" si="20"/>
        <v>45227</v>
      </c>
      <c r="C175" s="15" t="str" cm="1">
        <f t="array" aca="1" ref="C175" ca="1">INDEX($Q$2:$Q$31, RANDBETWEEN(1, COUNTA($Q$2:$Q$31)))</f>
        <v xml:space="preserve">Green Tea Freeze </v>
      </c>
      <c r="D175" s="10" t="str" cm="1">
        <f t="array" aca="1" ref="D175" ca="1">INDEX($R$2:$R$310, RANDBETWEEN(1, COUNTA($Q$2:$Q$310)))</f>
        <v>S</v>
      </c>
      <c r="E175">
        <f t="shared" ca="1" si="21"/>
        <v>1</v>
      </c>
      <c r="F175" cm="1">
        <f t="array" aca="1" ref="F175" ca="1">INDEX($S$2:$S$31, RANDBETWEEN(1, COUNTA($S$2:$S$31)))</f>
        <v>49000</v>
      </c>
      <c r="G175" cm="1">
        <f t="array" aca="1" ref="G175" ca="1">INDEX($S$2:$S$31, RANDBETWEEN(1, COUNTA($S$2:$S$31)))</f>
        <v>49000</v>
      </c>
      <c r="H175">
        <f t="shared" ca="1" si="22"/>
        <v>12</v>
      </c>
      <c r="I175">
        <f t="shared" ca="1" si="23"/>
        <v>49000</v>
      </c>
      <c r="J175" s="10" t="str">
        <f t="shared" ca="1" si="24"/>
        <v>Offline</v>
      </c>
      <c r="K175" s="10">
        <f t="shared" ca="1" si="25"/>
        <v>49000</v>
      </c>
      <c r="L175" s="10">
        <f t="shared" ca="1" si="26"/>
        <v>49000</v>
      </c>
      <c r="M175" s="12" t="str" cm="1">
        <f t="array" aca="1" ref="M175" ca="1">INDEX($R$33:$R$82, RANDBETWEEN(1, COUNTA($R$33:$R$82)))</f>
        <v>NV46</v>
      </c>
      <c r="N175">
        <f t="shared" ca="1" si="27"/>
        <v>31</v>
      </c>
    </row>
    <row r="176" spans="1:14" ht="16.8" x14ac:dyDescent="0.3">
      <c r="A176" s="7" t="str">
        <f t="shared" si="19"/>
        <v>S0175</v>
      </c>
      <c r="B176" s="8">
        <f t="shared" ca="1" si="20"/>
        <v>45143</v>
      </c>
      <c r="C176" s="15" t="str" cm="1">
        <f t="array" aca="1" ref="C176" ca="1">INDEX($Q$2:$Q$31, RANDBETWEEN(1, COUNTA($Q$2:$Q$31)))</f>
        <v>Cookies &amp; Cream</v>
      </c>
      <c r="D176" s="10" t="str" cm="1">
        <f t="array" aca="1" ref="D176" ca="1">INDEX($R$2:$R$310, RANDBETWEEN(1, COUNTA($Q$2:$Q$310)))</f>
        <v>L</v>
      </c>
      <c r="E176">
        <f t="shared" ca="1" si="21"/>
        <v>4</v>
      </c>
      <c r="F176" cm="1">
        <f t="array" aca="1" ref="F176" ca="1">INDEX($S$2:$S$31, RANDBETWEEN(1, COUNTA($S$2:$S$31)))</f>
        <v>75000</v>
      </c>
      <c r="G176" cm="1">
        <f t="array" aca="1" ref="G176" ca="1">INDEX($S$2:$S$31, RANDBETWEEN(1, COUNTA($S$2:$S$31)))</f>
        <v>59000</v>
      </c>
      <c r="H176">
        <f t="shared" ca="1" si="22"/>
        <v>12</v>
      </c>
      <c r="I176">
        <f t="shared" ca="1" si="23"/>
        <v>66000</v>
      </c>
      <c r="J176" s="10" t="str">
        <f t="shared" ca="1" si="24"/>
        <v>Online</v>
      </c>
      <c r="K176" s="10">
        <f t="shared" ca="1" si="25"/>
        <v>66000</v>
      </c>
      <c r="L176" s="10">
        <f t="shared" ca="1" si="26"/>
        <v>264000</v>
      </c>
      <c r="M176" s="12" t="str" cm="1">
        <f t="array" aca="1" ref="M176" ca="1">INDEX($R$33:$R$82, RANDBETWEEN(1, COUNTA($R$33:$R$82)))</f>
        <v>NV19</v>
      </c>
      <c r="N176">
        <f t="shared" ca="1" si="27"/>
        <v>16</v>
      </c>
    </row>
    <row r="177" spans="1:14" ht="16.8" x14ac:dyDescent="0.3">
      <c r="A177" s="7" t="str">
        <f t="shared" si="19"/>
        <v>S0176</v>
      </c>
      <c r="B177" s="8">
        <f t="shared" ca="1" si="20"/>
        <v>44611</v>
      </c>
      <c r="C177" s="15" t="str" cm="1">
        <f t="array" aca="1" ref="C177" ca="1">INDEX($Q$2:$Q$31, RANDBETWEEN(1, COUNTA($Q$2:$Q$31)))</f>
        <v>Latte</v>
      </c>
      <c r="D177" s="10" t="str" cm="1">
        <f t="array" aca="1" ref="D177" ca="1">INDEX($R$2:$R$310, RANDBETWEEN(1, COUNTA($Q$2:$Q$310)))</f>
        <v>S</v>
      </c>
      <c r="E177">
        <f t="shared" ca="1" si="21"/>
        <v>5</v>
      </c>
      <c r="F177" cm="1">
        <f t="array" aca="1" ref="F177" ca="1">INDEX($S$2:$S$31, RANDBETWEEN(1, COUNTA($S$2:$S$31)))</f>
        <v>65000</v>
      </c>
      <c r="G177" cm="1">
        <f t="array" aca="1" ref="G177" ca="1">INDEX($S$2:$S$31, RANDBETWEEN(1, COUNTA($S$2:$S$31)))</f>
        <v>65000</v>
      </c>
      <c r="H177">
        <f t="shared" ca="1" si="22"/>
        <v>15</v>
      </c>
      <c r="I177">
        <f t="shared" ca="1" si="23"/>
        <v>55250</v>
      </c>
      <c r="J177" s="10" t="str">
        <f t="shared" ca="1" si="24"/>
        <v>Online</v>
      </c>
      <c r="K177" s="10">
        <f t="shared" ca="1" si="25"/>
        <v>55250</v>
      </c>
      <c r="L177" s="10">
        <f t="shared" ca="1" si="26"/>
        <v>276250</v>
      </c>
      <c r="M177" s="12" t="str" cm="1">
        <f t="array" aca="1" ref="M177" ca="1">INDEX($R$33:$R$82, RANDBETWEEN(1, COUNTA($R$33:$R$82)))</f>
        <v>NV5</v>
      </c>
      <c r="N177">
        <f t="shared" ca="1" si="27"/>
        <v>48</v>
      </c>
    </row>
    <row r="178" spans="1:14" ht="16.8" x14ac:dyDescent="0.3">
      <c r="A178" s="7" t="str">
        <f t="shared" si="19"/>
        <v>S0177</v>
      </c>
      <c r="B178" s="8">
        <f t="shared" ca="1" si="20"/>
        <v>44885</v>
      </c>
      <c r="C178" s="15" t="str" cm="1">
        <f t="array" aca="1" ref="C178" ca="1">INDEX($Q$2:$Q$31, RANDBETWEEN(1, COUNTA($Q$2:$Q$31)))</f>
        <v>Latte</v>
      </c>
      <c r="D178" s="10" t="str" cm="1">
        <f t="array" aca="1" ref="D178" ca="1">INDEX($R$2:$R$310, RANDBETWEEN(1, COUNTA($Q$2:$Q$310)))</f>
        <v>M</v>
      </c>
      <c r="E178">
        <f t="shared" ca="1" si="21"/>
        <v>1</v>
      </c>
      <c r="F178" cm="1">
        <f t="array" aca="1" ref="F178" ca="1">INDEX($S$2:$S$31, RANDBETWEEN(1, COUNTA($S$2:$S$31)))</f>
        <v>35000</v>
      </c>
      <c r="G178" cm="1">
        <f t="array" aca="1" ref="G178" ca="1">INDEX($S$2:$S$31, RANDBETWEEN(1, COUNTA($S$2:$S$31)))</f>
        <v>35000</v>
      </c>
      <c r="H178">
        <f t="shared" ca="1" si="22"/>
        <v>14</v>
      </c>
      <c r="I178">
        <f t="shared" ca="1" si="23"/>
        <v>30100</v>
      </c>
      <c r="J178" s="10" t="str">
        <f t="shared" ca="1" si="24"/>
        <v>Online</v>
      </c>
      <c r="K178" s="10">
        <f t="shared" ca="1" si="25"/>
        <v>30100</v>
      </c>
      <c r="L178" s="10">
        <f t="shared" ca="1" si="26"/>
        <v>30100</v>
      </c>
      <c r="M178" s="12" t="str" cm="1">
        <f t="array" aca="1" ref="M178" ca="1">INDEX($R$33:$R$82, RANDBETWEEN(1, COUNTA($R$33:$R$82)))</f>
        <v>NV27</v>
      </c>
      <c r="N178">
        <f t="shared" ca="1" si="27"/>
        <v>9</v>
      </c>
    </row>
    <row r="179" spans="1:14" ht="16.8" x14ac:dyDescent="0.3">
      <c r="A179" s="7" t="str">
        <f t="shared" si="19"/>
        <v>S0178</v>
      </c>
      <c r="B179" s="8">
        <f t="shared" ca="1" si="20"/>
        <v>45255</v>
      </c>
      <c r="C179" s="15" t="str" cm="1">
        <f t="array" aca="1" ref="C179" ca="1">INDEX($Q$2:$Q$31, RANDBETWEEN(1, COUNTA($Q$2:$Q$31)))</f>
        <v>Iced Black Coffee</v>
      </c>
      <c r="D179" s="10" t="str" cm="1">
        <f t="array" aca="1" ref="D179" ca="1">INDEX($R$2:$R$310, RANDBETWEEN(1, COUNTA($Q$2:$Q$310)))</f>
        <v>S</v>
      </c>
      <c r="E179">
        <f t="shared" ca="1" si="21"/>
        <v>2</v>
      </c>
      <c r="F179" cm="1">
        <f t="array" aca="1" ref="F179" ca="1">INDEX($S$2:$S$31, RANDBETWEEN(1, COUNTA($S$2:$S$31)))</f>
        <v>59000</v>
      </c>
      <c r="G179" cm="1">
        <f t="array" aca="1" ref="G179" ca="1">INDEX($S$2:$S$31, RANDBETWEEN(1, COUNTA($S$2:$S$31)))</f>
        <v>65000</v>
      </c>
      <c r="H179">
        <f t="shared" ca="1" si="22"/>
        <v>10</v>
      </c>
      <c r="I179">
        <f t="shared" ca="1" si="23"/>
        <v>53100</v>
      </c>
      <c r="J179" s="10" t="str">
        <f t="shared" ca="1" si="24"/>
        <v>Online</v>
      </c>
      <c r="K179" s="10">
        <f t="shared" ca="1" si="25"/>
        <v>53100</v>
      </c>
      <c r="L179" s="10">
        <f t="shared" ca="1" si="26"/>
        <v>106200</v>
      </c>
      <c r="M179" s="12" t="str" cm="1">
        <f t="array" aca="1" ref="M179" ca="1">INDEX($R$33:$R$82, RANDBETWEEN(1, COUNTA($R$33:$R$82)))</f>
        <v>NV34</v>
      </c>
      <c r="N179">
        <f t="shared" ca="1" si="27"/>
        <v>19</v>
      </c>
    </row>
    <row r="180" spans="1:14" ht="16.8" x14ac:dyDescent="0.3">
      <c r="A180" s="7" t="str">
        <f t="shared" si="19"/>
        <v>S0179</v>
      </c>
      <c r="B180" s="8">
        <f t="shared" ca="1" si="20"/>
        <v>44979</v>
      </c>
      <c r="C180" s="15" t="str" cm="1">
        <f t="array" aca="1" ref="C180" ca="1">INDEX($Q$2:$Q$31, RANDBETWEEN(1, COUNTA($Q$2:$Q$31)))</f>
        <v>Classic Phin Freeze</v>
      </c>
      <c r="D180" s="10" t="str" cm="1">
        <f t="array" aca="1" ref="D180" ca="1">INDEX($R$2:$R$310, RANDBETWEEN(1, COUNTA($Q$2:$Q$310)))</f>
        <v>M</v>
      </c>
      <c r="E180">
        <f t="shared" ca="1" si="21"/>
        <v>4</v>
      </c>
      <c r="F180" cm="1">
        <f t="array" aca="1" ref="F180" ca="1">INDEX($S$2:$S$31, RANDBETWEEN(1, COUNTA($S$2:$S$31)))</f>
        <v>29000</v>
      </c>
      <c r="G180" cm="1">
        <f t="array" aca="1" ref="G180" ca="1">INDEX($S$2:$S$31, RANDBETWEEN(1, COUNTA($S$2:$S$31)))</f>
        <v>59000</v>
      </c>
      <c r="H180">
        <f t="shared" ca="1" si="22"/>
        <v>8</v>
      </c>
      <c r="I180">
        <f t="shared" ca="1" si="23"/>
        <v>26680</v>
      </c>
      <c r="J180" s="10" t="str">
        <f t="shared" ca="1" si="24"/>
        <v>Online</v>
      </c>
      <c r="K180" s="10">
        <f t="shared" ca="1" si="25"/>
        <v>26680</v>
      </c>
      <c r="L180" s="10">
        <f t="shared" ca="1" si="26"/>
        <v>106720</v>
      </c>
      <c r="M180" s="12" t="str" cm="1">
        <f t="array" aca="1" ref="M180" ca="1">INDEX($R$33:$R$82, RANDBETWEEN(1, COUNTA($R$33:$R$82)))</f>
        <v>NV24</v>
      </c>
      <c r="N180">
        <f t="shared" ca="1" si="27"/>
        <v>28</v>
      </c>
    </row>
    <row r="181" spans="1:14" ht="16.8" x14ac:dyDescent="0.3">
      <c r="A181" s="7" t="str">
        <f t="shared" si="19"/>
        <v>S0180</v>
      </c>
      <c r="B181" s="8">
        <f t="shared" ca="1" si="20"/>
        <v>44637</v>
      </c>
      <c r="C181" s="15" t="str" cm="1">
        <f t="array" aca="1" ref="C181" ca="1">INDEX($Q$2:$Q$31, RANDBETWEEN(1, COUNTA($Q$2:$Q$31)))</f>
        <v>Mocha</v>
      </c>
      <c r="D181" s="10" t="str" cm="1">
        <f t="array" aca="1" ref="D181" ca="1">INDEX($R$2:$R$310, RANDBETWEEN(1, COUNTA($Q$2:$Q$310)))</f>
        <v>S</v>
      </c>
      <c r="E181">
        <f t="shared" ca="1" si="21"/>
        <v>3</v>
      </c>
      <c r="F181" cm="1">
        <f t="array" aca="1" ref="F181" ca="1">INDEX($S$2:$S$31, RANDBETWEEN(1, COUNTA($S$2:$S$31)))</f>
        <v>39000</v>
      </c>
      <c r="G181" cm="1">
        <f t="array" aca="1" ref="G181" ca="1">INDEX($S$2:$S$31, RANDBETWEEN(1, COUNTA($S$2:$S$31)))</f>
        <v>65000</v>
      </c>
      <c r="H181">
        <f t="shared" ca="1" si="22"/>
        <v>12</v>
      </c>
      <c r="I181">
        <f t="shared" ca="1" si="23"/>
        <v>65000</v>
      </c>
      <c r="J181" s="10" t="str">
        <f t="shared" ca="1" si="24"/>
        <v>Offline</v>
      </c>
      <c r="K181" s="10">
        <f t="shared" ca="1" si="25"/>
        <v>65000</v>
      </c>
      <c r="L181" s="10">
        <f t="shared" ca="1" si="26"/>
        <v>195000</v>
      </c>
      <c r="M181" s="12" t="str" cm="1">
        <f t="array" aca="1" ref="M181" ca="1">INDEX($R$33:$R$82, RANDBETWEEN(1, COUNTA($R$33:$R$82)))</f>
        <v>NV8</v>
      </c>
      <c r="N181">
        <f t="shared" ca="1" si="27"/>
        <v>50</v>
      </c>
    </row>
    <row r="182" spans="1:14" ht="16.8" x14ac:dyDescent="0.3">
      <c r="A182" s="7" t="str">
        <f t="shared" si="19"/>
        <v>S0181</v>
      </c>
      <c r="B182" s="8">
        <f t="shared" ca="1" si="20"/>
        <v>44350</v>
      </c>
      <c r="C182" s="15" t="str" cm="1">
        <f t="array" aca="1" ref="C182" ca="1">INDEX($Q$2:$Q$31, RANDBETWEEN(1, COUNTA($Q$2:$Q$31)))</f>
        <v>Mocha</v>
      </c>
      <c r="D182" s="10" t="str" cm="1">
        <f t="array" aca="1" ref="D182" ca="1">INDEX($R$2:$R$310, RANDBETWEEN(1, COUNTA($Q$2:$Q$310)))</f>
        <v>S</v>
      </c>
      <c r="E182">
        <f t="shared" ca="1" si="21"/>
        <v>4</v>
      </c>
      <c r="F182" cm="1">
        <f t="array" aca="1" ref="F182" ca="1">INDEX($S$2:$S$31, RANDBETWEEN(1, COUNTA($S$2:$S$31)))</f>
        <v>49000</v>
      </c>
      <c r="G182" cm="1">
        <f t="array" aca="1" ref="G182" ca="1">INDEX($S$2:$S$31, RANDBETWEEN(1, COUNTA($S$2:$S$31)))</f>
        <v>49000</v>
      </c>
      <c r="H182">
        <f t="shared" ca="1" si="22"/>
        <v>10</v>
      </c>
      <c r="I182">
        <f t="shared" ca="1" si="23"/>
        <v>49000</v>
      </c>
      <c r="J182" s="10" t="str">
        <f t="shared" ca="1" si="24"/>
        <v>Offline</v>
      </c>
      <c r="K182" s="10">
        <f t="shared" ca="1" si="25"/>
        <v>49000</v>
      </c>
      <c r="L182" s="10">
        <f t="shared" ca="1" si="26"/>
        <v>196000</v>
      </c>
      <c r="M182" s="12" t="str" cm="1">
        <f t="array" aca="1" ref="M182" ca="1">INDEX($R$33:$R$82, RANDBETWEEN(1, COUNTA($R$33:$R$82)))</f>
        <v>NV34</v>
      </c>
      <c r="N182">
        <f t="shared" ca="1" si="27"/>
        <v>14</v>
      </c>
    </row>
    <row r="183" spans="1:14" ht="16.8" x14ac:dyDescent="0.3">
      <c r="A183" s="7" t="str">
        <f t="shared" si="19"/>
        <v>S0182</v>
      </c>
      <c r="B183" s="8">
        <f t="shared" ca="1" si="20"/>
        <v>44615</v>
      </c>
      <c r="C183" s="15" t="str" cm="1">
        <f t="array" aca="1" ref="C183" ca="1">INDEX($Q$2:$Q$31, RANDBETWEEN(1, COUNTA($Q$2:$Q$31)))</f>
        <v>Caramel Phin Freeze</v>
      </c>
      <c r="D183" s="10" t="str" cm="1">
        <f t="array" aca="1" ref="D183" ca="1">INDEX($R$2:$R$310, RANDBETWEEN(1, COUNTA($Q$2:$Q$310)))</f>
        <v>L</v>
      </c>
      <c r="E183">
        <f t="shared" ca="1" si="21"/>
        <v>4</v>
      </c>
      <c r="F183" cm="1">
        <f t="array" aca="1" ref="F183" ca="1">INDEX($S$2:$S$31, RANDBETWEEN(1, COUNTA($S$2:$S$31)))</f>
        <v>49000</v>
      </c>
      <c r="G183" cm="1">
        <f t="array" aca="1" ref="G183" ca="1">INDEX($S$2:$S$31, RANDBETWEEN(1, COUNTA($S$2:$S$31)))</f>
        <v>59000</v>
      </c>
      <c r="H183">
        <f t="shared" ca="1" si="22"/>
        <v>15</v>
      </c>
      <c r="I183">
        <f t="shared" ca="1" si="23"/>
        <v>59000</v>
      </c>
      <c r="J183" s="10" t="str">
        <f t="shared" ca="1" si="24"/>
        <v>Offline</v>
      </c>
      <c r="K183" s="10">
        <f t="shared" ca="1" si="25"/>
        <v>59000</v>
      </c>
      <c r="L183" s="10">
        <f t="shared" ca="1" si="26"/>
        <v>236000</v>
      </c>
      <c r="M183" s="12" t="str" cm="1">
        <f t="array" aca="1" ref="M183" ca="1">INDEX($R$33:$R$82, RANDBETWEEN(1, COUNTA($R$33:$R$82)))</f>
        <v>NV2</v>
      </c>
      <c r="N183">
        <f t="shared" ca="1" si="27"/>
        <v>37</v>
      </c>
    </row>
    <row r="184" spans="1:14" ht="16.8" x14ac:dyDescent="0.3">
      <c r="A184" s="7" t="str">
        <f t="shared" si="19"/>
        <v>S0183</v>
      </c>
      <c r="B184" s="8">
        <f t="shared" ca="1" si="20"/>
        <v>44603</v>
      </c>
      <c r="C184" s="15" t="str" cm="1">
        <f t="array" aca="1" ref="C184" ca="1">INDEX($Q$2:$Q$31, RANDBETWEEN(1, COUNTA($Q$2:$Q$31)))</f>
        <v>Mocha</v>
      </c>
      <c r="D184" s="10" t="str" cm="1">
        <f t="array" aca="1" ref="D184" ca="1">INDEX($R$2:$R$310, RANDBETWEEN(1, COUNTA($Q$2:$Q$310)))</f>
        <v>M</v>
      </c>
      <c r="E184">
        <f t="shared" ca="1" si="21"/>
        <v>5</v>
      </c>
      <c r="F184" cm="1">
        <f t="array" aca="1" ref="F184" ca="1">INDEX($S$2:$S$31, RANDBETWEEN(1, COUNTA($S$2:$S$31)))</f>
        <v>59000</v>
      </c>
      <c r="G184" cm="1">
        <f t="array" aca="1" ref="G184" ca="1">INDEX($S$2:$S$31, RANDBETWEEN(1, COUNTA($S$2:$S$31)))</f>
        <v>39000</v>
      </c>
      <c r="H184">
        <f t="shared" ca="1" si="22"/>
        <v>11</v>
      </c>
      <c r="I184">
        <f t="shared" ca="1" si="23"/>
        <v>39000</v>
      </c>
      <c r="J184" s="10" t="str">
        <f t="shared" ca="1" si="24"/>
        <v>Offline</v>
      </c>
      <c r="K184" s="10">
        <f t="shared" ca="1" si="25"/>
        <v>39000</v>
      </c>
      <c r="L184" s="10">
        <f t="shared" ca="1" si="26"/>
        <v>195000</v>
      </c>
      <c r="M184" s="12" t="str" cm="1">
        <f t="array" aca="1" ref="M184" ca="1">INDEX($R$33:$R$82, RANDBETWEEN(1, COUNTA($R$33:$R$82)))</f>
        <v>NV46</v>
      </c>
      <c r="N184">
        <f t="shared" ca="1" si="27"/>
        <v>9</v>
      </c>
    </row>
    <row r="185" spans="1:14" ht="16.8" x14ac:dyDescent="0.3">
      <c r="A185" s="7" t="str">
        <f t="shared" si="19"/>
        <v>S0184</v>
      </c>
      <c r="B185" s="8">
        <f t="shared" ca="1" si="20"/>
        <v>44511</v>
      </c>
      <c r="C185" s="15" t="str" cm="1">
        <f t="array" aca="1" ref="C185" ca="1">INDEX($Q$2:$Q$31, RANDBETWEEN(1, COUNTA($Q$2:$Q$31)))</f>
        <v>Cookies &amp; Cream</v>
      </c>
      <c r="D185" s="10" t="str" cm="1">
        <f t="array" aca="1" ref="D185" ca="1">INDEX($R$2:$R$310, RANDBETWEEN(1, COUNTA($Q$2:$Q$310)))</f>
        <v>L</v>
      </c>
      <c r="E185">
        <f t="shared" ca="1" si="21"/>
        <v>1</v>
      </c>
      <c r="F185" cm="1">
        <f t="array" aca="1" ref="F185" ca="1">INDEX($S$2:$S$31, RANDBETWEEN(1, COUNTA($S$2:$S$31)))</f>
        <v>69000</v>
      </c>
      <c r="G185" cm="1">
        <f t="array" aca="1" ref="G185" ca="1">INDEX($S$2:$S$31, RANDBETWEEN(1, COUNTA($S$2:$S$31)))</f>
        <v>75000</v>
      </c>
      <c r="H185">
        <f t="shared" ca="1" si="22"/>
        <v>14</v>
      </c>
      <c r="I185">
        <f t="shared" ca="1" si="23"/>
        <v>59340</v>
      </c>
      <c r="J185" s="10" t="str">
        <f t="shared" ca="1" si="24"/>
        <v>Online</v>
      </c>
      <c r="K185" s="10">
        <f t="shared" ca="1" si="25"/>
        <v>59340</v>
      </c>
      <c r="L185" s="10">
        <f t="shared" ca="1" si="26"/>
        <v>59340</v>
      </c>
      <c r="M185" s="12" t="str" cm="1">
        <f t="array" aca="1" ref="M185" ca="1">INDEX($R$33:$R$82, RANDBETWEEN(1, COUNTA($R$33:$R$82)))</f>
        <v>NV11</v>
      </c>
      <c r="N185">
        <f t="shared" ca="1" si="27"/>
        <v>44</v>
      </c>
    </row>
    <row r="186" spans="1:14" ht="16.8" x14ac:dyDescent="0.3">
      <c r="A186" s="7" t="str">
        <f t="shared" si="19"/>
        <v>S0185</v>
      </c>
      <c r="B186" s="8">
        <f t="shared" ca="1" si="20"/>
        <v>45238</v>
      </c>
      <c r="C186" s="15" t="str" cm="1">
        <f t="array" aca="1" ref="C186" ca="1">INDEX($Q$2:$Q$31, RANDBETWEEN(1, COUNTA($Q$2:$Q$31)))</f>
        <v>Latte</v>
      </c>
      <c r="D186" s="10" t="str" cm="1">
        <f t="array" aca="1" ref="D186" ca="1">INDEX($R$2:$R$310, RANDBETWEEN(1, COUNTA($Q$2:$Q$310)))</f>
        <v>M</v>
      </c>
      <c r="E186">
        <f t="shared" ca="1" si="21"/>
        <v>5</v>
      </c>
      <c r="F186" cm="1">
        <f t="array" aca="1" ref="F186" ca="1">INDEX($S$2:$S$31, RANDBETWEEN(1, COUNTA($S$2:$S$31)))</f>
        <v>29000</v>
      </c>
      <c r="G186" cm="1">
        <f t="array" aca="1" ref="G186" ca="1">INDEX($S$2:$S$31, RANDBETWEEN(1, COUNTA($S$2:$S$31)))</f>
        <v>59000</v>
      </c>
      <c r="H186">
        <f t="shared" ca="1" si="22"/>
        <v>6</v>
      </c>
      <c r="I186">
        <f t="shared" ca="1" si="23"/>
        <v>59000</v>
      </c>
      <c r="J186" s="10" t="str">
        <f t="shared" ca="1" si="24"/>
        <v>Offline</v>
      </c>
      <c r="K186" s="10">
        <f t="shared" ca="1" si="25"/>
        <v>59000</v>
      </c>
      <c r="L186" s="10">
        <f t="shared" ca="1" si="26"/>
        <v>295000</v>
      </c>
      <c r="M186" s="12" t="str" cm="1">
        <f t="array" aca="1" ref="M186" ca="1">INDEX($R$33:$R$82, RANDBETWEEN(1, COUNTA($R$33:$R$82)))</f>
        <v>NV7</v>
      </c>
      <c r="N186">
        <f t="shared" ca="1" si="27"/>
        <v>41</v>
      </c>
    </row>
    <row r="187" spans="1:14" ht="16.8" x14ac:dyDescent="0.3">
      <c r="A187" s="7" t="str">
        <f t="shared" si="19"/>
        <v>S0186</v>
      </c>
      <c r="B187" s="8">
        <f t="shared" ca="1" si="20"/>
        <v>44563</v>
      </c>
      <c r="C187" s="15" t="str" cm="1">
        <f t="array" aca="1" ref="C187" ca="1">INDEX($Q$2:$Q$31, RANDBETWEEN(1, COUNTA($Q$2:$Q$31)))</f>
        <v>Cookies &amp; Cream</v>
      </c>
      <c r="D187" s="10" t="str" cm="1">
        <f t="array" aca="1" ref="D187" ca="1">INDEX($R$2:$R$310, RANDBETWEEN(1, COUNTA($Q$2:$Q$310)))</f>
        <v>M</v>
      </c>
      <c r="E187">
        <f t="shared" ca="1" si="21"/>
        <v>5</v>
      </c>
      <c r="F187" cm="1">
        <f t="array" aca="1" ref="F187" ca="1">INDEX($S$2:$S$31, RANDBETWEEN(1, COUNTA($S$2:$S$31)))</f>
        <v>59000</v>
      </c>
      <c r="G187" cm="1">
        <f t="array" aca="1" ref="G187" ca="1">INDEX($S$2:$S$31, RANDBETWEEN(1, COUNTA($S$2:$S$31)))</f>
        <v>65000</v>
      </c>
      <c r="H187">
        <f t="shared" ca="1" si="22"/>
        <v>13</v>
      </c>
      <c r="I187">
        <f t="shared" ca="1" si="23"/>
        <v>65000</v>
      </c>
      <c r="J187" s="10" t="str">
        <f t="shared" ca="1" si="24"/>
        <v>Offline</v>
      </c>
      <c r="K187" s="10">
        <f t="shared" ca="1" si="25"/>
        <v>65000</v>
      </c>
      <c r="L187" s="10">
        <f t="shared" ca="1" si="26"/>
        <v>325000</v>
      </c>
      <c r="M187" s="12" t="str" cm="1">
        <f t="array" aca="1" ref="M187" ca="1">INDEX($R$33:$R$82, RANDBETWEEN(1, COUNTA($R$33:$R$82)))</f>
        <v>NV8</v>
      </c>
      <c r="N187">
        <f t="shared" ca="1" si="27"/>
        <v>8</v>
      </c>
    </row>
    <row r="188" spans="1:14" ht="16.8" x14ac:dyDescent="0.3">
      <c r="A188" s="7" t="str">
        <f t="shared" si="19"/>
        <v>S0187</v>
      </c>
      <c r="B188" s="8">
        <f t="shared" ca="1" si="20"/>
        <v>44747</v>
      </c>
      <c r="C188" s="15" t="str" cm="1">
        <f t="array" aca="1" ref="C188" ca="1">INDEX($Q$2:$Q$31, RANDBETWEEN(1, COUNTA($Q$2:$Q$31)))</f>
        <v xml:space="preserve">Chocolate Freeze </v>
      </c>
      <c r="D188" s="10" t="str" cm="1">
        <f t="array" aca="1" ref="D188" ca="1">INDEX($R$2:$R$310, RANDBETWEEN(1, COUNTA($Q$2:$Q$310)))</f>
        <v>M</v>
      </c>
      <c r="E188">
        <f t="shared" ca="1" si="21"/>
        <v>4</v>
      </c>
      <c r="F188" cm="1">
        <f t="array" aca="1" ref="F188" ca="1">INDEX($S$2:$S$31, RANDBETWEEN(1, COUNTA($S$2:$S$31)))</f>
        <v>59000</v>
      </c>
      <c r="G188" cm="1">
        <f t="array" aca="1" ref="G188" ca="1">INDEX($S$2:$S$31, RANDBETWEEN(1, COUNTA($S$2:$S$31)))</f>
        <v>59000</v>
      </c>
      <c r="H188">
        <f t="shared" ca="1" si="22"/>
        <v>13</v>
      </c>
      <c r="I188">
        <f t="shared" ca="1" si="23"/>
        <v>51330</v>
      </c>
      <c r="J188" s="10" t="str">
        <f t="shared" ca="1" si="24"/>
        <v>Online</v>
      </c>
      <c r="K188" s="10">
        <f t="shared" ca="1" si="25"/>
        <v>51330</v>
      </c>
      <c r="L188" s="10">
        <f t="shared" ca="1" si="26"/>
        <v>205320</v>
      </c>
      <c r="M188" s="12" t="str" cm="1">
        <f t="array" aca="1" ref="M188" ca="1">INDEX($R$33:$R$82, RANDBETWEEN(1, COUNTA($R$33:$R$82)))</f>
        <v>NV1</v>
      </c>
      <c r="N188">
        <f t="shared" ca="1" si="27"/>
        <v>26</v>
      </c>
    </row>
    <row r="189" spans="1:14" ht="16.8" x14ac:dyDescent="0.3">
      <c r="A189" s="7" t="str">
        <f t="shared" si="19"/>
        <v>S0188</v>
      </c>
      <c r="B189" s="8">
        <f t="shared" ca="1" si="20"/>
        <v>45094</v>
      </c>
      <c r="C189" s="15" t="str" cm="1">
        <f t="array" aca="1" ref="C189" ca="1">INDEX($Q$2:$Q$31, RANDBETWEEN(1, COUNTA($Q$2:$Q$31)))</f>
        <v>Americano</v>
      </c>
      <c r="D189" s="10" t="str" cm="1">
        <f t="array" aca="1" ref="D189" ca="1">INDEX($R$2:$R$310, RANDBETWEEN(1, COUNTA($Q$2:$Q$310)))</f>
        <v>L</v>
      </c>
      <c r="E189">
        <f t="shared" ca="1" si="21"/>
        <v>4</v>
      </c>
      <c r="F189" cm="1">
        <f t="array" aca="1" ref="F189" ca="1">INDEX($S$2:$S$31, RANDBETWEEN(1, COUNTA($S$2:$S$31)))</f>
        <v>49000</v>
      </c>
      <c r="G189" cm="1">
        <f t="array" aca="1" ref="G189" ca="1">INDEX($S$2:$S$31, RANDBETWEEN(1, COUNTA($S$2:$S$31)))</f>
        <v>65000</v>
      </c>
      <c r="H189">
        <f t="shared" ca="1" si="22"/>
        <v>7</v>
      </c>
      <c r="I189">
        <f t="shared" ca="1" si="23"/>
        <v>65000</v>
      </c>
      <c r="J189" s="10" t="str">
        <f t="shared" ca="1" si="24"/>
        <v>Offline</v>
      </c>
      <c r="K189" s="10">
        <f t="shared" ca="1" si="25"/>
        <v>65000</v>
      </c>
      <c r="L189" s="10">
        <f t="shared" ca="1" si="26"/>
        <v>260000</v>
      </c>
      <c r="M189" s="12" t="str" cm="1">
        <f t="array" aca="1" ref="M189" ca="1">INDEX($R$33:$R$82, RANDBETWEEN(1, COUNTA($R$33:$R$82)))</f>
        <v>NV16</v>
      </c>
      <c r="N189">
        <f t="shared" ca="1" si="27"/>
        <v>4</v>
      </c>
    </row>
    <row r="190" spans="1:14" ht="16.8" x14ac:dyDescent="0.3">
      <c r="A190" s="7" t="str">
        <f t="shared" si="19"/>
        <v>S0189</v>
      </c>
      <c r="B190" s="8">
        <f t="shared" ca="1" si="20"/>
        <v>44839</v>
      </c>
      <c r="C190" s="15" t="str" cm="1">
        <f t="array" aca="1" ref="C190" ca="1">INDEX($Q$2:$Q$31, RANDBETWEEN(1, COUNTA($Q$2:$Q$31)))</f>
        <v>Cookies &amp; Cream</v>
      </c>
      <c r="D190" s="10" t="str" cm="1">
        <f t="array" aca="1" ref="D190" ca="1">INDEX($R$2:$R$310, RANDBETWEEN(1, COUNTA($Q$2:$Q$310)))</f>
        <v>L</v>
      </c>
      <c r="E190">
        <f t="shared" ca="1" si="21"/>
        <v>3</v>
      </c>
      <c r="F190" cm="1">
        <f t="array" aca="1" ref="F190" ca="1">INDEX($S$2:$S$31, RANDBETWEEN(1, COUNTA($S$2:$S$31)))</f>
        <v>39000</v>
      </c>
      <c r="G190" cm="1">
        <f t="array" aca="1" ref="G190" ca="1">INDEX($S$2:$S$31, RANDBETWEEN(1, COUNTA($S$2:$S$31)))</f>
        <v>49000</v>
      </c>
      <c r="H190">
        <f t="shared" ca="1" si="22"/>
        <v>15</v>
      </c>
      <c r="I190">
        <f t="shared" ca="1" si="23"/>
        <v>33150</v>
      </c>
      <c r="J190" s="10" t="str">
        <f t="shared" ca="1" si="24"/>
        <v>Online</v>
      </c>
      <c r="K190" s="10">
        <f t="shared" ca="1" si="25"/>
        <v>33150</v>
      </c>
      <c r="L190" s="10">
        <f t="shared" ca="1" si="26"/>
        <v>99450</v>
      </c>
      <c r="M190" s="12" t="str" cm="1">
        <f t="array" aca="1" ref="M190" ca="1">INDEX($R$33:$R$82, RANDBETWEEN(1, COUNTA($R$33:$R$82)))</f>
        <v>NV48</v>
      </c>
      <c r="N190">
        <f t="shared" ca="1" si="27"/>
        <v>16</v>
      </c>
    </row>
    <row r="191" spans="1:14" ht="16.8" x14ac:dyDescent="0.3">
      <c r="A191" s="7" t="str">
        <f t="shared" ref="A191:A254" si="28">"S"&amp;TEXT(ROW()-1,"0000")</f>
        <v>S0190</v>
      </c>
      <c r="B191" s="8">
        <f t="shared" ref="B191:B254" ca="1" si="29">DATE(2021,1,1) + RANDBETWEEN(0,1095)</f>
        <v>44522</v>
      </c>
      <c r="C191" s="15" t="str" cm="1">
        <f t="array" aca="1" ref="C191" ca="1">INDEX($Q$2:$Q$31, RANDBETWEEN(1, COUNTA($Q$2:$Q$31)))</f>
        <v>Cookies &amp; Cream</v>
      </c>
      <c r="D191" s="10" t="str" cm="1">
        <f t="array" aca="1" ref="D191" ca="1">INDEX($R$2:$R$310, RANDBETWEEN(1, COUNTA($Q$2:$Q$310)))</f>
        <v>L</v>
      </c>
      <c r="E191">
        <f t="shared" ref="E191:E254" ca="1" si="30">RANDBETWEEN(1,5)</f>
        <v>5</v>
      </c>
      <c r="F191" cm="1">
        <f t="array" aca="1" ref="F191" ca="1">INDEX($S$2:$S$31, RANDBETWEEN(1, COUNTA($S$2:$S$31)))</f>
        <v>59000</v>
      </c>
      <c r="G191" cm="1">
        <f t="array" aca="1" ref="G191" ca="1">INDEX($S$2:$S$31, RANDBETWEEN(1, COUNTA($S$2:$S$31)))</f>
        <v>65000</v>
      </c>
      <c r="H191">
        <f t="shared" ca="1" si="22"/>
        <v>5</v>
      </c>
      <c r="I191">
        <f t="shared" ca="1" si="23"/>
        <v>56050</v>
      </c>
      <c r="J191" s="10" t="str">
        <f t="shared" ca="1" si="24"/>
        <v>Online</v>
      </c>
      <c r="K191" s="10">
        <f t="shared" ca="1" si="25"/>
        <v>56050</v>
      </c>
      <c r="L191" s="10">
        <f t="shared" ca="1" si="26"/>
        <v>280250</v>
      </c>
      <c r="M191" s="12" t="str" cm="1">
        <f t="array" aca="1" ref="M191" ca="1">INDEX($R$33:$R$82, RANDBETWEEN(1, COUNTA($R$33:$R$82)))</f>
        <v>NV43</v>
      </c>
      <c r="N191">
        <f t="shared" ca="1" si="27"/>
        <v>22</v>
      </c>
    </row>
    <row r="192" spans="1:14" ht="16.8" x14ac:dyDescent="0.3">
      <c r="A192" s="7" t="str">
        <f t="shared" si="28"/>
        <v>S0191</v>
      </c>
      <c r="B192" s="8">
        <f t="shared" ca="1" si="29"/>
        <v>45065</v>
      </c>
      <c r="C192" s="15" t="str" cm="1">
        <f t="array" aca="1" ref="C192" ca="1">INDEX($Q$2:$Q$31, RANDBETWEEN(1, COUNTA($Q$2:$Q$31)))</f>
        <v>Cookies &amp; Cream</v>
      </c>
      <c r="D192" s="10" t="str" cm="1">
        <f t="array" aca="1" ref="D192" ca="1">INDEX($R$2:$R$310, RANDBETWEEN(1, COUNTA($Q$2:$Q$310)))</f>
        <v>M</v>
      </c>
      <c r="E192">
        <f t="shared" ca="1" si="30"/>
        <v>1</v>
      </c>
      <c r="F192" cm="1">
        <f t="array" aca="1" ref="F192" ca="1">INDEX($S$2:$S$31, RANDBETWEEN(1, COUNTA($S$2:$S$31)))</f>
        <v>55000</v>
      </c>
      <c r="G192" cm="1">
        <f t="array" aca="1" ref="G192" ca="1">INDEX($S$2:$S$31, RANDBETWEEN(1, COUNTA($S$2:$S$31)))</f>
        <v>55000</v>
      </c>
      <c r="H192">
        <f t="shared" ca="1" si="22"/>
        <v>11</v>
      </c>
      <c r="I192">
        <f t="shared" ca="1" si="23"/>
        <v>48950</v>
      </c>
      <c r="J192" s="10" t="str">
        <f t="shared" ca="1" si="24"/>
        <v>Online</v>
      </c>
      <c r="K192" s="10">
        <f t="shared" ca="1" si="25"/>
        <v>48950</v>
      </c>
      <c r="L192" s="10">
        <f t="shared" ca="1" si="26"/>
        <v>48950</v>
      </c>
      <c r="M192" s="12" t="str" cm="1">
        <f t="array" aca="1" ref="M192" ca="1">INDEX($R$33:$R$82, RANDBETWEEN(1, COUNTA($R$33:$R$82)))</f>
        <v>NV20</v>
      </c>
      <c r="N192">
        <f t="shared" ca="1" si="27"/>
        <v>3</v>
      </c>
    </row>
    <row r="193" spans="1:14" ht="16.8" x14ac:dyDescent="0.3">
      <c r="A193" s="7" t="str">
        <f t="shared" si="28"/>
        <v>S0192</v>
      </c>
      <c r="B193" s="8">
        <f t="shared" ca="1" si="29"/>
        <v>44611</v>
      </c>
      <c r="C193" s="15" t="str" cm="1">
        <f t="array" aca="1" ref="C193" ca="1">INDEX($Q$2:$Q$31, RANDBETWEEN(1, COUNTA($Q$2:$Q$31)))</f>
        <v>Iced Black Coffee</v>
      </c>
      <c r="D193" s="10" t="str" cm="1">
        <f t="array" aca="1" ref="D193" ca="1">INDEX($R$2:$R$310, RANDBETWEEN(1, COUNTA($Q$2:$Q$310)))</f>
        <v>S</v>
      </c>
      <c r="E193">
        <f t="shared" ca="1" si="30"/>
        <v>3</v>
      </c>
      <c r="F193" cm="1">
        <f t="array" aca="1" ref="F193" ca="1">INDEX($S$2:$S$31, RANDBETWEEN(1, COUNTA($S$2:$S$31)))</f>
        <v>59000</v>
      </c>
      <c r="G193" cm="1">
        <f t="array" aca="1" ref="G193" ca="1">INDEX($S$2:$S$31, RANDBETWEEN(1, COUNTA($S$2:$S$31)))</f>
        <v>55000</v>
      </c>
      <c r="H193">
        <f t="shared" ca="1" si="22"/>
        <v>11</v>
      </c>
      <c r="I193">
        <f t="shared" ca="1" si="23"/>
        <v>52510</v>
      </c>
      <c r="J193" s="10" t="str">
        <f t="shared" ca="1" si="24"/>
        <v>Online</v>
      </c>
      <c r="K193" s="10">
        <f t="shared" ca="1" si="25"/>
        <v>52510</v>
      </c>
      <c r="L193" s="10">
        <f t="shared" ca="1" si="26"/>
        <v>157530</v>
      </c>
      <c r="M193" s="12" t="str" cm="1">
        <f t="array" aca="1" ref="M193" ca="1">INDEX($R$33:$R$82, RANDBETWEEN(1, COUNTA($R$33:$R$82)))</f>
        <v>NV37</v>
      </c>
      <c r="N193">
        <f t="shared" ca="1" si="27"/>
        <v>22</v>
      </c>
    </row>
    <row r="194" spans="1:14" ht="16.8" x14ac:dyDescent="0.3">
      <c r="A194" s="7" t="str">
        <f t="shared" si="28"/>
        <v>S0193</v>
      </c>
      <c r="B194" s="8">
        <f t="shared" ca="1" si="29"/>
        <v>45223</v>
      </c>
      <c r="C194" s="15" t="str" cm="1">
        <f t="array" aca="1" ref="C194" ca="1">INDEX($Q$2:$Q$31, RANDBETWEEN(1, COUNTA($Q$2:$Q$31)))</f>
        <v>Cappuccino</v>
      </c>
      <c r="D194" s="10" t="str" cm="1">
        <f t="array" aca="1" ref="D194" ca="1">INDEX($R$2:$R$310, RANDBETWEEN(1, COUNTA($Q$2:$Q$310)))</f>
        <v>L</v>
      </c>
      <c r="E194">
        <f t="shared" ca="1" si="30"/>
        <v>5</v>
      </c>
      <c r="F194" cm="1">
        <f t="array" aca="1" ref="F194" ca="1">INDEX($S$2:$S$31, RANDBETWEEN(1, COUNTA($S$2:$S$31)))</f>
        <v>49000</v>
      </c>
      <c r="G194" cm="1">
        <f t="array" aca="1" ref="G194" ca="1">INDEX($S$2:$S$31, RANDBETWEEN(1, COUNTA($S$2:$S$31)))</f>
        <v>65000</v>
      </c>
      <c r="H194">
        <f t="shared" ca="1" si="22"/>
        <v>6</v>
      </c>
      <c r="I194">
        <f t="shared" ca="1" si="23"/>
        <v>65000</v>
      </c>
      <c r="J194" s="10" t="str">
        <f t="shared" ca="1" si="24"/>
        <v>Offline</v>
      </c>
      <c r="K194" s="10">
        <f t="shared" ca="1" si="25"/>
        <v>65000</v>
      </c>
      <c r="L194" s="10">
        <f t="shared" ca="1" si="26"/>
        <v>325000</v>
      </c>
      <c r="M194" s="12" t="str" cm="1">
        <f t="array" aca="1" ref="M194" ca="1">INDEX($R$33:$R$82, RANDBETWEEN(1, COUNTA($R$33:$R$82)))</f>
        <v>NV21</v>
      </c>
      <c r="N194">
        <f t="shared" ca="1" si="27"/>
        <v>51</v>
      </c>
    </row>
    <row r="195" spans="1:14" ht="16.8" x14ac:dyDescent="0.3">
      <c r="A195" s="7" t="str">
        <f t="shared" si="28"/>
        <v>S0194</v>
      </c>
      <c r="B195" s="8">
        <f t="shared" ca="1" si="29"/>
        <v>44372</v>
      </c>
      <c r="C195" s="15" t="str" cm="1">
        <f t="array" aca="1" ref="C195" ca="1">INDEX($Q$2:$Q$31, RANDBETWEEN(1, COUNTA($Q$2:$Q$31)))</f>
        <v xml:space="preserve">Green Tea Freeze </v>
      </c>
      <c r="D195" s="10" t="str" cm="1">
        <f t="array" aca="1" ref="D195" ca="1">INDEX($R$2:$R$310, RANDBETWEEN(1, COUNTA($Q$2:$Q$310)))</f>
        <v>L</v>
      </c>
      <c r="E195">
        <f t="shared" ca="1" si="30"/>
        <v>3</v>
      </c>
      <c r="F195" cm="1">
        <f t="array" aca="1" ref="F195" ca="1">INDEX($S$2:$S$31, RANDBETWEEN(1, COUNTA($S$2:$S$31)))</f>
        <v>65000</v>
      </c>
      <c r="G195" cm="1">
        <f t="array" aca="1" ref="G195" ca="1">INDEX($S$2:$S$31, RANDBETWEEN(1, COUNTA($S$2:$S$31)))</f>
        <v>65000</v>
      </c>
      <c r="H195">
        <f t="shared" ref="H195:H258" ca="1" si="31">RANDBETWEEN(5,15)</f>
        <v>5</v>
      </c>
      <c r="I195">
        <f t="shared" ref="I195:I258" ca="1" si="32">IF(J195="Online", F195*(1-H195/100), G195)</f>
        <v>65000</v>
      </c>
      <c r="J195" s="10" t="str">
        <f t="shared" ref="J195:J258" ca="1" si="33">IF(RANDBETWEEN(1,2)=1,"Online","Offline")</f>
        <v>Offline</v>
      </c>
      <c r="K195" s="10">
        <f t="shared" ref="K195:K258" ca="1" si="34">I195</f>
        <v>65000</v>
      </c>
      <c r="L195" s="10">
        <f t="shared" ref="L195:L258" ca="1" si="35">E195*K195</f>
        <v>195000</v>
      </c>
      <c r="M195" s="12" t="str" cm="1">
        <f t="array" aca="1" ref="M195" ca="1">INDEX($R$33:$R$82, RANDBETWEEN(1, COUNTA($R$33:$R$82)))</f>
        <v>NV5</v>
      </c>
      <c r="N195">
        <f t="shared" ref="N195:N258" ca="1" si="36" xml:space="preserve"> RANDBETWEEN(2,51)</f>
        <v>47</v>
      </c>
    </row>
    <row r="196" spans="1:14" ht="16.8" x14ac:dyDescent="0.3">
      <c r="A196" s="7" t="str">
        <f t="shared" si="28"/>
        <v>S0195</v>
      </c>
      <c r="B196" s="8">
        <f t="shared" ca="1" si="29"/>
        <v>44622</v>
      </c>
      <c r="C196" s="15" t="str" cm="1">
        <f t="array" aca="1" ref="C196" ca="1">INDEX($Q$2:$Q$31, RANDBETWEEN(1, COUNTA($Q$2:$Q$31)))</f>
        <v>Classic Phin Freeze</v>
      </c>
      <c r="D196" s="10" t="str" cm="1">
        <f t="array" aca="1" ref="D196" ca="1">INDEX($R$2:$R$310, RANDBETWEEN(1, COUNTA($Q$2:$Q$310)))</f>
        <v>L</v>
      </c>
      <c r="E196">
        <f t="shared" ca="1" si="30"/>
        <v>1</v>
      </c>
      <c r="F196" cm="1">
        <f t="array" aca="1" ref="F196" ca="1">INDEX($S$2:$S$31, RANDBETWEEN(1, COUNTA($S$2:$S$31)))</f>
        <v>65000</v>
      </c>
      <c r="G196" cm="1">
        <f t="array" aca="1" ref="G196" ca="1">INDEX($S$2:$S$31, RANDBETWEEN(1, COUNTA($S$2:$S$31)))</f>
        <v>65000</v>
      </c>
      <c r="H196">
        <f t="shared" ca="1" si="31"/>
        <v>7</v>
      </c>
      <c r="I196">
        <f t="shared" ca="1" si="32"/>
        <v>60449.999999999993</v>
      </c>
      <c r="J196" s="10" t="str">
        <f t="shared" ca="1" si="33"/>
        <v>Online</v>
      </c>
      <c r="K196" s="10">
        <f t="shared" ca="1" si="34"/>
        <v>60449.999999999993</v>
      </c>
      <c r="L196" s="10">
        <f t="shared" ca="1" si="35"/>
        <v>60449.999999999993</v>
      </c>
      <c r="M196" s="12" t="str" cm="1">
        <f t="array" aca="1" ref="M196" ca="1">INDEX($R$33:$R$82, RANDBETWEEN(1, COUNTA($R$33:$R$82)))</f>
        <v>NV16</v>
      </c>
      <c r="N196">
        <f t="shared" ca="1" si="36"/>
        <v>22</v>
      </c>
    </row>
    <row r="197" spans="1:14" ht="16.8" x14ac:dyDescent="0.3">
      <c r="A197" s="7" t="str">
        <f t="shared" si="28"/>
        <v>S0196</v>
      </c>
      <c r="B197" s="8">
        <f t="shared" ca="1" si="29"/>
        <v>44325</v>
      </c>
      <c r="C197" s="15" t="str" cm="1">
        <f t="array" aca="1" ref="C197" ca="1">INDEX($Q$2:$Q$31, RANDBETWEEN(1, COUNTA($Q$2:$Q$31)))</f>
        <v>Mocha</v>
      </c>
      <c r="D197" s="10" t="str" cm="1">
        <f t="array" aca="1" ref="D197" ca="1">INDEX($R$2:$R$310, RANDBETWEEN(1, COUNTA($Q$2:$Q$310)))</f>
        <v>L</v>
      </c>
      <c r="E197">
        <f t="shared" ca="1" si="30"/>
        <v>1</v>
      </c>
      <c r="F197" cm="1">
        <f t="array" aca="1" ref="F197" ca="1">INDEX($S$2:$S$31, RANDBETWEEN(1, COUNTA($S$2:$S$31)))</f>
        <v>45000</v>
      </c>
      <c r="G197" cm="1">
        <f t="array" aca="1" ref="G197" ca="1">INDEX($S$2:$S$31, RANDBETWEEN(1, COUNTA($S$2:$S$31)))</f>
        <v>59000</v>
      </c>
      <c r="H197">
        <f t="shared" ca="1" si="31"/>
        <v>15</v>
      </c>
      <c r="I197">
        <f t="shared" ca="1" si="32"/>
        <v>38250</v>
      </c>
      <c r="J197" s="10" t="str">
        <f t="shared" ca="1" si="33"/>
        <v>Online</v>
      </c>
      <c r="K197" s="10">
        <f t="shared" ca="1" si="34"/>
        <v>38250</v>
      </c>
      <c r="L197" s="10">
        <f t="shared" ca="1" si="35"/>
        <v>38250</v>
      </c>
      <c r="M197" s="12" t="str" cm="1">
        <f t="array" aca="1" ref="M197" ca="1">INDEX($R$33:$R$82, RANDBETWEEN(1, COUNTA($R$33:$R$82)))</f>
        <v>NV1</v>
      </c>
      <c r="N197">
        <f t="shared" ca="1" si="36"/>
        <v>35</v>
      </c>
    </row>
    <row r="198" spans="1:14" ht="16.8" x14ac:dyDescent="0.3">
      <c r="A198" s="7" t="str">
        <f t="shared" si="28"/>
        <v>S0197</v>
      </c>
      <c r="B198" s="8">
        <f t="shared" ca="1" si="29"/>
        <v>44590</v>
      </c>
      <c r="C198" s="15" t="str" cm="1">
        <f t="array" aca="1" ref="C198" ca="1">INDEX($Q$2:$Q$31, RANDBETWEEN(1, COUNTA($Q$2:$Q$31)))</f>
        <v>Classic Phin Freeze</v>
      </c>
      <c r="D198" s="10" t="str" cm="1">
        <f t="array" aca="1" ref="D198" ca="1">INDEX($R$2:$R$310, RANDBETWEEN(1, COUNTA($Q$2:$Q$310)))</f>
        <v>S</v>
      </c>
      <c r="E198">
        <f t="shared" ca="1" si="30"/>
        <v>4</v>
      </c>
      <c r="F198" cm="1">
        <f t="array" aca="1" ref="F198" ca="1">INDEX($S$2:$S$31, RANDBETWEEN(1, COUNTA($S$2:$S$31)))</f>
        <v>69000</v>
      </c>
      <c r="G198" cm="1">
        <f t="array" aca="1" ref="G198" ca="1">INDEX($S$2:$S$31, RANDBETWEEN(1, COUNTA($S$2:$S$31)))</f>
        <v>39000</v>
      </c>
      <c r="H198">
        <f t="shared" ca="1" si="31"/>
        <v>7</v>
      </c>
      <c r="I198">
        <f t="shared" ca="1" si="32"/>
        <v>39000</v>
      </c>
      <c r="J198" s="10" t="str">
        <f t="shared" ca="1" si="33"/>
        <v>Offline</v>
      </c>
      <c r="K198" s="10">
        <f t="shared" ca="1" si="34"/>
        <v>39000</v>
      </c>
      <c r="L198" s="10">
        <f t="shared" ca="1" si="35"/>
        <v>156000</v>
      </c>
      <c r="M198" s="12" t="str" cm="1">
        <f t="array" aca="1" ref="M198" ca="1">INDEX($R$33:$R$82, RANDBETWEEN(1, COUNTA($R$33:$R$82)))</f>
        <v>NV32</v>
      </c>
      <c r="N198">
        <f t="shared" ca="1" si="36"/>
        <v>11</v>
      </c>
    </row>
    <row r="199" spans="1:14" ht="16.8" x14ac:dyDescent="0.3">
      <c r="A199" s="7" t="str">
        <f t="shared" si="28"/>
        <v>S0198</v>
      </c>
      <c r="B199" s="8">
        <f t="shared" ca="1" si="29"/>
        <v>44856</v>
      </c>
      <c r="C199" s="15" t="str" cm="1">
        <f t="array" aca="1" ref="C199" ca="1">INDEX($Q$2:$Q$31, RANDBETWEEN(1, COUNTA($Q$2:$Q$31)))</f>
        <v>Mocha</v>
      </c>
      <c r="D199" s="10" t="str" cm="1">
        <f t="array" aca="1" ref="D199" ca="1">INDEX($R$2:$R$310, RANDBETWEEN(1, COUNTA($Q$2:$Q$310)))</f>
        <v>M</v>
      </c>
      <c r="E199">
        <f t="shared" ca="1" si="30"/>
        <v>2</v>
      </c>
      <c r="F199" cm="1">
        <f t="array" aca="1" ref="F199" ca="1">INDEX($S$2:$S$31, RANDBETWEEN(1, COUNTA($S$2:$S$31)))</f>
        <v>59000</v>
      </c>
      <c r="G199" cm="1">
        <f t="array" aca="1" ref="G199" ca="1">INDEX($S$2:$S$31, RANDBETWEEN(1, COUNTA($S$2:$S$31)))</f>
        <v>35000</v>
      </c>
      <c r="H199">
        <f t="shared" ca="1" si="31"/>
        <v>10</v>
      </c>
      <c r="I199">
        <f t="shared" ca="1" si="32"/>
        <v>53100</v>
      </c>
      <c r="J199" s="10" t="str">
        <f t="shared" ca="1" si="33"/>
        <v>Online</v>
      </c>
      <c r="K199" s="10">
        <f t="shared" ca="1" si="34"/>
        <v>53100</v>
      </c>
      <c r="L199" s="10">
        <f t="shared" ca="1" si="35"/>
        <v>106200</v>
      </c>
      <c r="M199" s="12" t="str" cm="1">
        <f t="array" aca="1" ref="M199" ca="1">INDEX($R$33:$R$82, RANDBETWEEN(1, COUNTA($R$33:$R$82)))</f>
        <v>NV8</v>
      </c>
      <c r="N199">
        <f t="shared" ca="1" si="36"/>
        <v>16</v>
      </c>
    </row>
    <row r="200" spans="1:14" ht="16.8" x14ac:dyDescent="0.3">
      <c r="A200" s="7" t="str">
        <f t="shared" si="28"/>
        <v>S0199</v>
      </c>
      <c r="B200" s="8">
        <f t="shared" ca="1" si="29"/>
        <v>44642</v>
      </c>
      <c r="C200" s="15" t="str" cm="1">
        <f t="array" aca="1" ref="C200" ca="1">INDEX($Q$2:$Q$31, RANDBETWEEN(1, COUNTA($Q$2:$Q$31)))</f>
        <v>Classic Phin Freeze</v>
      </c>
      <c r="D200" s="10" t="str" cm="1">
        <f t="array" aca="1" ref="D200" ca="1">INDEX($R$2:$R$310, RANDBETWEEN(1, COUNTA($Q$2:$Q$310)))</f>
        <v>M</v>
      </c>
      <c r="E200">
        <f t="shared" ca="1" si="30"/>
        <v>5</v>
      </c>
      <c r="F200" cm="1">
        <f t="array" aca="1" ref="F200" ca="1">INDEX($S$2:$S$31, RANDBETWEEN(1, COUNTA($S$2:$S$31)))</f>
        <v>65000</v>
      </c>
      <c r="G200" cm="1">
        <f t="array" aca="1" ref="G200" ca="1">INDEX($S$2:$S$31, RANDBETWEEN(1, COUNTA($S$2:$S$31)))</f>
        <v>49000</v>
      </c>
      <c r="H200">
        <f t="shared" ca="1" si="31"/>
        <v>13</v>
      </c>
      <c r="I200">
        <f t="shared" ca="1" si="32"/>
        <v>56550</v>
      </c>
      <c r="J200" s="10" t="str">
        <f t="shared" ca="1" si="33"/>
        <v>Online</v>
      </c>
      <c r="K200" s="10">
        <f t="shared" ca="1" si="34"/>
        <v>56550</v>
      </c>
      <c r="L200" s="10">
        <f t="shared" ca="1" si="35"/>
        <v>282750</v>
      </c>
      <c r="M200" s="12" t="str" cm="1">
        <f t="array" aca="1" ref="M200" ca="1">INDEX($R$33:$R$82, RANDBETWEEN(1, COUNTA($R$33:$R$82)))</f>
        <v>NV18</v>
      </c>
      <c r="N200">
        <f t="shared" ca="1" si="36"/>
        <v>35</v>
      </c>
    </row>
    <row r="201" spans="1:14" ht="16.8" x14ac:dyDescent="0.3">
      <c r="A201" s="7" t="str">
        <f t="shared" si="28"/>
        <v>S0200</v>
      </c>
      <c r="B201" s="8">
        <f t="shared" ca="1" si="29"/>
        <v>44702</v>
      </c>
      <c r="C201" s="15" t="str" cm="1">
        <f t="array" aca="1" ref="C201" ca="1">INDEX($Q$2:$Q$31, RANDBETWEEN(1, COUNTA($Q$2:$Q$31)))</f>
        <v>Cookies &amp; Cream</v>
      </c>
      <c r="D201" s="10" t="str" cm="1">
        <f t="array" aca="1" ref="D201" ca="1">INDEX($R$2:$R$310, RANDBETWEEN(1, COUNTA($Q$2:$Q$310)))</f>
        <v>L</v>
      </c>
      <c r="E201">
        <f t="shared" ca="1" si="30"/>
        <v>3</v>
      </c>
      <c r="F201" cm="1">
        <f t="array" aca="1" ref="F201" ca="1">INDEX($S$2:$S$31, RANDBETWEEN(1, COUNTA($S$2:$S$31)))</f>
        <v>35000</v>
      </c>
      <c r="G201" cm="1">
        <f t="array" aca="1" ref="G201" ca="1">INDEX($S$2:$S$31, RANDBETWEEN(1, COUNTA($S$2:$S$31)))</f>
        <v>49000</v>
      </c>
      <c r="H201">
        <f t="shared" ca="1" si="31"/>
        <v>5</v>
      </c>
      <c r="I201">
        <f t="shared" ca="1" si="32"/>
        <v>33250</v>
      </c>
      <c r="J201" s="10" t="str">
        <f t="shared" ca="1" si="33"/>
        <v>Online</v>
      </c>
      <c r="K201" s="10">
        <f t="shared" ca="1" si="34"/>
        <v>33250</v>
      </c>
      <c r="L201" s="10">
        <f t="shared" ca="1" si="35"/>
        <v>99750</v>
      </c>
      <c r="M201" s="12" t="str" cm="1">
        <f t="array" aca="1" ref="M201" ca="1">INDEX($R$33:$R$82, RANDBETWEEN(1, COUNTA($R$33:$R$82)))</f>
        <v>NV38</v>
      </c>
      <c r="N201">
        <f t="shared" ca="1" si="36"/>
        <v>5</v>
      </c>
    </row>
    <row r="202" spans="1:14" ht="16.8" x14ac:dyDescent="0.3">
      <c r="A202" s="7" t="str">
        <f t="shared" si="28"/>
        <v>S0201</v>
      </c>
      <c r="B202" s="8">
        <f t="shared" ca="1" si="29"/>
        <v>44833</v>
      </c>
      <c r="C202" s="15" t="str" cm="1">
        <f t="array" aca="1" ref="C202" ca="1">INDEX($Q$2:$Q$31, RANDBETWEEN(1, COUNTA($Q$2:$Q$31)))</f>
        <v>Iced Black Coffee</v>
      </c>
      <c r="D202" s="10" t="str" cm="1">
        <f t="array" aca="1" ref="D202" ca="1">INDEX($R$2:$R$310, RANDBETWEEN(1, COUNTA($Q$2:$Q$310)))</f>
        <v>M</v>
      </c>
      <c r="E202">
        <f t="shared" ca="1" si="30"/>
        <v>3</v>
      </c>
      <c r="F202" cm="1">
        <f t="array" aca="1" ref="F202" ca="1">INDEX($S$2:$S$31, RANDBETWEEN(1, COUNTA($S$2:$S$31)))</f>
        <v>59000</v>
      </c>
      <c r="G202" cm="1">
        <f t="array" aca="1" ref="G202" ca="1">INDEX($S$2:$S$31, RANDBETWEEN(1, COUNTA($S$2:$S$31)))</f>
        <v>69000</v>
      </c>
      <c r="H202">
        <f t="shared" ca="1" si="31"/>
        <v>8</v>
      </c>
      <c r="I202">
        <f t="shared" ca="1" si="32"/>
        <v>69000</v>
      </c>
      <c r="J202" s="10" t="str">
        <f t="shared" ca="1" si="33"/>
        <v>Offline</v>
      </c>
      <c r="K202" s="10">
        <f t="shared" ca="1" si="34"/>
        <v>69000</v>
      </c>
      <c r="L202" s="10">
        <f t="shared" ca="1" si="35"/>
        <v>207000</v>
      </c>
      <c r="M202" s="12" t="str" cm="1">
        <f t="array" aca="1" ref="M202" ca="1">INDEX($R$33:$R$82, RANDBETWEEN(1, COUNTA($R$33:$R$82)))</f>
        <v>NV47</v>
      </c>
      <c r="N202">
        <f t="shared" ca="1" si="36"/>
        <v>6</v>
      </c>
    </row>
    <row r="203" spans="1:14" ht="16.8" x14ac:dyDescent="0.3">
      <c r="A203" s="7" t="str">
        <f t="shared" si="28"/>
        <v>S0202</v>
      </c>
      <c r="B203" s="8">
        <f t="shared" ca="1" si="29"/>
        <v>45021</v>
      </c>
      <c r="C203" s="15" t="str" cm="1">
        <f t="array" aca="1" ref="C203" ca="1">INDEX($Q$2:$Q$31, RANDBETWEEN(1, COUNTA($Q$2:$Q$31)))</f>
        <v xml:space="preserve">Chocolate Freeze </v>
      </c>
      <c r="D203" s="10" t="str" cm="1">
        <f t="array" aca="1" ref="D203" ca="1">INDEX($R$2:$R$310, RANDBETWEEN(1, COUNTA($Q$2:$Q$310)))</f>
        <v>M</v>
      </c>
      <c r="E203">
        <f t="shared" ca="1" si="30"/>
        <v>5</v>
      </c>
      <c r="F203" cm="1">
        <f t="array" aca="1" ref="F203" ca="1">INDEX($S$2:$S$31, RANDBETWEEN(1, COUNTA($S$2:$S$31)))</f>
        <v>55000</v>
      </c>
      <c r="G203" cm="1">
        <f t="array" aca="1" ref="G203" ca="1">INDEX($S$2:$S$31, RANDBETWEEN(1, COUNTA($S$2:$S$31)))</f>
        <v>65000</v>
      </c>
      <c r="H203">
        <f t="shared" ca="1" si="31"/>
        <v>9</v>
      </c>
      <c r="I203">
        <f t="shared" ca="1" si="32"/>
        <v>65000</v>
      </c>
      <c r="J203" s="10" t="str">
        <f t="shared" ca="1" si="33"/>
        <v>Offline</v>
      </c>
      <c r="K203" s="10">
        <f t="shared" ca="1" si="34"/>
        <v>65000</v>
      </c>
      <c r="L203" s="10">
        <f t="shared" ca="1" si="35"/>
        <v>325000</v>
      </c>
      <c r="M203" s="12" t="str" cm="1">
        <f t="array" aca="1" ref="M203" ca="1">INDEX($R$33:$R$82, RANDBETWEEN(1, COUNTA($R$33:$R$82)))</f>
        <v>NV24</v>
      </c>
      <c r="N203">
        <f t="shared" ca="1" si="36"/>
        <v>49</v>
      </c>
    </row>
    <row r="204" spans="1:14" ht="16.8" x14ac:dyDescent="0.3">
      <c r="A204" s="7" t="str">
        <f t="shared" si="28"/>
        <v>S0203</v>
      </c>
      <c r="B204" s="8">
        <f t="shared" ca="1" si="29"/>
        <v>44331</v>
      </c>
      <c r="C204" s="15" t="str" cm="1">
        <f t="array" aca="1" ref="C204" ca="1">INDEX($Q$2:$Q$31, RANDBETWEEN(1, COUNTA($Q$2:$Q$31)))</f>
        <v>Cookies &amp; Cream</v>
      </c>
      <c r="D204" s="10" t="str" cm="1">
        <f t="array" aca="1" ref="D204" ca="1">INDEX($R$2:$R$310, RANDBETWEEN(1, COUNTA($Q$2:$Q$310)))</f>
        <v>L</v>
      </c>
      <c r="E204">
        <f t="shared" ca="1" si="30"/>
        <v>3</v>
      </c>
      <c r="F204" cm="1">
        <f t="array" aca="1" ref="F204" ca="1">INDEX($S$2:$S$31, RANDBETWEEN(1, COUNTA($S$2:$S$31)))</f>
        <v>39000</v>
      </c>
      <c r="G204" cm="1">
        <f t="array" aca="1" ref="G204" ca="1">INDEX($S$2:$S$31, RANDBETWEEN(1, COUNTA($S$2:$S$31)))</f>
        <v>49000</v>
      </c>
      <c r="H204">
        <f t="shared" ca="1" si="31"/>
        <v>8</v>
      </c>
      <c r="I204">
        <f t="shared" ca="1" si="32"/>
        <v>49000</v>
      </c>
      <c r="J204" s="10" t="str">
        <f t="shared" ca="1" si="33"/>
        <v>Offline</v>
      </c>
      <c r="K204" s="10">
        <f t="shared" ca="1" si="34"/>
        <v>49000</v>
      </c>
      <c r="L204" s="10">
        <f t="shared" ca="1" si="35"/>
        <v>147000</v>
      </c>
      <c r="M204" s="12" t="str" cm="1">
        <f t="array" aca="1" ref="M204" ca="1">INDEX($R$33:$R$82, RANDBETWEEN(1, COUNTA($R$33:$R$82)))</f>
        <v>NV28</v>
      </c>
      <c r="N204">
        <f t="shared" ca="1" si="36"/>
        <v>14</v>
      </c>
    </row>
    <row r="205" spans="1:14" ht="16.8" x14ac:dyDescent="0.3">
      <c r="A205" s="7" t="str">
        <f t="shared" si="28"/>
        <v>S0204</v>
      </c>
      <c r="B205" s="8">
        <f t="shared" ca="1" si="29"/>
        <v>45113</v>
      </c>
      <c r="C205" s="15" t="str" cm="1">
        <f t="array" aca="1" ref="C205" ca="1">INDEX($Q$2:$Q$31, RANDBETWEEN(1, COUNTA($Q$2:$Q$31)))</f>
        <v>Cookies &amp; Cream</v>
      </c>
      <c r="D205" s="10" t="str" cm="1">
        <f t="array" aca="1" ref="D205" ca="1">INDEX($R$2:$R$310, RANDBETWEEN(1, COUNTA($Q$2:$Q$310)))</f>
        <v>M</v>
      </c>
      <c r="E205">
        <f t="shared" ca="1" si="30"/>
        <v>3</v>
      </c>
      <c r="F205" cm="1">
        <f t="array" aca="1" ref="F205" ca="1">INDEX($S$2:$S$31, RANDBETWEEN(1, COUNTA($S$2:$S$31)))</f>
        <v>59000</v>
      </c>
      <c r="G205" cm="1">
        <f t="array" aca="1" ref="G205" ca="1">INDEX($S$2:$S$31, RANDBETWEEN(1, COUNTA($S$2:$S$31)))</f>
        <v>69000</v>
      </c>
      <c r="H205">
        <f t="shared" ca="1" si="31"/>
        <v>7</v>
      </c>
      <c r="I205">
        <f t="shared" ca="1" si="32"/>
        <v>54869.999999999993</v>
      </c>
      <c r="J205" s="10" t="str">
        <f t="shared" ca="1" si="33"/>
        <v>Online</v>
      </c>
      <c r="K205" s="10">
        <f t="shared" ca="1" si="34"/>
        <v>54869.999999999993</v>
      </c>
      <c r="L205" s="10">
        <f t="shared" ca="1" si="35"/>
        <v>164609.99999999997</v>
      </c>
      <c r="M205" s="12" t="str" cm="1">
        <f t="array" aca="1" ref="M205" ca="1">INDEX($R$33:$R$82, RANDBETWEEN(1, COUNTA($R$33:$R$82)))</f>
        <v>NV18</v>
      </c>
      <c r="N205">
        <f t="shared" ca="1" si="36"/>
        <v>29</v>
      </c>
    </row>
    <row r="206" spans="1:14" ht="16.8" x14ac:dyDescent="0.3">
      <c r="A206" s="7" t="str">
        <f t="shared" si="28"/>
        <v>S0205</v>
      </c>
      <c r="B206" s="8">
        <f t="shared" ca="1" si="29"/>
        <v>45289</v>
      </c>
      <c r="C206" s="15" t="str" cm="1">
        <f t="array" aca="1" ref="C206" ca="1">INDEX($Q$2:$Q$31, RANDBETWEEN(1, COUNTA($Q$2:$Q$31)))</f>
        <v>Americano</v>
      </c>
      <c r="D206" s="10" t="str" cm="1">
        <f t="array" aca="1" ref="D206" ca="1">INDEX($R$2:$R$310, RANDBETWEEN(1, COUNTA($Q$2:$Q$310)))</f>
        <v>L</v>
      </c>
      <c r="E206">
        <f t="shared" ca="1" si="30"/>
        <v>1</v>
      </c>
      <c r="F206" cm="1">
        <f t="array" aca="1" ref="F206" ca="1">INDEX($S$2:$S$31, RANDBETWEEN(1, COUNTA($S$2:$S$31)))</f>
        <v>49000</v>
      </c>
      <c r="G206" cm="1">
        <f t="array" aca="1" ref="G206" ca="1">INDEX($S$2:$S$31, RANDBETWEEN(1, COUNTA($S$2:$S$31)))</f>
        <v>65000</v>
      </c>
      <c r="H206">
        <f t="shared" ca="1" si="31"/>
        <v>12</v>
      </c>
      <c r="I206">
        <f t="shared" ca="1" si="32"/>
        <v>43120</v>
      </c>
      <c r="J206" s="10" t="str">
        <f t="shared" ca="1" si="33"/>
        <v>Online</v>
      </c>
      <c r="K206" s="10">
        <f t="shared" ca="1" si="34"/>
        <v>43120</v>
      </c>
      <c r="L206" s="10">
        <f t="shared" ca="1" si="35"/>
        <v>43120</v>
      </c>
      <c r="M206" s="12" t="str" cm="1">
        <f t="array" aca="1" ref="M206" ca="1">INDEX($R$33:$R$82, RANDBETWEEN(1, COUNTA($R$33:$R$82)))</f>
        <v>NV12</v>
      </c>
      <c r="N206">
        <f t="shared" ca="1" si="36"/>
        <v>18</v>
      </c>
    </row>
    <row r="207" spans="1:14" ht="16.8" x14ac:dyDescent="0.3">
      <c r="A207" s="7" t="str">
        <f t="shared" si="28"/>
        <v>S0206</v>
      </c>
      <c r="B207" s="8">
        <f t="shared" ca="1" si="29"/>
        <v>44326</v>
      </c>
      <c r="C207" s="15" t="str" cm="1">
        <f t="array" aca="1" ref="C207" ca="1">INDEX($Q$2:$Q$31, RANDBETWEEN(1, COUNTA($Q$2:$Q$31)))</f>
        <v>Cappuccino</v>
      </c>
      <c r="D207" s="10" t="str" cm="1">
        <f t="array" aca="1" ref="D207" ca="1">INDEX($R$2:$R$310, RANDBETWEEN(1, COUNTA($Q$2:$Q$310)))</f>
        <v>S</v>
      </c>
      <c r="E207">
        <f t="shared" ca="1" si="30"/>
        <v>1</v>
      </c>
      <c r="F207" cm="1">
        <f t="array" aca="1" ref="F207" ca="1">INDEX($S$2:$S$31, RANDBETWEEN(1, COUNTA($S$2:$S$31)))</f>
        <v>59000</v>
      </c>
      <c r="G207" cm="1">
        <f t="array" aca="1" ref="G207" ca="1">INDEX($S$2:$S$31, RANDBETWEEN(1, COUNTA($S$2:$S$31)))</f>
        <v>65000</v>
      </c>
      <c r="H207">
        <f t="shared" ca="1" si="31"/>
        <v>15</v>
      </c>
      <c r="I207">
        <f t="shared" ca="1" si="32"/>
        <v>65000</v>
      </c>
      <c r="J207" s="10" t="str">
        <f t="shared" ca="1" si="33"/>
        <v>Offline</v>
      </c>
      <c r="K207" s="10">
        <f t="shared" ca="1" si="34"/>
        <v>65000</v>
      </c>
      <c r="L207" s="10">
        <f t="shared" ca="1" si="35"/>
        <v>65000</v>
      </c>
      <c r="M207" s="12" t="str" cm="1">
        <f t="array" aca="1" ref="M207" ca="1">INDEX($R$33:$R$82, RANDBETWEEN(1, COUNTA($R$33:$R$82)))</f>
        <v>NV16</v>
      </c>
      <c r="N207">
        <f t="shared" ca="1" si="36"/>
        <v>5</v>
      </c>
    </row>
    <row r="208" spans="1:14" ht="16.8" x14ac:dyDescent="0.3">
      <c r="A208" s="7" t="str">
        <f t="shared" si="28"/>
        <v>S0207</v>
      </c>
      <c r="B208" s="8">
        <f t="shared" ca="1" si="29"/>
        <v>44691</v>
      </c>
      <c r="C208" s="15" t="str" cm="1">
        <f t="array" aca="1" ref="C208" ca="1">INDEX($Q$2:$Q$31, RANDBETWEEN(1, COUNTA($Q$2:$Q$31)))</f>
        <v>Latte</v>
      </c>
      <c r="D208" s="10" t="str" cm="1">
        <f t="array" aca="1" ref="D208" ca="1">INDEX($R$2:$R$310, RANDBETWEEN(1, COUNTA($Q$2:$Q$310)))</f>
        <v>L</v>
      </c>
      <c r="E208">
        <f t="shared" ca="1" si="30"/>
        <v>1</v>
      </c>
      <c r="F208" cm="1">
        <f t="array" aca="1" ref="F208" ca="1">INDEX($S$2:$S$31, RANDBETWEEN(1, COUNTA($S$2:$S$31)))</f>
        <v>65000</v>
      </c>
      <c r="G208" cm="1">
        <f t="array" aca="1" ref="G208" ca="1">INDEX($S$2:$S$31, RANDBETWEEN(1, COUNTA($S$2:$S$31)))</f>
        <v>45000</v>
      </c>
      <c r="H208">
        <f t="shared" ca="1" si="31"/>
        <v>6</v>
      </c>
      <c r="I208">
        <f t="shared" ca="1" si="32"/>
        <v>45000</v>
      </c>
      <c r="J208" s="10" t="str">
        <f t="shared" ca="1" si="33"/>
        <v>Offline</v>
      </c>
      <c r="K208" s="10">
        <f t="shared" ca="1" si="34"/>
        <v>45000</v>
      </c>
      <c r="L208" s="10">
        <f t="shared" ca="1" si="35"/>
        <v>45000</v>
      </c>
      <c r="M208" s="12" t="str" cm="1">
        <f t="array" aca="1" ref="M208" ca="1">INDEX($R$33:$R$82, RANDBETWEEN(1, COUNTA($R$33:$R$82)))</f>
        <v>NV12</v>
      </c>
      <c r="N208">
        <f t="shared" ca="1" si="36"/>
        <v>24</v>
      </c>
    </row>
    <row r="209" spans="1:14" ht="16.8" x14ac:dyDescent="0.3">
      <c r="A209" s="7" t="str">
        <f t="shared" si="28"/>
        <v>S0208</v>
      </c>
      <c r="B209" s="8">
        <f t="shared" ca="1" si="29"/>
        <v>45254</v>
      </c>
      <c r="C209" s="15" t="str" cm="1">
        <f t="array" aca="1" ref="C209" ca="1">INDEX($Q$2:$Q$31, RANDBETWEEN(1, COUNTA($Q$2:$Q$31)))</f>
        <v>Americano</v>
      </c>
      <c r="D209" s="10" t="str" cm="1">
        <f t="array" aca="1" ref="D209" ca="1">INDEX($R$2:$R$310, RANDBETWEEN(1, COUNTA($Q$2:$Q$310)))</f>
        <v>L</v>
      </c>
      <c r="E209">
        <f t="shared" ca="1" si="30"/>
        <v>4</v>
      </c>
      <c r="F209" cm="1">
        <f t="array" aca="1" ref="F209" ca="1">INDEX($S$2:$S$31, RANDBETWEEN(1, COUNTA($S$2:$S$31)))</f>
        <v>65000</v>
      </c>
      <c r="G209" cm="1">
        <f t="array" aca="1" ref="G209" ca="1">INDEX($S$2:$S$31, RANDBETWEEN(1, COUNTA($S$2:$S$31)))</f>
        <v>75000</v>
      </c>
      <c r="H209">
        <f t="shared" ca="1" si="31"/>
        <v>7</v>
      </c>
      <c r="I209">
        <f t="shared" ca="1" si="32"/>
        <v>60449.999999999993</v>
      </c>
      <c r="J209" s="10" t="str">
        <f t="shared" ca="1" si="33"/>
        <v>Online</v>
      </c>
      <c r="K209" s="10">
        <f t="shared" ca="1" si="34"/>
        <v>60449.999999999993</v>
      </c>
      <c r="L209" s="10">
        <f t="shared" ca="1" si="35"/>
        <v>241799.99999999997</v>
      </c>
      <c r="M209" s="12" t="str" cm="1">
        <f t="array" aca="1" ref="M209" ca="1">INDEX($R$33:$R$82, RANDBETWEEN(1, COUNTA($R$33:$R$82)))</f>
        <v>NV20</v>
      </c>
      <c r="N209">
        <f t="shared" ca="1" si="36"/>
        <v>42</v>
      </c>
    </row>
    <row r="210" spans="1:14" ht="16.8" x14ac:dyDescent="0.3">
      <c r="A210" s="7" t="str">
        <f t="shared" si="28"/>
        <v>S0209</v>
      </c>
      <c r="B210" s="8">
        <f t="shared" ca="1" si="29"/>
        <v>45193</v>
      </c>
      <c r="C210" s="15" t="str" cm="1">
        <f t="array" aca="1" ref="C210" ca="1">INDEX($Q$2:$Q$31, RANDBETWEEN(1, COUNTA($Q$2:$Q$31)))</f>
        <v>Latte</v>
      </c>
      <c r="D210" s="10" t="str" cm="1">
        <f t="array" aca="1" ref="D210" ca="1">INDEX($R$2:$R$310, RANDBETWEEN(1, COUNTA($Q$2:$Q$310)))</f>
        <v>L</v>
      </c>
      <c r="E210">
        <f t="shared" ca="1" si="30"/>
        <v>3</v>
      </c>
      <c r="F210" cm="1">
        <f t="array" aca="1" ref="F210" ca="1">INDEX($S$2:$S$31, RANDBETWEEN(1, COUNTA($S$2:$S$31)))</f>
        <v>35000</v>
      </c>
      <c r="G210" cm="1">
        <f t="array" aca="1" ref="G210" ca="1">INDEX($S$2:$S$31, RANDBETWEEN(1, COUNTA($S$2:$S$31)))</f>
        <v>49000</v>
      </c>
      <c r="H210">
        <f t="shared" ca="1" si="31"/>
        <v>11</v>
      </c>
      <c r="I210">
        <f t="shared" ca="1" si="32"/>
        <v>31150</v>
      </c>
      <c r="J210" s="10" t="str">
        <f t="shared" ca="1" si="33"/>
        <v>Online</v>
      </c>
      <c r="K210" s="10">
        <f t="shared" ca="1" si="34"/>
        <v>31150</v>
      </c>
      <c r="L210" s="10">
        <f t="shared" ca="1" si="35"/>
        <v>93450</v>
      </c>
      <c r="M210" s="12" t="str" cm="1">
        <f t="array" aca="1" ref="M210" ca="1">INDEX($R$33:$R$82, RANDBETWEEN(1, COUNTA($R$33:$R$82)))</f>
        <v>NV49</v>
      </c>
      <c r="N210">
        <f t="shared" ca="1" si="36"/>
        <v>11</v>
      </c>
    </row>
    <row r="211" spans="1:14" ht="16.8" x14ac:dyDescent="0.3">
      <c r="A211" s="7" t="str">
        <f t="shared" si="28"/>
        <v>S0210</v>
      </c>
      <c r="B211" s="8">
        <f t="shared" ca="1" si="29"/>
        <v>44254</v>
      </c>
      <c r="C211" s="15" t="str" cm="1">
        <f t="array" aca="1" ref="C211" ca="1">INDEX($Q$2:$Q$31, RANDBETWEEN(1, COUNTA($Q$2:$Q$31)))</f>
        <v>Caramel Phin Freeze</v>
      </c>
      <c r="D211" s="10" t="str" cm="1">
        <f t="array" aca="1" ref="D211" ca="1">INDEX($R$2:$R$310, RANDBETWEEN(1, COUNTA($Q$2:$Q$310)))</f>
        <v>S</v>
      </c>
      <c r="E211">
        <f t="shared" ca="1" si="30"/>
        <v>3</v>
      </c>
      <c r="F211" cm="1">
        <f t="array" aca="1" ref="F211" ca="1">INDEX($S$2:$S$31, RANDBETWEEN(1, COUNTA($S$2:$S$31)))</f>
        <v>49000</v>
      </c>
      <c r="G211" cm="1">
        <f t="array" aca="1" ref="G211" ca="1">INDEX($S$2:$S$31, RANDBETWEEN(1, COUNTA($S$2:$S$31)))</f>
        <v>59000</v>
      </c>
      <c r="H211">
        <f t="shared" ca="1" si="31"/>
        <v>7</v>
      </c>
      <c r="I211">
        <f t="shared" ca="1" si="32"/>
        <v>45570</v>
      </c>
      <c r="J211" s="10" t="str">
        <f t="shared" ca="1" si="33"/>
        <v>Online</v>
      </c>
      <c r="K211" s="10">
        <f t="shared" ca="1" si="34"/>
        <v>45570</v>
      </c>
      <c r="L211" s="10">
        <f t="shared" ca="1" si="35"/>
        <v>136710</v>
      </c>
      <c r="M211" s="12" t="str" cm="1">
        <f t="array" aca="1" ref="M211" ca="1">INDEX($R$33:$R$82, RANDBETWEEN(1, COUNTA($R$33:$R$82)))</f>
        <v>NV28</v>
      </c>
      <c r="N211">
        <f t="shared" ca="1" si="36"/>
        <v>17</v>
      </c>
    </row>
    <row r="212" spans="1:14" ht="16.8" x14ac:dyDescent="0.3">
      <c r="A212" s="7" t="str">
        <f t="shared" si="28"/>
        <v>S0211</v>
      </c>
      <c r="B212" s="8">
        <f t="shared" ca="1" si="29"/>
        <v>44437</v>
      </c>
      <c r="C212" s="15" t="str" cm="1">
        <f t="array" aca="1" ref="C212" ca="1">INDEX($Q$2:$Q$31, RANDBETWEEN(1, COUNTA($Q$2:$Q$31)))</f>
        <v>Latte</v>
      </c>
      <c r="D212" s="10" t="str" cm="1">
        <f t="array" aca="1" ref="D212" ca="1">INDEX($R$2:$R$310, RANDBETWEEN(1, COUNTA($Q$2:$Q$310)))</f>
        <v>L</v>
      </c>
      <c r="E212">
        <f t="shared" ca="1" si="30"/>
        <v>2</v>
      </c>
      <c r="F212" cm="1">
        <f t="array" aca="1" ref="F212" ca="1">INDEX($S$2:$S$31, RANDBETWEEN(1, COUNTA($S$2:$S$31)))</f>
        <v>75000</v>
      </c>
      <c r="G212" cm="1">
        <f t="array" aca="1" ref="G212" ca="1">INDEX($S$2:$S$31, RANDBETWEEN(1, COUNTA($S$2:$S$31)))</f>
        <v>49000</v>
      </c>
      <c r="H212">
        <f t="shared" ca="1" si="31"/>
        <v>10</v>
      </c>
      <c r="I212">
        <f t="shared" ca="1" si="32"/>
        <v>67500</v>
      </c>
      <c r="J212" s="10" t="str">
        <f t="shared" ca="1" si="33"/>
        <v>Online</v>
      </c>
      <c r="K212" s="10">
        <f t="shared" ca="1" si="34"/>
        <v>67500</v>
      </c>
      <c r="L212" s="10">
        <f t="shared" ca="1" si="35"/>
        <v>135000</v>
      </c>
      <c r="M212" s="12" t="str" cm="1">
        <f t="array" aca="1" ref="M212" ca="1">INDEX($R$33:$R$82, RANDBETWEEN(1, COUNTA($R$33:$R$82)))</f>
        <v>NV23</v>
      </c>
      <c r="N212">
        <f t="shared" ca="1" si="36"/>
        <v>51</v>
      </c>
    </row>
    <row r="213" spans="1:14" ht="16.8" x14ac:dyDescent="0.3">
      <c r="A213" s="7" t="str">
        <f t="shared" si="28"/>
        <v>S0212</v>
      </c>
      <c r="B213" s="8">
        <f t="shared" ca="1" si="29"/>
        <v>45097</v>
      </c>
      <c r="C213" s="15" t="str" cm="1">
        <f t="array" aca="1" ref="C213" ca="1">INDEX($Q$2:$Q$31, RANDBETWEEN(1, COUNTA($Q$2:$Q$31)))</f>
        <v>Cappuccino</v>
      </c>
      <c r="D213" s="10" t="str" cm="1">
        <f t="array" aca="1" ref="D213" ca="1">INDEX($R$2:$R$310, RANDBETWEEN(1, COUNTA($Q$2:$Q$310)))</f>
        <v>M</v>
      </c>
      <c r="E213">
        <f t="shared" ca="1" si="30"/>
        <v>4</v>
      </c>
      <c r="F213" cm="1">
        <f t="array" aca="1" ref="F213" ca="1">INDEX($S$2:$S$31, RANDBETWEEN(1, COUNTA($S$2:$S$31)))</f>
        <v>55000</v>
      </c>
      <c r="G213" cm="1">
        <f t="array" aca="1" ref="G213" ca="1">INDEX($S$2:$S$31, RANDBETWEEN(1, COUNTA($S$2:$S$31)))</f>
        <v>65000</v>
      </c>
      <c r="H213">
        <f t="shared" ca="1" si="31"/>
        <v>14</v>
      </c>
      <c r="I213">
        <f t="shared" ca="1" si="32"/>
        <v>65000</v>
      </c>
      <c r="J213" s="10" t="str">
        <f t="shared" ca="1" si="33"/>
        <v>Offline</v>
      </c>
      <c r="K213" s="10">
        <f t="shared" ca="1" si="34"/>
        <v>65000</v>
      </c>
      <c r="L213" s="10">
        <f t="shared" ca="1" si="35"/>
        <v>260000</v>
      </c>
      <c r="M213" s="12" t="str" cm="1">
        <f t="array" aca="1" ref="M213" ca="1">INDEX($R$33:$R$82, RANDBETWEEN(1, COUNTA($R$33:$R$82)))</f>
        <v>NV37</v>
      </c>
      <c r="N213">
        <f t="shared" ca="1" si="36"/>
        <v>41</v>
      </c>
    </row>
    <row r="214" spans="1:14" ht="16.8" x14ac:dyDescent="0.3">
      <c r="A214" s="7" t="str">
        <f t="shared" si="28"/>
        <v>S0213</v>
      </c>
      <c r="B214" s="8">
        <f t="shared" ca="1" si="29"/>
        <v>44984</v>
      </c>
      <c r="C214" s="15" t="str" cm="1">
        <f t="array" aca="1" ref="C214" ca="1">INDEX($Q$2:$Q$31, RANDBETWEEN(1, COUNTA($Q$2:$Q$31)))</f>
        <v xml:space="preserve">Chocolate Freeze </v>
      </c>
      <c r="D214" s="10" t="str" cm="1">
        <f t="array" aca="1" ref="D214" ca="1">INDEX($R$2:$R$310, RANDBETWEEN(1, COUNTA($Q$2:$Q$310)))</f>
        <v>S</v>
      </c>
      <c r="E214">
        <f t="shared" ca="1" si="30"/>
        <v>4</v>
      </c>
      <c r="F214" cm="1">
        <f t="array" aca="1" ref="F214" ca="1">INDEX($S$2:$S$31, RANDBETWEEN(1, COUNTA($S$2:$S$31)))</f>
        <v>45000</v>
      </c>
      <c r="G214" cm="1">
        <f t="array" aca="1" ref="G214" ca="1">INDEX($S$2:$S$31, RANDBETWEEN(1, COUNTA($S$2:$S$31)))</f>
        <v>59000</v>
      </c>
      <c r="H214">
        <f t="shared" ca="1" si="31"/>
        <v>13</v>
      </c>
      <c r="I214">
        <f t="shared" ca="1" si="32"/>
        <v>59000</v>
      </c>
      <c r="J214" s="10" t="str">
        <f t="shared" ca="1" si="33"/>
        <v>Offline</v>
      </c>
      <c r="K214" s="10">
        <f t="shared" ca="1" si="34"/>
        <v>59000</v>
      </c>
      <c r="L214" s="10">
        <f t="shared" ca="1" si="35"/>
        <v>236000</v>
      </c>
      <c r="M214" s="12" t="str" cm="1">
        <f t="array" aca="1" ref="M214" ca="1">INDEX($R$33:$R$82, RANDBETWEEN(1, COUNTA($R$33:$R$82)))</f>
        <v>NV14</v>
      </c>
      <c r="N214">
        <f t="shared" ca="1" si="36"/>
        <v>38</v>
      </c>
    </row>
    <row r="215" spans="1:14" ht="16.8" x14ac:dyDescent="0.3">
      <c r="A215" s="7" t="str">
        <f t="shared" si="28"/>
        <v>S0214</v>
      </c>
      <c r="B215" s="8">
        <f t="shared" ca="1" si="29"/>
        <v>45156</v>
      </c>
      <c r="C215" s="15" t="str" cm="1">
        <f t="array" aca="1" ref="C215" ca="1">INDEX($Q$2:$Q$31, RANDBETWEEN(1, COUNTA($Q$2:$Q$31)))</f>
        <v>Classic Phin Freeze</v>
      </c>
      <c r="D215" s="10" t="str" cm="1">
        <f t="array" aca="1" ref="D215" ca="1">INDEX($R$2:$R$310, RANDBETWEEN(1, COUNTA($Q$2:$Q$310)))</f>
        <v>S</v>
      </c>
      <c r="E215">
        <f t="shared" ca="1" si="30"/>
        <v>2</v>
      </c>
      <c r="F215" cm="1">
        <f t="array" aca="1" ref="F215" ca="1">INDEX($S$2:$S$31, RANDBETWEEN(1, COUNTA($S$2:$S$31)))</f>
        <v>69000</v>
      </c>
      <c r="G215" cm="1">
        <f t="array" aca="1" ref="G215" ca="1">INDEX($S$2:$S$31, RANDBETWEEN(1, COUNTA($S$2:$S$31)))</f>
        <v>29000</v>
      </c>
      <c r="H215">
        <f t="shared" ca="1" si="31"/>
        <v>6</v>
      </c>
      <c r="I215">
        <f t="shared" ca="1" si="32"/>
        <v>64859.999999999993</v>
      </c>
      <c r="J215" s="10" t="str">
        <f t="shared" ca="1" si="33"/>
        <v>Online</v>
      </c>
      <c r="K215" s="10">
        <f t="shared" ca="1" si="34"/>
        <v>64859.999999999993</v>
      </c>
      <c r="L215" s="10">
        <f t="shared" ca="1" si="35"/>
        <v>129719.99999999999</v>
      </c>
      <c r="M215" s="12" t="str" cm="1">
        <f t="array" aca="1" ref="M215" ca="1">INDEX($R$33:$R$82, RANDBETWEEN(1, COUNTA($R$33:$R$82)))</f>
        <v>NV15</v>
      </c>
      <c r="N215">
        <f t="shared" ca="1" si="36"/>
        <v>32</v>
      </c>
    </row>
    <row r="216" spans="1:14" ht="16.8" x14ac:dyDescent="0.3">
      <c r="A216" s="7" t="str">
        <f t="shared" si="28"/>
        <v>S0215</v>
      </c>
      <c r="B216" s="8">
        <f t="shared" ca="1" si="29"/>
        <v>45252</v>
      </c>
      <c r="C216" s="15" t="str" cm="1">
        <f t="array" aca="1" ref="C216" ca="1">INDEX($Q$2:$Q$31, RANDBETWEEN(1, COUNTA($Q$2:$Q$31)))</f>
        <v xml:space="preserve">Green Tea Freeze </v>
      </c>
      <c r="D216" s="10" t="str" cm="1">
        <f t="array" aca="1" ref="D216" ca="1">INDEX($R$2:$R$310, RANDBETWEEN(1, COUNTA($Q$2:$Q$310)))</f>
        <v>L</v>
      </c>
      <c r="E216">
        <f t="shared" ca="1" si="30"/>
        <v>3</v>
      </c>
      <c r="F216" cm="1">
        <f t="array" aca="1" ref="F216" ca="1">INDEX($S$2:$S$31, RANDBETWEEN(1, COUNTA($S$2:$S$31)))</f>
        <v>65000</v>
      </c>
      <c r="G216" cm="1">
        <f t="array" aca="1" ref="G216" ca="1">INDEX($S$2:$S$31, RANDBETWEEN(1, COUNTA($S$2:$S$31)))</f>
        <v>59000</v>
      </c>
      <c r="H216">
        <f t="shared" ca="1" si="31"/>
        <v>12</v>
      </c>
      <c r="I216">
        <f t="shared" ca="1" si="32"/>
        <v>57200</v>
      </c>
      <c r="J216" s="10" t="str">
        <f t="shared" ca="1" si="33"/>
        <v>Online</v>
      </c>
      <c r="K216" s="10">
        <f t="shared" ca="1" si="34"/>
        <v>57200</v>
      </c>
      <c r="L216" s="10">
        <f t="shared" ca="1" si="35"/>
        <v>171600</v>
      </c>
      <c r="M216" s="12" t="str" cm="1">
        <f t="array" aca="1" ref="M216" ca="1">INDEX($R$33:$R$82, RANDBETWEEN(1, COUNTA($R$33:$R$82)))</f>
        <v>NV19</v>
      </c>
      <c r="N216">
        <f t="shared" ca="1" si="36"/>
        <v>26</v>
      </c>
    </row>
    <row r="217" spans="1:14" ht="16.8" x14ac:dyDescent="0.3">
      <c r="A217" s="7" t="str">
        <f t="shared" si="28"/>
        <v>S0216</v>
      </c>
      <c r="B217" s="8">
        <f t="shared" ca="1" si="29"/>
        <v>45200</v>
      </c>
      <c r="C217" s="15" t="str" cm="1">
        <f t="array" aca="1" ref="C217" ca="1">INDEX($Q$2:$Q$31, RANDBETWEEN(1, COUNTA($Q$2:$Q$31)))</f>
        <v xml:space="preserve">Chocolate Freeze </v>
      </c>
      <c r="D217" s="10" t="str" cm="1">
        <f t="array" aca="1" ref="D217" ca="1">INDEX($R$2:$R$310, RANDBETWEEN(1, COUNTA($Q$2:$Q$310)))</f>
        <v>L</v>
      </c>
      <c r="E217">
        <f t="shared" ca="1" si="30"/>
        <v>1</v>
      </c>
      <c r="F217" cm="1">
        <f t="array" aca="1" ref="F217" ca="1">INDEX($S$2:$S$31, RANDBETWEEN(1, COUNTA($S$2:$S$31)))</f>
        <v>49000</v>
      </c>
      <c r="G217" cm="1">
        <f t="array" aca="1" ref="G217" ca="1">INDEX($S$2:$S$31, RANDBETWEEN(1, COUNTA($S$2:$S$31)))</f>
        <v>55000</v>
      </c>
      <c r="H217">
        <f t="shared" ca="1" si="31"/>
        <v>9</v>
      </c>
      <c r="I217">
        <f t="shared" ca="1" si="32"/>
        <v>55000</v>
      </c>
      <c r="J217" s="10" t="str">
        <f t="shared" ca="1" si="33"/>
        <v>Offline</v>
      </c>
      <c r="K217" s="10">
        <f t="shared" ca="1" si="34"/>
        <v>55000</v>
      </c>
      <c r="L217" s="10">
        <f t="shared" ca="1" si="35"/>
        <v>55000</v>
      </c>
      <c r="M217" s="12" t="str" cm="1">
        <f t="array" aca="1" ref="M217" ca="1">INDEX($R$33:$R$82, RANDBETWEEN(1, COUNTA($R$33:$R$82)))</f>
        <v>NV39</v>
      </c>
      <c r="N217">
        <f t="shared" ca="1" si="36"/>
        <v>41</v>
      </c>
    </row>
    <row r="218" spans="1:14" ht="16.8" x14ac:dyDescent="0.3">
      <c r="A218" s="7" t="str">
        <f t="shared" si="28"/>
        <v>S0217</v>
      </c>
      <c r="B218" s="8">
        <f t="shared" ca="1" si="29"/>
        <v>44715</v>
      </c>
      <c r="C218" s="15" t="str" cm="1">
        <f t="array" aca="1" ref="C218" ca="1">INDEX($Q$2:$Q$31, RANDBETWEEN(1, COUNTA($Q$2:$Q$31)))</f>
        <v xml:space="preserve">Green Tea Freeze </v>
      </c>
      <c r="D218" s="10" t="str" cm="1">
        <f t="array" aca="1" ref="D218" ca="1">INDEX($R$2:$R$310, RANDBETWEEN(1, COUNTA($Q$2:$Q$310)))</f>
        <v>M</v>
      </c>
      <c r="E218">
        <f t="shared" ca="1" si="30"/>
        <v>4</v>
      </c>
      <c r="F218" cm="1">
        <f t="array" aca="1" ref="F218" ca="1">INDEX($S$2:$S$31, RANDBETWEEN(1, COUNTA($S$2:$S$31)))</f>
        <v>59000</v>
      </c>
      <c r="G218" cm="1">
        <f t="array" aca="1" ref="G218" ca="1">INDEX($S$2:$S$31, RANDBETWEEN(1, COUNTA($S$2:$S$31)))</f>
        <v>65000</v>
      </c>
      <c r="H218">
        <f t="shared" ca="1" si="31"/>
        <v>12</v>
      </c>
      <c r="I218">
        <f t="shared" ca="1" si="32"/>
        <v>51920</v>
      </c>
      <c r="J218" s="10" t="str">
        <f t="shared" ca="1" si="33"/>
        <v>Online</v>
      </c>
      <c r="K218" s="10">
        <f t="shared" ca="1" si="34"/>
        <v>51920</v>
      </c>
      <c r="L218" s="10">
        <f t="shared" ca="1" si="35"/>
        <v>207680</v>
      </c>
      <c r="M218" s="12" t="str" cm="1">
        <f t="array" aca="1" ref="M218" ca="1">INDEX($R$33:$R$82, RANDBETWEEN(1, COUNTA($R$33:$R$82)))</f>
        <v>NV34</v>
      </c>
      <c r="N218">
        <f t="shared" ca="1" si="36"/>
        <v>9</v>
      </c>
    </row>
    <row r="219" spans="1:14" ht="16.8" x14ac:dyDescent="0.3">
      <c r="A219" s="7" t="str">
        <f t="shared" si="28"/>
        <v>S0218</v>
      </c>
      <c r="B219" s="8">
        <f t="shared" ca="1" si="29"/>
        <v>44629</v>
      </c>
      <c r="C219" s="15" t="str" cm="1">
        <f t="array" aca="1" ref="C219" ca="1">INDEX($Q$2:$Q$31, RANDBETWEEN(1, COUNTA($Q$2:$Q$31)))</f>
        <v>Cappuccino</v>
      </c>
      <c r="D219" s="10" t="str" cm="1">
        <f t="array" aca="1" ref="D219" ca="1">INDEX($R$2:$R$310, RANDBETWEEN(1, COUNTA($Q$2:$Q$310)))</f>
        <v>M</v>
      </c>
      <c r="E219">
        <f t="shared" ca="1" si="30"/>
        <v>1</v>
      </c>
      <c r="F219" cm="1">
        <f t="array" aca="1" ref="F219" ca="1">INDEX($S$2:$S$31, RANDBETWEEN(1, COUNTA($S$2:$S$31)))</f>
        <v>49000</v>
      </c>
      <c r="G219" cm="1">
        <f t="array" aca="1" ref="G219" ca="1">INDEX($S$2:$S$31, RANDBETWEEN(1, COUNTA($S$2:$S$31)))</f>
        <v>49000</v>
      </c>
      <c r="H219">
        <f t="shared" ca="1" si="31"/>
        <v>6</v>
      </c>
      <c r="I219">
        <f t="shared" ca="1" si="32"/>
        <v>49000</v>
      </c>
      <c r="J219" s="10" t="str">
        <f t="shared" ca="1" si="33"/>
        <v>Offline</v>
      </c>
      <c r="K219" s="10">
        <f t="shared" ca="1" si="34"/>
        <v>49000</v>
      </c>
      <c r="L219" s="10">
        <f t="shared" ca="1" si="35"/>
        <v>49000</v>
      </c>
      <c r="M219" s="12" t="str" cm="1">
        <f t="array" aca="1" ref="M219" ca="1">INDEX($R$33:$R$82, RANDBETWEEN(1, COUNTA($R$33:$R$82)))</f>
        <v>NV2</v>
      </c>
      <c r="N219">
        <f t="shared" ca="1" si="36"/>
        <v>15</v>
      </c>
    </row>
    <row r="220" spans="1:14" ht="16.8" x14ac:dyDescent="0.3">
      <c r="A220" s="7" t="str">
        <f t="shared" si="28"/>
        <v>S0219</v>
      </c>
      <c r="B220" s="8">
        <f t="shared" ca="1" si="29"/>
        <v>44297</v>
      </c>
      <c r="C220" s="15" t="str" cm="1">
        <f t="array" aca="1" ref="C220" ca="1">INDEX($Q$2:$Q$31, RANDBETWEEN(1, COUNTA($Q$2:$Q$31)))</f>
        <v xml:space="preserve">Chocolate Freeze </v>
      </c>
      <c r="D220" s="10" t="str" cm="1">
        <f t="array" aca="1" ref="D220" ca="1">INDEX($R$2:$R$310, RANDBETWEEN(1, COUNTA($Q$2:$Q$310)))</f>
        <v>L</v>
      </c>
      <c r="E220">
        <f t="shared" ca="1" si="30"/>
        <v>1</v>
      </c>
      <c r="F220" cm="1">
        <f t="array" aca="1" ref="F220" ca="1">INDEX($S$2:$S$31, RANDBETWEEN(1, COUNTA($S$2:$S$31)))</f>
        <v>59000</v>
      </c>
      <c r="G220" cm="1">
        <f t="array" aca="1" ref="G220" ca="1">INDEX($S$2:$S$31, RANDBETWEEN(1, COUNTA($S$2:$S$31)))</f>
        <v>59000</v>
      </c>
      <c r="H220">
        <f t="shared" ca="1" si="31"/>
        <v>11</v>
      </c>
      <c r="I220">
        <f t="shared" ca="1" si="32"/>
        <v>59000</v>
      </c>
      <c r="J220" s="10" t="str">
        <f t="shared" ca="1" si="33"/>
        <v>Offline</v>
      </c>
      <c r="K220" s="10">
        <f t="shared" ca="1" si="34"/>
        <v>59000</v>
      </c>
      <c r="L220" s="10">
        <f t="shared" ca="1" si="35"/>
        <v>59000</v>
      </c>
      <c r="M220" s="12" t="str" cm="1">
        <f t="array" aca="1" ref="M220" ca="1">INDEX($R$33:$R$82, RANDBETWEEN(1, COUNTA($R$33:$R$82)))</f>
        <v>NV8</v>
      </c>
      <c r="N220">
        <f t="shared" ca="1" si="36"/>
        <v>38</v>
      </c>
    </row>
    <row r="221" spans="1:14" ht="16.8" x14ac:dyDescent="0.3">
      <c r="A221" s="7" t="str">
        <f t="shared" si="28"/>
        <v>S0220</v>
      </c>
      <c r="B221" s="8">
        <f t="shared" ca="1" si="29"/>
        <v>44652</v>
      </c>
      <c r="C221" s="15" t="str" cm="1">
        <f t="array" aca="1" ref="C221" ca="1">INDEX($Q$2:$Q$31, RANDBETWEEN(1, COUNTA($Q$2:$Q$31)))</f>
        <v>Caramel Phin Freeze</v>
      </c>
      <c r="D221" s="10" t="str" cm="1">
        <f t="array" aca="1" ref="D221" ca="1">INDEX($R$2:$R$310, RANDBETWEEN(1, COUNTA($Q$2:$Q$310)))</f>
        <v>L</v>
      </c>
      <c r="E221">
        <f t="shared" ca="1" si="30"/>
        <v>1</v>
      </c>
      <c r="F221" cm="1">
        <f t="array" aca="1" ref="F221" ca="1">INDEX($S$2:$S$31, RANDBETWEEN(1, COUNTA($S$2:$S$31)))</f>
        <v>59000</v>
      </c>
      <c r="G221" cm="1">
        <f t="array" aca="1" ref="G221" ca="1">INDEX($S$2:$S$31, RANDBETWEEN(1, COUNTA($S$2:$S$31)))</f>
        <v>35000</v>
      </c>
      <c r="H221">
        <f t="shared" ca="1" si="31"/>
        <v>8</v>
      </c>
      <c r="I221">
        <f t="shared" ca="1" si="32"/>
        <v>54280</v>
      </c>
      <c r="J221" s="10" t="str">
        <f t="shared" ca="1" si="33"/>
        <v>Online</v>
      </c>
      <c r="K221" s="10">
        <f t="shared" ca="1" si="34"/>
        <v>54280</v>
      </c>
      <c r="L221" s="10">
        <f t="shared" ca="1" si="35"/>
        <v>54280</v>
      </c>
      <c r="M221" s="12" t="str" cm="1">
        <f t="array" aca="1" ref="M221" ca="1">INDEX($R$33:$R$82, RANDBETWEEN(1, COUNTA($R$33:$R$82)))</f>
        <v>NV27</v>
      </c>
      <c r="N221">
        <f t="shared" ca="1" si="36"/>
        <v>17</v>
      </c>
    </row>
    <row r="222" spans="1:14" ht="16.8" x14ac:dyDescent="0.3">
      <c r="A222" s="7" t="str">
        <f t="shared" si="28"/>
        <v>S0221</v>
      </c>
      <c r="B222" s="8">
        <f t="shared" ca="1" si="29"/>
        <v>44215</v>
      </c>
      <c r="C222" s="15" t="str" cm="1">
        <f t="array" aca="1" ref="C222" ca="1">INDEX($Q$2:$Q$31, RANDBETWEEN(1, COUNTA($Q$2:$Q$31)))</f>
        <v>Mocha</v>
      </c>
      <c r="D222" s="10" t="str" cm="1">
        <f t="array" aca="1" ref="D222" ca="1">INDEX($R$2:$R$310, RANDBETWEEN(1, COUNTA($Q$2:$Q$310)))</f>
        <v>M</v>
      </c>
      <c r="E222">
        <f t="shared" ca="1" si="30"/>
        <v>5</v>
      </c>
      <c r="F222" cm="1">
        <f t="array" aca="1" ref="F222" ca="1">INDEX($S$2:$S$31, RANDBETWEEN(1, COUNTA($S$2:$S$31)))</f>
        <v>55000</v>
      </c>
      <c r="G222" cm="1">
        <f t="array" aca="1" ref="G222" ca="1">INDEX($S$2:$S$31, RANDBETWEEN(1, COUNTA($S$2:$S$31)))</f>
        <v>65000</v>
      </c>
      <c r="H222">
        <f t="shared" ca="1" si="31"/>
        <v>12</v>
      </c>
      <c r="I222">
        <f t="shared" ca="1" si="32"/>
        <v>65000</v>
      </c>
      <c r="J222" s="10" t="str">
        <f t="shared" ca="1" si="33"/>
        <v>Offline</v>
      </c>
      <c r="K222" s="10">
        <f t="shared" ca="1" si="34"/>
        <v>65000</v>
      </c>
      <c r="L222" s="10">
        <f t="shared" ca="1" si="35"/>
        <v>325000</v>
      </c>
      <c r="M222" s="12" t="str" cm="1">
        <f t="array" aca="1" ref="M222" ca="1">INDEX($R$33:$R$82, RANDBETWEEN(1, COUNTA($R$33:$R$82)))</f>
        <v>NV42</v>
      </c>
      <c r="N222">
        <f t="shared" ca="1" si="36"/>
        <v>48</v>
      </c>
    </row>
    <row r="223" spans="1:14" ht="16.8" x14ac:dyDescent="0.3">
      <c r="A223" s="7" t="str">
        <f t="shared" si="28"/>
        <v>S0222</v>
      </c>
      <c r="B223" s="8">
        <f t="shared" ca="1" si="29"/>
        <v>44706</v>
      </c>
      <c r="C223" s="15" t="str" cm="1">
        <f t="array" aca="1" ref="C223" ca="1">INDEX($Q$2:$Q$31, RANDBETWEEN(1, COUNTA($Q$2:$Q$31)))</f>
        <v>Americano</v>
      </c>
      <c r="D223" s="10" t="str" cm="1">
        <f t="array" aca="1" ref="D223" ca="1">INDEX($R$2:$R$310, RANDBETWEEN(1, COUNTA($Q$2:$Q$310)))</f>
        <v>S</v>
      </c>
      <c r="E223">
        <f t="shared" ca="1" si="30"/>
        <v>1</v>
      </c>
      <c r="F223" cm="1">
        <f t="array" aca="1" ref="F223" ca="1">INDEX($S$2:$S$31, RANDBETWEEN(1, COUNTA($S$2:$S$31)))</f>
        <v>55000</v>
      </c>
      <c r="G223" cm="1">
        <f t="array" aca="1" ref="G223" ca="1">INDEX($S$2:$S$31, RANDBETWEEN(1, COUNTA($S$2:$S$31)))</f>
        <v>69000</v>
      </c>
      <c r="H223">
        <f t="shared" ca="1" si="31"/>
        <v>7</v>
      </c>
      <c r="I223">
        <f t="shared" ca="1" si="32"/>
        <v>51150</v>
      </c>
      <c r="J223" s="10" t="str">
        <f t="shared" ca="1" si="33"/>
        <v>Online</v>
      </c>
      <c r="K223" s="10">
        <f t="shared" ca="1" si="34"/>
        <v>51150</v>
      </c>
      <c r="L223" s="10">
        <f t="shared" ca="1" si="35"/>
        <v>51150</v>
      </c>
      <c r="M223" s="12" t="str" cm="1">
        <f t="array" aca="1" ref="M223" ca="1">INDEX($R$33:$R$82, RANDBETWEEN(1, COUNTA($R$33:$R$82)))</f>
        <v>NV14</v>
      </c>
      <c r="N223">
        <f t="shared" ca="1" si="36"/>
        <v>48</v>
      </c>
    </row>
    <row r="224" spans="1:14" ht="16.8" x14ac:dyDescent="0.3">
      <c r="A224" s="7" t="str">
        <f t="shared" si="28"/>
        <v>S0223</v>
      </c>
      <c r="B224" s="8">
        <f t="shared" ca="1" si="29"/>
        <v>44971</v>
      </c>
      <c r="C224" s="15" t="str" cm="1">
        <f t="array" aca="1" ref="C224" ca="1">INDEX($Q$2:$Q$31, RANDBETWEEN(1, COUNTA($Q$2:$Q$31)))</f>
        <v xml:space="preserve">Chocolate Freeze </v>
      </c>
      <c r="D224" s="10" t="str" cm="1">
        <f t="array" aca="1" ref="D224" ca="1">INDEX($R$2:$R$310, RANDBETWEEN(1, COUNTA($Q$2:$Q$310)))</f>
        <v>L</v>
      </c>
      <c r="E224">
        <f t="shared" ca="1" si="30"/>
        <v>5</v>
      </c>
      <c r="F224" cm="1">
        <f t="array" aca="1" ref="F224" ca="1">INDEX($S$2:$S$31, RANDBETWEEN(1, COUNTA($S$2:$S$31)))</f>
        <v>65000</v>
      </c>
      <c r="G224" cm="1">
        <f t="array" aca="1" ref="G224" ca="1">INDEX($S$2:$S$31, RANDBETWEEN(1, COUNTA($S$2:$S$31)))</f>
        <v>59000</v>
      </c>
      <c r="H224">
        <f t="shared" ca="1" si="31"/>
        <v>13</v>
      </c>
      <c r="I224">
        <f t="shared" ca="1" si="32"/>
        <v>56550</v>
      </c>
      <c r="J224" s="10" t="str">
        <f t="shared" ca="1" si="33"/>
        <v>Online</v>
      </c>
      <c r="K224" s="10">
        <f t="shared" ca="1" si="34"/>
        <v>56550</v>
      </c>
      <c r="L224" s="10">
        <f t="shared" ca="1" si="35"/>
        <v>282750</v>
      </c>
      <c r="M224" s="12" t="str" cm="1">
        <f t="array" aca="1" ref="M224" ca="1">INDEX($R$33:$R$82, RANDBETWEEN(1, COUNTA($R$33:$R$82)))</f>
        <v>NV22</v>
      </c>
      <c r="N224">
        <f t="shared" ca="1" si="36"/>
        <v>20</v>
      </c>
    </row>
    <row r="225" spans="1:14" ht="16.8" x14ac:dyDescent="0.3">
      <c r="A225" s="7" t="str">
        <f t="shared" si="28"/>
        <v>S0224</v>
      </c>
      <c r="B225" s="8">
        <f t="shared" ca="1" si="29"/>
        <v>44915</v>
      </c>
      <c r="C225" s="15" t="str" cm="1">
        <f t="array" aca="1" ref="C225" ca="1">INDEX($Q$2:$Q$31, RANDBETWEEN(1, COUNTA($Q$2:$Q$31)))</f>
        <v>Cappuccino</v>
      </c>
      <c r="D225" s="10" t="str" cm="1">
        <f t="array" aca="1" ref="D225" ca="1">INDEX($R$2:$R$310, RANDBETWEEN(1, COUNTA($Q$2:$Q$310)))</f>
        <v>L</v>
      </c>
      <c r="E225">
        <f t="shared" ca="1" si="30"/>
        <v>3</v>
      </c>
      <c r="F225" cm="1">
        <f t="array" aca="1" ref="F225" ca="1">INDEX($S$2:$S$31, RANDBETWEEN(1, COUNTA($S$2:$S$31)))</f>
        <v>55000</v>
      </c>
      <c r="G225" cm="1">
        <f t="array" aca="1" ref="G225" ca="1">INDEX($S$2:$S$31, RANDBETWEEN(1, COUNTA($S$2:$S$31)))</f>
        <v>75000</v>
      </c>
      <c r="H225">
        <f t="shared" ca="1" si="31"/>
        <v>15</v>
      </c>
      <c r="I225">
        <f t="shared" ca="1" si="32"/>
        <v>46750</v>
      </c>
      <c r="J225" s="10" t="str">
        <f t="shared" ca="1" si="33"/>
        <v>Online</v>
      </c>
      <c r="K225" s="10">
        <f t="shared" ca="1" si="34"/>
        <v>46750</v>
      </c>
      <c r="L225" s="10">
        <f t="shared" ca="1" si="35"/>
        <v>140250</v>
      </c>
      <c r="M225" s="12" t="str" cm="1">
        <f t="array" aca="1" ref="M225" ca="1">INDEX($R$33:$R$82, RANDBETWEEN(1, COUNTA($R$33:$R$82)))</f>
        <v>NV46</v>
      </c>
      <c r="N225">
        <f t="shared" ca="1" si="36"/>
        <v>19</v>
      </c>
    </row>
    <row r="226" spans="1:14" ht="16.8" x14ac:dyDescent="0.3">
      <c r="A226" s="7" t="str">
        <f t="shared" si="28"/>
        <v>S0225</v>
      </c>
      <c r="B226" s="8">
        <f t="shared" ca="1" si="29"/>
        <v>44769</v>
      </c>
      <c r="C226" s="15" t="str" cm="1">
        <f t="array" aca="1" ref="C226" ca="1">INDEX($Q$2:$Q$31, RANDBETWEEN(1, COUNTA($Q$2:$Q$31)))</f>
        <v xml:space="preserve">Green Tea Freeze </v>
      </c>
      <c r="D226" s="10" t="str" cm="1">
        <f t="array" aca="1" ref="D226" ca="1">INDEX($R$2:$R$310, RANDBETWEEN(1, COUNTA($Q$2:$Q$310)))</f>
        <v>M</v>
      </c>
      <c r="E226">
        <f t="shared" ca="1" si="30"/>
        <v>2</v>
      </c>
      <c r="F226" cm="1">
        <f t="array" aca="1" ref="F226" ca="1">INDEX($S$2:$S$31, RANDBETWEEN(1, COUNTA($S$2:$S$31)))</f>
        <v>49000</v>
      </c>
      <c r="G226" cm="1">
        <f t="array" aca="1" ref="G226" ca="1">INDEX($S$2:$S$31, RANDBETWEEN(1, COUNTA($S$2:$S$31)))</f>
        <v>45000</v>
      </c>
      <c r="H226">
        <f t="shared" ca="1" si="31"/>
        <v>6</v>
      </c>
      <c r="I226">
        <f t="shared" ca="1" si="32"/>
        <v>46060</v>
      </c>
      <c r="J226" s="10" t="str">
        <f t="shared" ca="1" si="33"/>
        <v>Online</v>
      </c>
      <c r="K226" s="10">
        <f t="shared" ca="1" si="34"/>
        <v>46060</v>
      </c>
      <c r="L226" s="10">
        <f t="shared" ca="1" si="35"/>
        <v>92120</v>
      </c>
      <c r="M226" s="12" t="str" cm="1">
        <f t="array" aca="1" ref="M226" ca="1">INDEX($R$33:$R$82, RANDBETWEEN(1, COUNTA($R$33:$R$82)))</f>
        <v>NV45</v>
      </c>
      <c r="N226">
        <f t="shared" ca="1" si="36"/>
        <v>42</v>
      </c>
    </row>
    <row r="227" spans="1:14" ht="16.8" x14ac:dyDescent="0.3">
      <c r="A227" s="7" t="str">
        <f t="shared" si="28"/>
        <v>S0226</v>
      </c>
      <c r="B227" s="8">
        <f t="shared" ca="1" si="29"/>
        <v>44812</v>
      </c>
      <c r="C227" s="15" t="str" cm="1">
        <f t="array" aca="1" ref="C227" ca="1">INDEX($Q$2:$Q$31, RANDBETWEEN(1, COUNTA($Q$2:$Q$31)))</f>
        <v>Classic Phin Freeze</v>
      </c>
      <c r="D227" s="10" t="str" cm="1">
        <f t="array" aca="1" ref="D227" ca="1">INDEX($R$2:$R$310, RANDBETWEEN(1, COUNTA($Q$2:$Q$310)))</f>
        <v>L</v>
      </c>
      <c r="E227">
        <f t="shared" ca="1" si="30"/>
        <v>1</v>
      </c>
      <c r="F227" cm="1">
        <f t="array" aca="1" ref="F227" ca="1">INDEX($S$2:$S$31, RANDBETWEEN(1, COUNTA($S$2:$S$31)))</f>
        <v>39000</v>
      </c>
      <c r="G227" cm="1">
        <f t="array" aca="1" ref="G227" ca="1">INDEX($S$2:$S$31, RANDBETWEEN(1, COUNTA($S$2:$S$31)))</f>
        <v>49000</v>
      </c>
      <c r="H227">
        <f t="shared" ca="1" si="31"/>
        <v>13</v>
      </c>
      <c r="I227">
        <f t="shared" ca="1" si="32"/>
        <v>49000</v>
      </c>
      <c r="J227" s="10" t="str">
        <f t="shared" ca="1" si="33"/>
        <v>Offline</v>
      </c>
      <c r="K227" s="10">
        <f t="shared" ca="1" si="34"/>
        <v>49000</v>
      </c>
      <c r="L227" s="10">
        <f t="shared" ca="1" si="35"/>
        <v>49000</v>
      </c>
      <c r="M227" s="12" t="str" cm="1">
        <f t="array" aca="1" ref="M227" ca="1">INDEX($R$33:$R$82, RANDBETWEEN(1, COUNTA($R$33:$R$82)))</f>
        <v>NV13</v>
      </c>
      <c r="N227">
        <f t="shared" ca="1" si="36"/>
        <v>48</v>
      </c>
    </row>
    <row r="228" spans="1:14" ht="16.8" x14ac:dyDescent="0.3">
      <c r="A228" s="7" t="str">
        <f t="shared" si="28"/>
        <v>S0227</v>
      </c>
      <c r="B228" s="8">
        <f t="shared" ca="1" si="29"/>
        <v>44812</v>
      </c>
      <c r="C228" s="15" t="str" cm="1">
        <f t="array" aca="1" ref="C228" ca="1">INDEX($Q$2:$Q$31, RANDBETWEEN(1, COUNTA($Q$2:$Q$31)))</f>
        <v>Latte</v>
      </c>
      <c r="D228" s="10" t="str" cm="1">
        <f t="array" aca="1" ref="D228" ca="1">INDEX($R$2:$R$310, RANDBETWEEN(1, COUNTA($Q$2:$Q$310)))</f>
        <v>M</v>
      </c>
      <c r="E228">
        <f t="shared" ca="1" si="30"/>
        <v>5</v>
      </c>
      <c r="F228" cm="1">
        <f t="array" aca="1" ref="F228" ca="1">INDEX($S$2:$S$31, RANDBETWEEN(1, COUNTA($S$2:$S$31)))</f>
        <v>49000</v>
      </c>
      <c r="G228" cm="1">
        <f t="array" aca="1" ref="G228" ca="1">INDEX($S$2:$S$31, RANDBETWEEN(1, COUNTA($S$2:$S$31)))</f>
        <v>59000</v>
      </c>
      <c r="H228">
        <f t="shared" ca="1" si="31"/>
        <v>6</v>
      </c>
      <c r="I228">
        <f t="shared" ca="1" si="32"/>
        <v>59000</v>
      </c>
      <c r="J228" s="10" t="str">
        <f t="shared" ca="1" si="33"/>
        <v>Offline</v>
      </c>
      <c r="K228" s="10">
        <f t="shared" ca="1" si="34"/>
        <v>59000</v>
      </c>
      <c r="L228" s="10">
        <f t="shared" ca="1" si="35"/>
        <v>295000</v>
      </c>
      <c r="M228" s="12" t="str" cm="1">
        <f t="array" aca="1" ref="M228" ca="1">INDEX($R$33:$R$82, RANDBETWEEN(1, COUNTA($R$33:$R$82)))</f>
        <v>NV13</v>
      </c>
      <c r="N228">
        <f t="shared" ca="1" si="36"/>
        <v>37</v>
      </c>
    </row>
    <row r="229" spans="1:14" ht="16.8" x14ac:dyDescent="0.3">
      <c r="A229" s="7" t="str">
        <f t="shared" si="28"/>
        <v>S0228</v>
      </c>
      <c r="B229" s="8">
        <f t="shared" ca="1" si="29"/>
        <v>45212</v>
      </c>
      <c r="C229" s="15" t="str" cm="1">
        <f t="array" aca="1" ref="C229" ca="1">INDEX($Q$2:$Q$31, RANDBETWEEN(1, COUNTA($Q$2:$Q$31)))</f>
        <v xml:space="preserve">Chocolate Freeze </v>
      </c>
      <c r="D229" s="10" t="str" cm="1">
        <f t="array" aca="1" ref="D229" ca="1">INDEX($R$2:$R$310, RANDBETWEEN(1, COUNTA($Q$2:$Q$310)))</f>
        <v>S</v>
      </c>
      <c r="E229">
        <f t="shared" ca="1" si="30"/>
        <v>1</v>
      </c>
      <c r="F229" cm="1">
        <f t="array" aca="1" ref="F229" ca="1">INDEX($S$2:$S$31, RANDBETWEEN(1, COUNTA($S$2:$S$31)))</f>
        <v>49000</v>
      </c>
      <c r="G229" cm="1">
        <f t="array" aca="1" ref="G229" ca="1">INDEX($S$2:$S$31, RANDBETWEEN(1, COUNTA($S$2:$S$31)))</f>
        <v>69000</v>
      </c>
      <c r="H229">
        <f t="shared" ca="1" si="31"/>
        <v>12</v>
      </c>
      <c r="I229">
        <f t="shared" ca="1" si="32"/>
        <v>43120</v>
      </c>
      <c r="J229" s="10" t="str">
        <f t="shared" ca="1" si="33"/>
        <v>Online</v>
      </c>
      <c r="K229" s="10">
        <f t="shared" ca="1" si="34"/>
        <v>43120</v>
      </c>
      <c r="L229" s="10">
        <f t="shared" ca="1" si="35"/>
        <v>43120</v>
      </c>
      <c r="M229" s="12" t="str" cm="1">
        <f t="array" aca="1" ref="M229" ca="1">INDEX($R$33:$R$82, RANDBETWEEN(1, COUNTA($R$33:$R$82)))</f>
        <v>NV27</v>
      </c>
      <c r="N229">
        <f t="shared" ca="1" si="36"/>
        <v>6</v>
      </c>
    </row>
    <row r="230" spans="1:14" ht="16.8" x14ac:dyDescent="0.3">
      <c r="A230" s="7" t="str">
        <f t="shared" si="28"/>
        <v>S0229</v>
      </c>
      <c r="B230" s="8">
        <f t="shared" ca="1" si="29"/>
        <v>45249</v>
      </c>
      <c r="C230" s="15" t="str" cm="1">
        <f t="array" aca="1" ref="C230" ca="1">INDEX($Q$2:$Q$31, RANDBETWEEN(1, COUNTA($Q$2:$Q$31)))</f>
        <v>Iced Black Coffee</v>
      </c>
      <c r="D230" s="10" t="str" cm="1">
        <f t="array" aca="1" ref="D230" ca="1">INDEX($R$2:$R$310, RANDBETWEEN(1, COUNTA($Q$2:$Q$310)))</f>
        <v>M</v>
      </c>
      <c r="E230">
        <f t="shared" ca="1" si="30"/>
        <v>4</v>
      </c>
      <c r="F230" cm="1">
        <f t="array" aca="1" ref="F230" ca="1">INDEX($S$2:$S$31, RANDBETWEEN(1, COUNTA($S$2:$S$31)))</f>
        <v>65000</v>
      </c>
      <c r="G230" cm="1">
        <f t="array" aca="1" ref="G230" ca="1">INDEX($S$2:$S$31, RANDBETWEEN(1, COUNTA($S$2:$S$31)))</f>
        <v>59000</v>
      </c>
      <c r="H230">
        <f t="shared" ca="1" si="31"/>
        <v>8</v>
      </c>
      <c r="I230">
        <f t="shared" ca="1" si="32"/>
        <v>59000</v>
      </c>
      <c r="J230" s="10" t="str">
        <f t="shared" ca="1" si="33"/>
        <v>Offline</v>
      </c>
      <c r="K230" s="10">
        <f t="shared" ca="1" si="34"/>
        <v>59000</v>
      </c>
      <c r="L230" s="10">
        <f t="shared" ca="1" si="35"/>
        <v>236000</v>
      </c>
      <c r="M230" s="12" t="str" cm="1">
        <f t="array" aca="1" ref="M230" ca="1">INDEX($R$33:$R$82, RANDBETWEEN(1, COUNTA($R$33:$R$82)))</f>
        <v>NV46</v>
      </c>
      <c r="N230">
        <f t="shared" ca="1" si="36"/>
        <v>44</v>
      </c>
    </row>
    <row r="231" spans="1:14" ht="16.8" x14ac:dyDescent="0.3">
      <c r="A231" s="7" t="str">
        <f t="shared" si="28"/>
        <v>S0230</v>
      </c>
      <c r="B231" s="8">
        <f t="shared" ca="1" si="29"/>
        <v>44319</v>
      </c>
      <c r="C231" s="15" t="str" cm="1">
        <f t="array" aca="1" ref="C231" ca="1">INDEX($Q$2:$Q$31, RANDBETWEEN(1, COUNTA($Q$2:$Q$31)))</f>
        <v>Latte</v>
      </c>
      <c r="D231" s="10" t="str" cm="1">
        <f t="array" aca="1" ref="D231" ca="1">INDEX($R$2:$R$310, RANDBETWEEN(1, COUNTA($Q$2:$Q$310)))</f>
        <v>S</v>
      </c>
      <c r="E231">
        <f t="shared" ca="1" si="30"/>
        <v>4</v>
      </c>
      <c r="F231" cm="1">
        <f t="array" aca="1" ref="F231" ca="1">INDEX($S$2:$S$31, RANDBETWEEN(1, COUNTA($S$2:$S$31)))</f>
        <v>65000</v>
      </c>
      <c r="G231" cm="1">
        <f t="array" aca="1" ref="G231" ca="1">INDEX($S$2:$S$31, RANDBETWEEN(1, COUNTA($S$2:$S$31)))</f>
        <v>49000</v>
      </c>
      <c r="H231">
        <f t="shared" ca="1" si="31"/>
        <v>10</v>
      </c>
      <c r="I231">
        <f t="shared" ca="1" si="32"/>
        <v>49000</v>
      </c>
      <c r="J231" s="10" t="str">
        <f t="shared" ca="1" si="33"/>
        <v>Offline</v>
      </c>
      <c r="K231" s="10">
        <f t="shared" ca="1" si="34"/>
        <v>49000</v>
      </c>
      <c r="L231" s="10">
        <f t="shared" ca="1" si="35"/>
        <v>196000</v>
      </c>
      <c r="M231" s="12" t="str" cm="1">
        <f t="array" aca="1" ref="M231" ca="1">INDEX($R$33:$R$82, RANDBETWEEN(1, COUNTA($R$33:$R$82)))</f>
        <v>NV4</v>
      </c>
      <c r="N231">
        <f t="shared" ca="1" si="36"/>
        <v>11</v>
      </c>
    </row>
    <row r="232" spans="1:14" ht="16.8" x14ac:dyDescent="0.3">
      <c r="A232" s="7" t="str">
        <f t="shared" si="28"/>
        <v>S0231</v>
      </c>
      <c r="B232" s="8">
        <f t="shared" ca="1" si="29"/>
        <v>44442</v>
      </c>
      <c r="C232" s="15" t="str" cm="1">
        <f t="array" aca="1" ref="C232" ca="1">INDEX($Q$2:$Q$31, RANDBETWEEN(1, COUNTA($Q$2:$Q$31)))</f>
        <v>Classic Phin Freeze</v>
      </c>
      <c r="D232" s="10" t="str" cm="1">
        <f t="array" aca="1" ref="D232" ca="1">INDEX($R$2:$R$310, RANDBETWEEN(1, COUNTA($Q$2:$Q$310)))</f>
        <v>M</v>
      </c>
      <c r="E232">
        <f t="shared" ca="1" si="30"/>
        <v>5</v>
      </c>
      <c r="F232" cm="1">
        <f t="array" aca="1" ref="F232" ca="1">INDEX($S$2:$S$31, RANDBETWEEN(1, COUNTA($S$2:$S$31)))</f>
        <v>75000</v>
      </c>
      <c r="G232" cm="1">
        <f t="array" aca="1" ref="G232" ca="1">INDEX($S$2:$S$31, RANDBETWEEN(1, COUNTA($S$2:$S$31)))</f>
        <v>69000</v>
      </c>
      <c r="H232">
        <f t="shared" ca="1" si="31"/>
        <v>9</v>
      </c>
      <c r="I232">
        <f t="shared" ca="1" si="32"/>
        <v>69000</v>
      </c>
      <c r="J232" s="10" t="str">
        <f t="shared" ca="1" si="33"/>
        <v>Offline</v>
      </c>
      <c r="K232" s="10">
        <f t="shared" ca="1" si="34"/>
        <v>69000</v>
      </c>
      <c r="L232" s="10">
        <f t="shared" ca="1" si="35"/>
        <v>345000</v>
      </c>
      <c r="M232" s="12" t="str" cm="1">
        <f t="array" aca="1" ref="M232" ca="1">INDEX($R$33:$R$82, RANDBETWEEN(1, COUNTA($R$33:$R$82)))</f>
        <v>NV30</v>
      </c>
      <c r="N232">
        <f t="shared" ca="1" si="36"/>
        <v>9</v>
      </c>
    </row>
    <row r="233" spans="1:14" ht="16.8" x14ac:dyDescent="0.3">
      <c r="A233" s="7" t="str">
        <f t="shared" si="28"/>
        <v>S0232</v>
      </c>
      <c r="B233" s="8">
        <f t="shared" ca="1" si="29"/>
        <v>44966</v>
      </c>
      <c r="C233" s="15" t="str" cm="1">
        <f t="array" aca="1" ref="C233" ca="1">INDEX($Q$2:$Q$31, RANDBETWEEN(1, COUNTA($Q$2:$Q$31)))</f>
        <v>Cookies &amp; Cream</v>
      </c>
      <c r="D233" s="10" t="str" cm="1">
        <f t="array" aca="1" ref="D233" ca="1">INDEX($R$2:$R$310, RANDBETWEEN(1, COUNTA($Q$2:$Q$310)))</f>
        <v>L</v>
      </c>
      <c r="E233">
        <f t="shared" ca="1" si="30"/>
        <v>3</v>
      </c>
      <c r="F233" cm="1">
        <f t="array" aca="1" ref="F233" ca="1">INDEX($S$2:$S$31, RANDBETWEEN(1, COUNTA($S$2:$S$31)))</f>
        <v>49000</v>
      </c>
      <c r="G233" cm="1">
        <f t="array" aca="1" ref="G233" ca="1">INDEX($S$2:$S$31, RANDBETWEEN(1, COUNTA($S$2:$S$31)))</f>
        <v>65000</v>
      </c>
      <c r="H233">
        <f t="shared" ca="1" si="31"/>
        <v>13</v>
      </c>
      <c r="I233">
        <f t="shared" ca="1" si="32"/>
        <v>42630</v>
      </c>
      <c r="J233" s="10" t="str">
        <f t="shared" ca="1" si="33"/>
        <v>Online</v>
      </c>
      <c r="K233" s="10">
        <f t="shared" ca="1" si="34"/>
        <v>42630</v>
      </c>
      <c r="L233" s="10">
        <f t="shared" ca="1" si="35"/>
        <v>127890</v>
      </c>
      <c r="M233" s="12" t="str" cm="1">
        <f t="array" aca="1" ref="M233" ca="1">INDEX($R$33:$R$82, RANDBETWEEN(1, COUNTA($R$33:$R$82)))</f>
        <v>NV27</v>
      </c>
      <c r="N233">
        <f t="shared" ca="1" si="36"/>
        <v>42</v>
      </c>
    </row>
    <row r="234" spans="1:14" ht="16.8" x14ac:dyDescent="0.3">
      <c r="A234" s="7" t="str">
        <f t="shared" si="28"/>
        <v>S0233</v>
      </c>
      <c r="B234" s="8">
        <f t="shared" ca="1" si="29"/>
        <v>44567</v>
      </c>
      <c r="C234" s="15" t="str" cm="1">
        <f t="array" aca="1" ref="C234" ca="1">INDEX($Q$2:$Q$31, RANDBETWEEN(1, COUNTA($Q$2:$Q$31)))</f>
        <v>Mocha</v>
      </c>
      <c r="D234" s="10" t="str" cm="1">
        <f t="array" aca="1" ref="D234" ca="1">INDEX($R$2:$R$310, RANDBETWEEN(1, COUNTA($Q$2:$Q$310)))</f>
        <v>M</v>
      </c>
      <c r="E234">
        <f t="shared" ca="1" si="30"/>
        <v>2</v>
      </c>
      <c r="F234" cm="1">
        <f t="array" aca="1" ref="F234" ca="1">INDEX($S$2:$S$31, RANDBETWEEN(1, COUNTA($S$2:$S$31)))</f>
        <v>49000</v>
      </c>
      <c r="G234" cm="1">
        <f t="array" aca="1" ref="G234" ca="1">INDEX($S$2:$S$31, RANDBETWEEN(1, COUNTA($S$2:$S$31)))</f>
        <v>59000</v>
      </c>
      <c r="H234">
        <f t="shared" ca="1" si="31"/>
        <v>9</v>
      </c>
      <c r="I234">
        <f t="shared" ca="1" si="32"/>
        <v>44590</v>
      </c>
      <c r="J234" s="10" t="str">
        <f t="shared" ca="1" si="33"/>
        <v>Online</v>
      </c>
      <c r="K234" s="10">
        <f t="shared" ca="1" si="34"/>
        <v>44590</v>
      </c>
      <c r="L234" s="10">
        <f t="shared" ca="1" si="35"/>
        <v>89180</v>
      </c>
      <c r="M234" s="12" t="str" cm="1">
        <f t="array" aca="1" ref="M234" ca="1">INDEX($R$33:$R$82, RANDBETWEEN(1, COUNTA($R$33:$R$82)))</f>
        <v>NV15</v>
      </c>
      <c r="N234">
        <f t="shared" ca="1" si="36"/>
        <v>51</v>
      </c>
    </row>
    <row r="235" spans="1:14" ht="16.8" x14ac:dyDescent="0.3">
      <c r="A235" s="7" t="str">
        <f t="shared" si="28"/>
        <v>S0234</v>
      </c>
      <c r="B235" s="8">
        <f t="shared" ca="1" si="29"/>
        <v>44750</v>
      </c>
      <c r="C235" s="15" t="str" cm="1">
        <f t="array" aca="1" ref="C235" ca="1">INDEX($Q$2:$Q$31, RANDBETWEEN(1, COUNTA($Q$2:$Q$31)))</f>
        <v>Caramel Phin Freeze</v>
      </c>
      <c r="D235" s="10" t="str" cm="1">
        <f t="array" aca="1" ref="D235" ca="1">INDEX($R$2:$R$310, RANDBETWEEN(1, COUNTA($Q$2:$Q$310)))</f>
        <v>L</v>
      </c>
      <c r="E235">
        <f t="shared" ca="1" si="30"/>
        <v>4</v>
      </c>
      <c r="F235" cm="1">
        <f t="array" aca="1" ref="F235" ca="1">INDEX($S$2:$S$31, RANDBETWEEN(1, COUNTA($S$2:$S$31)))</f>
        <v>49000</v>
      </c>
      <c r="G235" cm="1">
        <f t="array" aca="1" ref="G235" ca="1">INDEX($S$2:$S$31, RANDBETWEEN(1, COUNTA($S$2:$S$31)))</f>
        <v>49000</v>
      </c>
      <c r="H235">
        <f t="shared" ca="1" si="31"/>
        <v>8</v>
      </c>
      <c r="I235">
        <f t="shared" ca="1" si="32"/>
        <v>49000</v>
      </c>
      <c r="J235" s="10" t="str">
        <f t="shared" ca="1" si="33"/>
        <v>Offline</v>
      </c>
      <c r="K235" s="10">
        <f t="shared" ca="1" si="34"/>
        <v>49000</v>
      </c>
      <c r="L235" s="10">
        <f t="shared" ca="1" si="35"/>
        <v>196000</v>
      </c>
      <c r="M235" s="12" t="str" cm="1">
        <f t="array" aca="1" ref="M235" ca="1">INDEX($R$33:$R$82, RANDBETWEEN(1, COUNTA($R$33:$R$82)))</f>
        <v>NV13</v>
      </c>
      <c r="N235">
        <f t="shared" ca="1" si="36"/>
        <v>15</v>
      </c>
    </row>
    <row r="236" spans="1:14" ht="16.8" x14ac:dyDescent="0.3">
      <c r="A236" s="7" t="str">
        <f t="shared" si="28"/>
        <v>S0235</v>
      </c>
      <c r="B236" s="8">
        <f t="shared" ca="1" si="29"/>
        <v>44428</v>
      </c>
      <c r="C236" s="15" t="str" cm="1">
        <f t="array" aca="1" ref="C236" ca="1">INDEX($Q$2:$Q$31, RANDBETWEEN(1, COUNTA($Q$2:$Q$31)))</f>
        <v xml:space="preserve">Green Tea Freeze </v>
      </c>
      <c r="D236" s="10" t="str" cm="1">
        <f t="array" aca="1" ref="D236" ca="1">INDEX($R$2:$R$310, RANDBETWEEN(1, COUNTA($Q$2:$Q$310)))</f>
        <v>M</v>
      </c>
      <c r="E236">
        <f t="shared" ca="1" si="30"/>
        <v>5</v>
      </c>
      <c r="F236" cm="1">
        <f t="array" aca="1" ref="F236" ca="1">INDEX($S$2:$S$31, RANDBETWEEN(1, COUNTA($S$2:$S$31)))</f>
        <v>49000</v>
      </c>
      <c r="G236" cm="1">
        <f t="array" aca="1" ref="G236" ca="1">INDEX($S$2:$S$31, RANDBETWEEN(1, COUNTA($S$2:$S$31)))</f>
        <v>49000</v>
      </c>
      <c r="H236">
        <f t="shared" ca="1" si="31"/>
        <v>14</v>
      </c>
      <c r="I236">
        <f t="shared" ca="1" si="32"/>
        <v>49000</v>
      </c>
      <c r="J236" s="10" t="str">
        <f t="shared" ca="1" si="33"/>
        <v>Offline</v>
      </c>
      <c r="K236" s="10">
        <f t="shared" ca="1" si="34"/>
        <v>49000</v>
      </c>
      <c r="L236" s="10">
        <f t="shared" ca="1" si="35"/>
        <v>245000</v>
      </c>
      <c r="M236" s="12" t="str" cm="1">
        <f t="array" aca="1" ref="M236" ca="1">INDEX($R$33:$R$82, RANDBETWEEN(1, COUNTA($R$33:$R$82)))</f>
        <v>NV34</v>
      </c>
      <c r="N236">
        <f t="shared" ca="1" si="36"/>
        <v>26</v>
      </c>
    </row>
    <row r="237" spans="1:14" ht="16.8" x14ac:dyDescent="0.3">
      <c r="A237" s="7" t="str">
        <f t="shared" si="28"/>
        <v>S0236</v>
      </c>
      <c r="B237" s="8">
        <f t="shared" ca="1" si="29"/>
        <v>44759</v>
      </c>
      <c r="C237" s="15" t="str" cm="1">
        <f t="array" aca="1" ref="C237" ca="1">INDEX($Q$2:$Q$31, RANDBETWEEN(1, COUNTA($Q$2:$Q$31)))</f>
        <v>Caramel Phin Freeze</v>
      </c>
      <c r="D237" s="10" t="str" cm="1">
        <f t="array" aca="1" ref="D237" ca="1">INDEX($R$2:$R$310, RANDBETWEEN(1, COUNTA($Q$2:$Q$310)))</f>
        <v>M</v>
      </c>
      <c r="E237">
        <f t="shared" ca="1" si="30"/>
        <v>1</v>
      </c>
      <c r="F237" cm="1">
        <f t="array" aca="1" ref="F237" ca="1">INDEX($S$2:$S$31, RANDBETWEEN(1, COUNTA($S$2:$S$31)))</f>
        <v>65000</v>
      </c>
      <c r="G237" cm="1">
        <f t="array" aca="1" ref="G237" ca="1">INDEX($S$2:$S$31, RANDBETWEEN(1, COUNTA($S$2:$S$31)))</f>
        <v>59000</v>
      </c>
      <c r="H237">
        <f t="shared" ca="1" si="31"/>
        <v>12</v>
      </c>
      <c r="I237">
        <f t="shared" ca="1" si="32"/>
        <v>59000</v>
      </c>
      <c r="J237" s="10" t="str">
        <f t="shared" ca="1" si="33"/>
        <v>Offline</v>
      </c>
      <c r="K237" s="10">
        <f t="shared" ca="1" si="34"/>
        <v>59000</v>
      </c>
      <c r="L237" s="10">
        <f t="shared" ca="1" si="35"/>
        <v>59000</v>
      </c>
      <c r="M237" s="12" t="str" cm="1">
        <f t="array" aca="1" ref="M237" ca="1">INDEX($R$33:$R$82, RANDBETWEEN(1, COUNTA($R$33:$R$82)))</f>
        <v>NV37</v>
      </c>
      <c r="N237">
        <f t="shared" ca="1" si="36"/>
        <v>11</v>
      </c>
    </row>
    <row r="238" spans="1:14" ht="16.8" x14ac:dyDescent="0.3">
      <c r="A238" s="7" t="str">
        <f t="shared" si="28"/>
        <v>S0237</v>
      </c>
      <c r="B238" s="8">
        <f t="shared" ca="1" si="29"/>
        <v>44283</v>
      </c>
      <c r="C238" s="15" t="str" cm="1">
        <f t="array" aca="1" ref="C238" ca="1">INDEX($Q$2:$Q$31, RANDBETWEEN(1, COUNTA($Q$2:$Q$31)))</f>
        <v xml:space="preserve">Chocolate Freeze </v>
      </c>
      <c r="D238" s="10" t="str" cm="1">
        <f t="array" aca="1" ref="D238" ca="1">INDEX($R$2:$R$310, RANDBETWEEN(1, COUNTA($Q$2:$Q$310)))</f>
        <v>S</v>
      </c>
      <c r="E238">
        <f t="shared" ca="1" si="30"/>
        <v>5</v>
      </c>
      <c r="F238" cm="1">
        <f t="array" aca="1" ref="F238" ca="1">INDEX($S$2:$S$31, RANDBETWEEN(1, COUNTA($S$2:$S$31)))</f>
        <v>69000</v>
      </c>
      <c r="G238" cm="1">
        <f t="array" aca="1" ref="G238" ca="1">INDEX($S$2:$S$31, RANDBETWEEN(1, COUNTA($S$2:$S$31)))</f>
        <v>59000</v>
      </c>
      <c r="H238">
        <f t="shared" ca="1" si="31"/>
        <v>15</v>
      </c>
      <c r="I238">
        <f t="shared" ca="1" si="32"/>
        <v>58650</v>
      </c>
      <c r="J238" s="10" t="str">
        <f t="shared" ca="1" si="33"/>
        <v>Online</v>
      </c>
      <c r="K238" s="10">
        <f t="shared" ca="1" si="34"/>
        <v>58650</v>
      </c>
      <c r="L238" s="10">
        <f t="shared" ca="1" si="35"/>
        <v>293250</v>
      </c>
      <c r="M238" s="12" t="str" cm="1">
        <f t="array" aca="1" ref="M238" ca="1">INDEX($R$33:$R$82, RANDBETWEEN(1, COUNTA($R$33:$R$82)))</f>
        <v>NV38</v>
      </c>
      <c r="N238">
        <f t="shared" ca="1" si="36"/>
        <v>33</v>
      </c>
    </row>
    <row r="239" spans="1:14" ht="16.8" x14ac:dyDescent="0.3">
      <c r="A239" s="7" t="str">
        <f t="shared" si="28"/>
        <v>S0238</v>
      </c>
      <c r="B239" s="8">
        <f t="shared" ca="1" si="29"/>
        <v>45058</v>
      </c>
      <c r="C239" s="15" t="str" cm="1">
        <f t="array" aca="1" ref="C239" ca="1">INDEX($Q$2:$Q$31, RANDBETWEEN(1, COUNTA($Q$2:$Q$31)))</f>
        <v>Americano</v>
      </c>
      <c r="D239" s="10" t="str" cm="1">
        <f t="array" aca="1" ref="D239" ca="1">INDEX($R$2:$R$310, RANDBETWEEN(1, COUNTA($Q$2:$Q$310)))</f>
        <v>S</v>
      </c>
      <c r="E239">
        <f t="shared" ca="1" si="30"/>
        <v>3</v>
      </c>
      <c r="F239" cm="1">
        <f t="array" aca="1" ref="F239" ca="1">INDEX($S$2:$S$31, RANDBETWEEN(1, COUNTA($S$2:$S$31)))</f>
        <v>49000</v>
      </c>
      <c r="G239" cm="1">
        <f t="array" aca="1" ref="G239" ca="1">INDEX($S$2:$S$31, RANDBETWEEN(1, COUNTA($S$2:$S$31)))</f>
        <v>49000</v>
      </c>
      <c r="H239">
        <f t="shared" ca="1" si="31"/>
        <v>14</v>
      </c>
      <c r="I239">
        <f t="shared" ca="1" si="32"/>
        <v>42140</v>
      </c>
      <c r="J239" s="10" t="str">
        <f t="shared" ca="1" si="33"/>
        <v>Online</v>
      </c>
      <c r="K239" s="10">
        <f t="shared" ca="1" si="34"/>
        <v>42140</v>
      </c>
      <c r="L239" s="10">
        <f t="shared" ca="1" si="35"/>
        <v>126420</v>
      </c>
      <c r="M239" s="12" t="str" cm="1">
        <f t="array" aca="1" ref="M239" ca="1">INDEX($R$33:$R$82, RANDBETWEEN(1, COUNTA($R$33:$R$82)))</f>
        <v>NV49</v>
      </c>
      <c r="N239">
        <f t="shared" ca="1" si="36"/>
        <v>36</v>
      </c>
    </row>
    <row r="240" spans="1:14" ht="16.8" x14ac:dyDescent="0.3">
      <c r="A240" s="7" t="str">
        <f t="shared" si="28"/>
        <v>S0239</v>
      </c>
      <c r="B240" s="8">
        <f t="shared" ca="1" si="29"/>
        <v>44293</v>
      </c>
      <c r="C240" s="15" t="str" cm="1">
        <f t="array" aca="1" ref="C240" ca="1">INDEX($Q$2:$Q$31, RANDBETWEEN(1, COUNTA($Q$2:$Q$31)))</f>
        <v>Latte</v>
      </c>
      <c r="D240" s="10" t="str" cm="1">
        <f t="array" aca="1" ref="D240" ca="1">INDEX($R$2:$R$310, RANDBETWEEN(1, COUNTA($Q$2:$Q$310)))</f>
        <v>M</v>
      </c>
      <c r="E240">
        <f t="shared" ca="1" si="30"/>
        <v>5</v>
      </c>
      <c r="F240" cm="1">
        <f t="array" aca="1" ref="F240" ca="1">INDEX($S$2:$S$31, RANDBETWEEN(1, COUNTA($S$2:$S$31)))</f>
        <v>75000</v>
      </c>
      <c r="G240" cm="1">
        <f t="array" aca="1" ref="G240" ca="1">INDEX($S$2:$S$31, RANDBETWEEN(1, COUNTA($S$2:$S$31)))</f>
        <v>69000</v>
      </c>
      <c r="H240">
        <f t="shared" ca="1" si="31"/>
        <v>15</v>
      </c>
      <c r="I240">
        <f t="shared" ca="1" si="32"/>
        <v>63750</v>
      </c>
      <c r="J240" s="10" t="str">
        <f t="shared" ca="1" si="33"/>
        <v>Online</v>
      </c>
      <c r="K240" s="10">
        <f t="shared" ca="1" si="34"/>
        <v>63750</v>
      </c>
      <c r="L240" s="10">
        <f t="shared" ca="1" si="35"/>
        <v>318750</v>
      </c>
      <c r="M240" s="12" t="str" cm="1">
        <f t="array" aca="1" ref="M240" ca="1">INDEX($R$33:$R$82, RANDBETWEEN(1, COUNTA($R$33:$R$82)))</f>
        <v>NV24</v>
      </c>
      <c r="N240">
        <f t="shared" ca="1" si="36"/>
        <v>35</v>
      </c>
    </row>
    <row r="241" spans="1:14" ht="16.8" x14ac:dyDescent="0.3">
      <c r="A241" s="7" t="str">
        <f t="shared" si="28"/>
        <v>S0240</v>
      </c>
      <c r="B241" s="8">
        <f t="shared" ca="1" si="29"/>
        <v>44200</v>
      </c>
      <c r="C241" s="15" t="str" cm="1">
        <f t="array" aca="1" ref="C241" ca="1">INDEX($Q$2:$Q$31, RANDBETWEEN(1, COUNTA($Q$2:$Q$31)))</f>
        <v>Classic Phin Freeze</v>
      </c>
      <c r="D241" s="10" t="str" cm="1">
        <f t="array" aca="1" ref="D241" ca="1">INDEX($R$2:$R$310, RANDBETWEEN(1, COUNTA($Q$2:$Q$310)))</f>
        <v>L</v>
      </c>
      <c r="E241">
        <f t="shared" ca="1" si="30"/>
        <v>2</v>
      </c>
      <c r="F241" cm="1">
        <f t="array" aca="1" ref="F241" ca="1">INDEX($S$2:$S$31, RANDBETWEEN(1, COUNTA($S$2:$S$31)))</f>
        <v>49000</v>
      </c>
      <c r="G241" cm="1">
        <f t="array" aca="1" ref="G241" ca="1">INDEX($S$2:$S$31, RANDBETWEEN(1, COUNTA($S$2:$S$31)))</f>
        <v>65000</v>
      </c>
      <c r="H241">
        <f t="shared" ca="1" si="31"/>
        <v>7</v>
      </c>
      <c r="I241">
        <f t="shared" ca="1" si="32"/>
        <v>45570</v>
      </c>
      <c r="J241" s="10" t="str">
        <f t="shared" ca="1" si="33"/>
        <v>Online</v>
      </c>
      <c r="K241" s="10">
        <f t="shared" ca="1" si="34"/>
        <v>45570</v>
      </c>
      <c r="L241" s="10">
        <f t="shared" ca="1" si="35"/>
        <v>91140</v>
      </c>
      <c r="M241" s="12" t="str" cm="1">
        <f t="array" aca="1" ref="M241" ca="1">INDEX($R$33:$R$82, RANDBETWEEN(1, COUNTA($R$33:$R$82)))</f>
        <v>NV31</v>
      </c>
      <c r="N241">
        <f t="shared" ca="1" si="36"/>
        <v>7</v>
      </c>
    </row>
    <row r="242" spans="1:14" ht="16.8" x14ac:dyDescent="0.3">
      <c r="A242" s="7" t="str">
        <f t="shared" si="28"/>
        <v>S0241</v>
      </c>
      <c r="B242" s="8">
        <f t="shared" ca="1" si="29"/>
        <v>45110</v>
      </c>
      <c r="C242" s="15" t="str" cm="1">
        <f t="array" aca="1" ref="C242" ca="1">INDEX($Q$2:$Q$31, RANDBETWEEN(1, COUNTA($Q$2:$Q$31)))</f>
        <v>Cookies &amp; Cream</v>
      </c>
      <c r="D242" s="10" t="str" cm="1">
        <f t="array" aca="1" ref="D242" ca="1">INDEX($R$2:$R$310, RANDBETWEEN(1, COUNTA($Q$2:$Q$310)))</f>
        <v>M</v>
      </c>
      <c r="E242">
        <f t="shared" ca="1" si="30"/>
        <v>1</v>
      </c>
      <c r="F242" cm="1">
        <f t="array" aca="1" ref="F242" ca="1">INDEX($S$2:$S$31, RANDBETWEEN(1, COUNTA($S$2:$S$31)))</f>
        <v>59000</v>
      </c>
      <c r="G242" cm="1">
        <f t="array" aca="1" ref="G242" ca="1">INDEX($S$2:$S$31, RANDBETWEEN(1, COUNTA($S$2:$S$31)))</f>
        <v>39000</v>
      </c>
      <c r="H242">
        <f t="shared" ca="1" si="31"/>
        <v>9</v>
      </c>
      <c r="I242">
        <f t="shared" ca="1" si="32"/>
        <v>39000</v>
      </c>
      <c r="J242" s="10" t="str">
        <f t="shared" ca="1" si="33"/>
        <v>Offline</v>
      </c>
      <c r="K242" s="10">
        <f t="shared" ca="1" si="34"/>
        <v>39000</v>
      </c>
      <c r="L242" s="10">
        <f t="shared" ca="1" si="35"/>
        <v>39000</v>
      </c>
      <c r="M242" s="12" t="str" cm="1">
        <f t="array" aca="1" ref="M242" ca="1">INDEX($R$33:$R$82, RANDBETWEEN(1, COUNTA($R$33:$R$82)))</f>
        <v>NV50</v>
      </c>
      <c r="N242">
        <f t="shared" ca="1" si="36"/>
        <v>39</v>
      </c>
    </row>
    <row r="243" spans="1:14" ht="16.8" x14ac:dyDescent="0.3">
      <c r="A243" s="7" t="str">
        <f t="shared" si="28"/>
        <v>S0242</v>
      </c>
      <c r="B243" s="8">
        <f t="shared" ca="1" si="29"/>
        <v>44357</v>
      </c>
      <c r="C243" s="15" t="str" cm="1">
        <f t="array" aca="1" ref="C243" ca="1">INDEX($Q$2:$Q$31, RANDBETWEEN(1, COUNTA($Q$2:$Q$31)))</f>
        <v>Cookies &amp; Cream</v>
      </c>
      <c r="D243" s="10" t="str" cm="1">
        <f t="array" aca="1" ref="D243" ca="1">INDEX($R$2:$R$310, RANDBETWEEN(1, COUNTA($Q$2:$Q$310)))</f>
        <v>M</v>
      </c>
      <c r="E243">
        <f t="shared" ca="1" si="30"/>
        <v>5</v>
      </c>
      <c r="F243" cm="1">
        <f t="array" aca="1" ref="F243" ca="1">INDEX($S$2:$S$31, RANDBETWEEN(1, COUNTA($S$2:$S$31)))</f>
        <v>59000</v>
      </c>
      <c r="G243" cm="1">
        <f t="array" aca="1" ref="G243" ca="1">INDEX($S$2:$S$31, RANDBETWEEN(1, COUNTA($S$2:$S$31)))</f>
        <v>45000</v>
      </c>
      <c r="H243">
        <f t="shared" ca="1" si="31"/>
        <v>12</v>
      </c>
      <c r="I243">
        <f t="shared" ca="1" si="32"/>
        <v>45000</v>
      </c>
      <c r="J243" s="10" t="str">
        <f t="shared" ca="1" si="33"/>
        <v>Offline</v>
      </c>
      <c r="K243" s="10">
        <f t="shared" ca="1" si="34"/>
        <v>45000</v>
      </c>
      <c r="L243" s="10">
        <f t="shared" ca="1" si="35"/>
        <v>225000</v>
      </c>
      <c r="M243" s="12" t="str" cm="1">
        <f t="array" aca="1" ref="M243" ca="1">INDEX($R$33:$R$82, RANDBETWEEN(1, COUNTA($R$33:$R$82)))</f>
        <v>NV50</v>
      </c>
      <c r="N243">
        <f t="shared" ca="1" si="36"/>
        <v>42</v>
      </c>
    </row>
    <row r="244" spans="1:14" ht="16.8" x14ac:dyDescent="0.3">
      <c r="A244" s="7" t="str">
        <f t="shared" si="28"/>
        <v>S0243</v>
      </c>
      <c r="B244" s="8">
        <f t="shared" ca="1" si="29"/>
        <v>45208</v>
      </c>
      <c r="C244" s="15" t="str" cm="1">
        <f t="array" aca="1" ref="C244" ca="1">INDEX($Q$2:$Q$31, RANDBETWEEN(1, COUNTA($Q$2:$Q$31)))</f>
        <v>Cookies &amp; Cream</v>
      </c>
      <c r="D244" s="10" t="str" cm="1">
        <f t="array" aca="1" ref="D244" ca="1">INDEX($R$2:$R$310, RANDBETWEEN(1, COUNTA($Q$2:$Q$310)))</f>
        <v>S</v>
      </c>
      <c r="E244">
        <f t="shared" ca="1" si="30"/>
        <v>4</v>
      </c>
      <c r="F244" cm="1">
        <f t="array" aca="1" ref="F244" ca="1">INDEX($S$2:$S$31, RANDBETWEEN(1, COUNTA($S$2:$S$31)))</f>
        <v>59000</v>
      </c>
      <c r="G244" cm="1">
        <f t="array" aca="1" ref="G244" ca="1">INDEX($S$2:$S$31, RANDBETWEEN(1, COUNTA($S$2:$S$31)))</f>
        <v>65000</v>
      </c>
      <c r="H244">
        <f t="shared" ca="1" si="31"/>
        <v>10</v>
      </c>
      <c r="I244">
        <f t="shared" ca="1" si="32"/>
        <v>53100</v>
      </c>
      <c r="J244" s="10" t="str">
        <f t="shared" ca="1" si="33"/>
        <v>Online</v>
      </c>
      <c r="K244" s="10">
        <f t="shared" ca="1" si="34"/>
        <v>53100</v>
      </c>
      <c r="L244" s="10">
        <f t="shared" ca="1" si="35"/>
        <v>212400</v>
      </c>
      <c r="M244" s="12" t="str" cm="1">
        <f t="array" aca="1" ref="M244" ca="1">INDEX($R$33:$R$82, RANDBETWEEN(1, COUNTA($R$33:$R$82)))</f>
        <v>NV9</v>
      </c>
      <c r="N244">
        <f t="shared" ca="1" si="36"/>
        <v>34</v>
      </c>
    </row>
    <row r="245" spans="1:14" ht="16.8" x14ac:dyDescent="0.3">
      <c r="A245" s="7" t="str">
        <f t="shared" si="28"/>
        <v>S0244</v>
      </c>
      <c r="B245" s="8">
        <f t="shared" ca="1" si="29"/>
        <v>45046</v>
      </c>
      <c r="C245" s="15" t="str" cm="1">
        <f t="array" aca="1" ref="C245" ca="1">INDEX($Q$2:$Q$31, RANDBETWEEN(1, COUNTA($Q$2:$Q$31)))</f>
        <v xml:space="preserve">Green Tea Freeze </v>
      </c>
      <c r="D245" s="10" t="str" cm="1">
        <f t="array" aca="1" ref="D245" ca="1">INDEX($R$2:$R$310, RANDBETWEEN(1, COUNTA($Q$2:$Q$310)))</f>
        <v>S</v>
      </c>
      <c r="E245">
        <f t="shared" ca="1" si="30"/>
        <v>3</v>
      </c>
      <c r="F245" cm="1">
        <f t="array" aca="1" ref="F245" ca="1">INDEX($S$2:$S$31, RANDBETWEEN(1, COUNTA($S$2:$S$31)))</f>
        <v>69000</v>
      </c>
      <c r="G245" cm="1">
        <f t="array" aca="1" ref="G245" ca="1">INDEX($S$2:$S$31, RANDBETWEEN(1, COUNTA($S$2:$S$31)))</f>
        <v>59000</v>
      </c>
      <c r="H245">
        <f t="shared" ca="1" si="31"/>
        <v>10</v>
      </c>
      <c r="I245">
        <f t="shared" ca="1" si="32"/>
        <v>59000</v>
      </c>
      <c r="J245" s="10" t="str">
        <f t="shared" ca="1" si="33"/>
        <v>Offline</v>
      </c>
      <c r="K245" s="10">
        <f t="shared" ca="1" si="34"/>
        <v>59000</v>
      </c>
      <c r="L245" s="10">
        <f t="shared" ca="1" si="35"/>
        <v>177000</v>
      </c>
      <c r="M245" s="12" t="str" cm="1">
        <f t="array" aca="1" ref="M245" ca="1">INDEX($R$33:$R$82, RANDBETWEEN(1, COUNTA($R$33:$R$82)))</f>
        <v>NV16</v>
      </c>
      <c r="N245">
        <f t="shared" ca="1" si="36"/>
        <v>32</v>
      </c>
    </row>
    <row r="246" spans="1:14" ht="16.8" x14ac:dyDescent="0.3">
      <c r="A246" s="7" t="str">
        <f t="shared" si="28"/>
        <v>S0245</v>
      </c>
      <c r="B246" s="8">
        <f t="shared" ca="1" si="29"/>
        <v>44725</v>
      </c>
      <c r="C246" s="15" t="str" cm="1">
        <f t="array" aca="1" ref="C246" ca="1">INDEX($Q$2:$Q$31, RANDBETWEEN(1, COUNTA($Q$2:$Q$31)))</f>
        <v>Cappuccino</v>
      </c>
      <c r="D246" s="10" t="str" cm="1">
        <f t="array" aca="1" ref="D246" ca="1">INDEX($R$2:$R$310, RANDBETWEEN(1, COUNTA($Q$2:$Q$310)))</f>
        <v>M</v>
      </c>
      <c r="E246">
        <f t="shared" ca="1" si="30"/>
        <v>4</v>
      </c>
      <c r="F246" cm="1">
        <f t="array" aca="1" ref="F246" ca="1">INDEX($S$2:$S$31, RANDBETWEEN(1, COUNTA($S$2:$S$31)))</f>
        <v>49000</v>
      </c>
      <c r="G246" cm="1">
        <f t="array" aca="1" ref="G246" ca="1">INDEX($S$2:$S$31, RANDBETWEEN(1, COUNTA($S$2:$S$31)))</f>
        <v>59000</v>
      </c>
      <c r="H246">
        <f t="shared" ca="1" si="31"/>
        <v>14</v>
      </c>
      <c r="I246">
        <f t="shared" ca="1" si="32"/>
        <v>42140</v>
      </c>
      <c r="J246" s="10" t="str">
        <f t="shared" ca="1" si="33"/>
        <v>Online</v>
      </c>
      <c r="K246" s="10">
        <f t="shared" ca="1" si="34"/>
        <v>42140</v>
      </c>
      <c r="L246" s="10">
        <f t="shared" ca="1" si="35"/>
        <v>168560</v>
      </c>
      <c r="M246" s="12" t="str" cm="1">
        <f t="array" aca="1" ref="M246" ca="1">INDEX($R$33:$R$82, RANDBETWEEN(1, COUNTA($R$33:$R$82)))</f>
        <v>NV19</v>
      </c>
      <c r="N246">
        <f t="shared" ca="1" si="36"/>
        <v>15</v>
      </c>
    </row>
    <row r="247" spans="1:14" ht="16.8" x14ac:dyDescent="0.3">
      <c r="A247" s="7" t="str">
        <f t="shared" si="28"/>
        <v>S0246</v>
      </c>
      <c r="B247" s="8">
        <f t="shared" ca="1" si="29"/>
        <v>45061</v>
      </c>
      <c r="C247" s="15" t="str" cm="1">
        <f t="array" aca="1" ref="C247" ca="1">INDEX($Q$2:$Q$31, RANDBETWEEN(1, COUNTA($Q$2:$Q$31)))</f>
        <v>Iced Black Coffee</v>
      </c>
      <c r="D247" s="10" t="str" cm="1">
        <f t="array" aca="1" ref="D247" ca="1">INDEX($R$2:$R$310, RANDBETWEEN(1, COUNTA($Q$2:$Q$310)))</f>
        <v>S</v>
      </c>
      <c r="E247">
        <f t="shared" ca="1" si="30"/>
        <v>3</v>
      </c>
      <c r="F247" cm="1">
        <f t="array" aca="1" ref="F247" ca="1">INDEX($S$2:$S$31, RANDBETWEEN(1, COUNTA($S$2:$S$31)))</f>
        <v>49000</v>
      </c>
      <c r="G247" cm="1">
        <f t="array" aca="1" ref="G247" ca="1">INDEX($S$2:$S$31, RANDBETWEEN(1, COUNTA($S$2:$S$31)))</f>
        <v>65000</v>
      </c>
      <c r="H247">
        <f t="shared" ca="1" si="31"/>
        <v>13</v>
      </c>
      <c r="I247">
        <f t="shared" ca="1" si="32"/>
        <v>65000</v>
      </c>
      <c r="J247" s="10" t="str">
        <f t="shared" ca="1" si="33"/>
        <v>Offline</v>
      </c>
      <c r="K247" s="10">
        <f t="shared" ca="1" si="34"/>
        <v>65000</v>
      </c>
      <c r="L247" s="10">
        <f t="shared" ca="1" si="35"/>
        <v>195000</v>
      </c>
      <c r="M247" s="12" t="str" cm="1">
        <f t="array" aca="1" ref="M247" ca="1">INDEX($R$33:$R$82, RANDBETWEEN(1, COUNTA($R$33:$R$82)))</f>
        <v>NV1</v>
      </c>
      <c r="N247">
        <f t="shared" ca="1" si="36"/>
        <v>8</v>
      </c>
    </row>
    <row r="248" spans="1:14" ht="16.8" x14ac:dyDescent="0.3">
      <c r="A248" s="7" t="str">
        <f t="shared" si="28"/>
        <v>S0247</v>
      </c>
      <c r="B248" s="8">
        <f t="shared" ca="1" si="29"/>
        <v>44954</v>
      </c>
      <c r="C248" s="15" t="str" cm="1">
        <f t="array" aca="1" ref="C248" ca="1">INDEX($Q$2:$Q$31, RANDBETWEEN(1, COUNTA($Q$2:$Q$31)))</f>
        <v>Mocha</v>
      </c>
      <c r="D248" s="10" t="str" cm="1">
        <f t="array" aca="1" ref="D248" ca="1">INDEX($R$2:$R$310, RANDBETWEEN(1, COUNTA($Q$2:$Q$310)))</f>
        <v>M</v>
      </c>
      <c r="E248">
        <f t="shared" ca="1" si="30"/>
        <v>5</v>
      </c>
      <c r="F248" cm="1">
        <f t="array" aca="1" ref="F248" ca="1">INDEX($S$2:$S$31, RANDBETWEEN(1, COUNTA($S$2:$S$31)))</f>
        <v>59000</v>
      </c>
      <c r="G248" cm="1">
        <f t="array" aca="1" ref="G248" ca="1">INDEX($S$2:$S$31, RANDBETWEEN(1, COUNTA($S$2:$S$31)))</f>
        <v>65000</v>
      </c>
      <c r="H248">
        <f t="shared" ca="1" si="31"/>
        <v>6</v>
      </c>
      <c r="I248">
        <f t="shared" ca="1" si="32"/>
        <v>65000</v>
      </c>
      <c r="J248" s="10" t="str">
        <f t="shared" ca="1" si="33"/>
        <v>Offline</v>
      </c>
      <c r="K248" s="10">
        <f t="shared" ca="1" si="34"/>
        <v>65000</v>
      </c>
      <c r="L248" s="10">
        <f t="shared" ca="1" si="35"/>
        <v>325000</v>
      </c>
      <c r="M248" s="12" t="str" cm="1">
        <f t="array" aca="1" ref="M248" ca="1">INDEX($R$33:$R$82, RANDBETWEEN(1, COUNTA($R$33:$R$82)))</f>
        <v>NV16</v>
      </c>
      <c r="N248">
        <f t="shared" ca="1" si="36"/>
        <v>23</v>
      </c>
    </row>
    <row r="249" spans="1:14" ht="16.8" x14ac:dyDescent="0.3">
      <c r="A249" s="7" t="str">
        <f t="shared" si="28"/>
        <v>S0248</v>
      </c>
      <c r="B249" s="8">
        <f t="shared" ca="1" si="29"/>
        <v>45247</v>
      </c>
      <c r="C249" s="15" t="str" cm="1">
        <f t="array" aca="1" ref="C249" ca="1">INDEX($Q$2:$Q$31, RANDBETWEEN(1, COUNTA($Q$2:$Q$31)))</f>
        <v xml:space="preserve">Green Tea Freeze </v>
      </c>
      <c r="D249" s="10" t="str" cm="1">
        <f t="array" aca="1" ref="D249" ca="1">INDEX($R$2:$R$310, RANDBETWEEN(1, COUNTA($Q$2:$Q$310)))</f>
        <v>S</v>
      </c>
      <c r="E249">
        <f t="shared" ca="1" si="30"/>
        <v>5</v>
      </c>
      <c r="F249" cm="1">
        <f t="array" aca="1" ref="F249" ca="1">INDEX($S$2:$S$31, RANDBETWEEN(1, COUNTA($S$2:$S$31)))</f>
        <v>59000</v>
      </c>
      <c r="G249" cm="1">
        <f t="array" aca="1" ref="G249" ca="1">INDEX($S$2:$S$31, RANDBETWEEN(1, COUNTA($S$2:$S$31)))</f>
        <v>49000</v>
      </c>
      <c r="H249">
        <f t="shared" ca="1" si="31"/>
        <v>13</v>
      </c>
      <c r="I249">
        <f t="shared" ca="1" si="32"/>
        <v>49000</v>
      </c>
      <c r="J249" s="10" t="str">
        <f t="shared" ca="1" si="33"/>
        <v>Offline</v>
      </c>
      <c r="K249" s="10">
        <f t="shared" ca="1" si="34"/>
        <v>49000</v>
      </c>
      <c r="L249" s="10">
        <f t="shared" ca="1" si="35"/>
        <v>245000</v>
      </c>
      <c r="M249" s="12" t="str" cm="1">
        <f t="array" aca="1" ref="M249" ca="1">INDEX($R$33:$R$82, RANDBETWEEN(1, COUNTA($R$33:$R$82)))</f>
        <v>NV45</v>
      </c>
      <c r="N249">
        <f t="shared" ca="1" si="36"/>
        <v>11</v>
      </c>
    </row>
    <row r="250" spans="1:14" ht="16.8" x14ac:dyDescent="0.3">
      <c r="A250" s="7" t="str">
        <f t="shared" si="28"/>
        <v>S0249</v>
      </c>
      <c r="B250" s="8">
        <f t="shared" ca="1" si="29"/>
        <v>44574</v>
      </c>
      <c r="C250" s="15" t="str" cm="1">
        <f t="array" aca="1" ref="C250" ca="1">INDEX($Q$2:$Q$31, RANDBETWEEN(1, COUNTA($Q$2:$Q$31)))</f>
        <v>Cappuccino</v>
      </c>
      <c r="D250" s="10" t="str" cm="1">
        <f t="array" aca="1" ref="D250" ca="1">INDEX($R$2:$R$310, RANDBETWEEN(1, COUNTA($Q$2:$Q$310)))</f>
        <v>L</v>
      </c>
      <c r="E250">
        <f t="shared" ca="1" si="30"/>
        <v>3</v>
      </c>
      <c r="F250" cm="1">
        <f t="array" aca="1" ref="F250" ca="1">INDEX($S$2:$S$31, RANDBETWEEN(1, COUNTA($S$2:$S$31)))</f>
        <v>59000</v>
      </c>
      <c r="G250" cm="1">
        <f t="array" aca="1" ref="G250" ca="1">INDEX($S$2:$S$31, RANDBETWEEN(1, COUNTA($S$2:$S$31)))</f>
        <v>59000</v>
      </c>
      <c r="H250">
        <f t="shared" ca="1" si="31"/>
        <v>13</v>
      </c>
      <c r="I250">
        <f t="shared" ca="1" si="32"/>
        <v>59000</v>
      </c>
      <c r="J250" s="10" t="str">
        <f t="shared" ca="1" si="33"/>
        <v>Offline</v>
      </c>
      <c r="K250" s="10">
        <f t="shared" ca="1" si="34"/>
        <v>59000</v>
      </c>
      <c r="L250" s="10">
        <f t="shared" ca="1" si="35"/>
        <v>177000</v>
      </c>
      <c r="M250" s="12" t="str" cm="1">
        <f t="array" aca="1" ref="M250" ca="1">INDEX($R$33:$R$82, RANDBETWEEN(1, COUNTA($R$33:$R$82)))</f>
        <v>NV29</v>
      </c>
      <c r="N250">
        <f t="shared" ca="1" si="36"/>
        <v>25</v>
      </c>
    </row>
    <row r="251" spans="1:14" ht="16.8" x14ac:dyDescent="0.3">
      <c r="A251" s="7" t="str">
        <f t="shared" si="28"/>
        <v>S0250</v>
      </c>
      <c r="B251" s="8">
        <f t="shared" ca="1" si="29"/>
        <v>45178</v>
      </c>
      <c r="C251" s="15" t="str" cm="1">
        <f t="array" aca="1" ref="C251" ca="1">INDEX($Q$2:$Q$31, RANDBETWEEN(1, COUNTA($Q$2:$Q$31)))</f>
        <v>Latte</v>
      </c>
      <c r="D251" s="10" t="str" cm="1">
        <f t="array" aca="1" ref="D251" ca="1">INDEX($R$2:$R$310, RANDBETWEEN(1, COUNTA($Q$2:$Q$310)))</f>
        <v>M</v>
      </c>
      <c r="E251">
        <f t="shared" ca="1" si="30"/>
        <v>5</v>
      </c>
      <c r="F251" cm="1">
        <f t="array" aca="1" ref="F251" ca="1">INDEX($S$2:$S$31, RANDBETWEEN(1, COUNTA($S$2:$S$31)))</f>
        <v>69000</v>
      </c>
      <c r="G251" cm="1">
        <f t="array" aca="1" ref="G251" ca="1">INDEX($S$2:$S$31, RANDBETWEEN(1, COUNTA($S$2:$S$31)))</f>
        <v>65000</v>
      </c>
      <c r="H251">
        <f t="shared" ca="1" si="31"/>
        <v>5</v>
      </c>
      <c r="I251">
        <f t="shared" ca="1" si="32"/>
        <v>65000</v>
      </c>
      <c r="J251" s="10" t="str">
        <f t="shared" ca="1" si="33"/>
        <v>Offline</v>
      </c>
      <c r="K251" s="10">
        <f t="shared" ca="1" si="34"/>
        <v>65000</v>
      </c>
      <c r="L251" s="10">
        <f t="shared" ca="1" si="35"/>
        <v>325000</v>
      </c>
      <c r="M251" s="12" t="str" cm="1">
        <f t="array" aca="1" ref="M251" ca="1">INDEX($R$33:$R$82, RANDBETWEEN(1, COUNTA($R$33:$R$82)))</f>
        <v>NV38</v>
      </c>
      <c r="N251">
        <f t="shared" ca="1" si="36"/>
        <v>33</v>
      </c>
    </row>
    <row r="252" spans="1:14" ht="16.8" x14ac:dyDescent="0.3">
      <c r="A252" s="7" t="str">
        <f t="shared" si="28"/>
        <v>S0251</v>
      </c>
      <c r="B252" s="8">
        <f t="shared" ca="1" si="29"/>
        <v>45053</v>
      </c>
      <c r="C252" s="15" t="str" cm="1">
        <f t="array" aca="1" ref="C252" ca="1">INDEX($Q$2:$Q$31, RANDBETWEEN(1, COUNTA($Q$2:$Q$31)))</f>
        <v xml:space="preserve">Green Tea Freeze </v>
      </c>
      <c r="D252" s="10" t="str" cm="1">
        <f t="array" aca="1" ref="D252" ca="1">INDEX($R$2:$R$310, RANDBETWEEN(1, COUNTA($Q$2:$Q$310)))</f>
        <v>L</v>
      </c>
      <c r="E252">
        <f t="shared" ca="1" si="30"/>
        <v>4</v>
      </c>
      <c r="F252" cm="1">
        <f t="array" aca="1" ref="F252" ca="1">INDEX($S$2:$S$31, RANDBETWEEN(1, COUNTA($S$2:$S$31)))</f>
        <v>65000</v>
      </c>
      <c r="G252" cm="1">
        <f t="array" aca="1" ref="G252" ca="1">INDEX($S$2:$S$31, RANDBETWEEN(1, COUNTA($S$2:$S$31)))</f>
        <v>65000</v>
      </c>
      <c r="H252">
        <f t="shared" ca="1" si="31"/>
        <v>7</v>
      </c>
      <c r="I252">
        <f t="shared" ca="1" si="32"/>
        <v>65000</v>
      </c>
      <c r="J252" s="10" t="str">
        <f t="shared" ca="1" si="33"/>
        <v>Offline</v>
      </c>
      <c r="K252" s="10">
        <f t="shared" ca="1" si="34"/>
        <v>65000</v>
      </c>
      <c r="L252" s="10">
        <f t="shared" ca="1" si="35"/>
        <v>260000</v>
      </c>
      <c r="M252" s="12" t="str" cm="1">
        <f t="array" aca="1" ref="M252" ca="1">INDEX($R$33:$R$82, RANDBETWEEN(1, COUNTA($R$33:$R$82)))</f>
        <v>NV14</v>
      </c>
      <c r="N252">
        <f t="shared" ca="1" si="36"/>
        <v>18</v>
      </c>
    </row>
    <row r="253" spans="1:14" ht="16.8" x14ac:dyDescent="0.3">
      <c r="A253" s="7" t="str">
        <f t="shared" si="28"/>
        <v>S0252</v>
      </c>
      <c r="B253" s="8">
        <f t="shared" ca="1" si="29"/>
        <v>44968</v>
      </c>
      <c r="C253" s="15" t="str" cm="1">
        <f t="array" aca="1" ref="C253" ca="1">INDEX($Q$2:$Q$31, RANDBETWEEN(1, COUNTA($Q$2:$Q$31)))</f>
        <v>Iced Black Coffee</v>
      </c>
      <c r="D253" s="10" t="str" cm="1">
        <f t="array" aca="1" ref="D253" ca="1">INDEX($R$2:$R$310, RANDBETWEEN(1, COUNTA($Q$2:$Q$310)))</f>
        <v>L</v>
      </c>
      <c r="E253">
        <f t="shared" ca="1" si="30"/>
        <v>3</v>
      </c>
      <c r="F253" cm="1">
        <f t="array" aca="1" ref="F253" ca="1">INDEX($S$2:$S$31, RANDBETWEEN(1, COUNTA($S$2:$S$31)))</f>
        <v>49000</v>
      </c>
      <c r="G253" cm="1">
        <f t="array" aca="1" ref="G253" ca="1">INDEX($S$2:$S$31, RANDBETWEEN(1, COUNTA($S$2:$S$31)))</f>
        <v>69000</v>
      </c>
      <c r="H253">
        <f t="shared" ca="1" si="31"/>
        <v>14</v>
      </c>
      <c r="I253">
        <f t="shared" ca="1" si="32"/>
        <v>69000</v>
      </c>
      <c r="J253" s="10" t="str">
        <f t="shared" ca="1" si="33"/>
        <v>Offline</v>
      </c>
      <c r="K253" s="10">
        <f t="shared" ca="1" si="34"/>
        <v>69000</v>
      </c>
      <c r="L253" s="10">
        <f t="shared" ca="1" si="35"/>
        <v>207000</v>
      </c>
      <c r="M253" s="12" t="str" cm="1">
        <f t="array" aca="1" ref="M253" ca="1">INDEX($R$33:$R$82, RANDBETWEEN(1, COUNTA($R$33:$R$82)))</f>
        <v>NV12</v>
      </c>
      <c r="N253">
        <f t="shared" ca="1" si="36"/>
        <v>24</v>
      </c>
    </row>
    <row r="254" spans="1:14" ht="16.8" x14ac:dyDescent="0.3">
      <c r="A254" s="7" t="str">
        <f t="shared" si="28"/>
        <v>S0253</v>
      </c>
      <c r="B254" s="8">
        <f t="shared" ca="1" si="29"/>
        <v>44614</v>
      </c>
      <c r="C254" s="15" t="str" cm="1">
        <f t="array" aca="1" ref="C254" ca="1">INDEX($Q$2:$Q$31, RANDBETWEEN(1, COUNTA($Q$2:$Q$31)))</f>
        <v>Caramel Phin Freeze</v>
      </c>
      <c r="D254" s="10" t="str" cm="1">
        <f t="array" aca="1" ref="D254" ca="1">INDEX($R$2:$R$310, RANDBETWEEN(1, COUNTA($Q$2:$Q$310)))</f>
        <v>L</v>
      </c>
      <c r="E254">
        <f t="shared" ca="1" si="30"/>
        <v>2</v>
      </c>
      <c r="F254" cm="1">
        <f t="array" aca="1" ref="F254" ca="1">INDEX($S$2:$S$31, RANDBETWEEN(1, COUNTA($S$2:$S$31)))</f>
        <v>59000</v>
      </c>
      <c r="G254" cm="1">
        <f t="array" aca="1" ref="G254" ca="1">INDEX($S$2:$S$31, RANDBETWEEN(1, COUNTA($S$2:$S$31)))</f>
        <v>45000</v>
      </c>
      <c r="H254">
        <f t="shared" ca="1" si="31"/>
        <v>12</v>
      </c>
      <c r="I254">
        <f t="shared" ca="1" si="32"/>
        <v>45000</v>
      </c>
      <c r="J254" s="10" t="str">
        <f t="shared" ca="1" si="33"/>
        <v>Offline</v>
      </c>
      <c r="K254" s="10">
        <f t="shared" ca="1" si="34"/>
        <v>45000</v>
      </c>
      <c r="L254" s="10">
        <f t="shared" ca="1" si="35"/>
        <v>90000</v>
      </c>
      <c r="M254" s="12" t="str" cm="1">
        <f t="array" aca="1" ref="M254" ca="1">INDEX($R$33:$R$82, RANDBETWEEN(1, COUNTA($R$33:$R$82)))</f>
        <v>NV32</v>
      </c>
      <c r="N254">
        <f t="shared" ca="1" si="36"/>
        <v>23</v>
      </c>
    </row>
    <row r="255" spans="1:14" ht="16.8" x14ac:dyDescent="0.3">
      <c r="A255" s="7" t="str">
        <f t="shared" ref="A255:A318" si="37">"S"&amp;TEXT(ROW()-1,"0000")</f>
        <v>S0254</v>
      </c>
      <c r="B255" s="8">
        <f t="shared" ref="B255:B318" ca="1" si="38">DATE(2021,1,1) + RANDBETWEEN(0,1095)</f>
        <v>44928</v>
      </c>
      <c r="C255" s="15" t="str" cm="1">
        <f t="array" aca="1" ref="C255" ca="1">INDEX($Q$2:$Q$31, RANDBETWEEN(1, COUNTA($Q$2:$Q$31)))</f>
        <v xml:space="preserve">Chocolate Freeze </v>
      </c>
      <c r="D255" s="10" t="str" cm="1">
        <f t="array" aca="1" ref="D255" ca="1">INDEX($R$2:$R$310, RANDBETWEEN(1, COUNTA($Q$2:$Q$310)))</f>
        <v>M</v>
      </c>
      <c r="E255">
        <f t="shared" ref="E255:E318" ca="1" si="39">RANDBETWEEN(1,5)</f>
        <v>3</v>
      </c>
      <c r="F255" cm="1">
        <f t="array" aca="1" ref="F255" ca="1">INDEX($S$2:$S$31, RANDBETWEEN(1, COUNTA($S$2:$S$31)))</f>
        <v>49000</v>
      </c>
      <c r="G255" cm="1">
        <f t="array" aca="1" ref="G255" ca="1">INDEX($S$2:$S$31, RANDBETWEEN(1, COUNTA($S$2:$S$31)))</f>
        <v>65000</v>
      </c>
      <c r="H255">
        <f t="shared" ca="1" si="31"/>
        <v>5</v>
      </c>
      <c r="I255">
        <f t="shared" ca="1" si="32"/>
        <v>46550</v>
      </c>
      <c r="J255" s="10" t="str">
        <f t="shared" ca="1" si="33"/>
        <v>Online</v>
      </c>
      <c r="K255" s="10">
        <f t="shared" ca="1" si="34"/>
        <v>46550</v>
      </c>
      <c r="L255" s="10">
        <f t="shared" ca="1" si="35"/>
        <v>139650</v>
      </c>
      <c r="M255" s="12" t="str" cm="1">
        <f t="array" aca="1" ref="M255" ca="1">INDEX($R$33:$R$82, RANDBETWEEN(1, COUNTA($R$33:$R$82)))</f>
        <v>NV11</v>
      </c>
      <c r="N255">
        <f t="shared" ca="1" si="36"/>
        <v>37</v>
      </c>
    </row>
    <row r="256" spans="1:14" ht="16.8" x14ac:dyDescent="0.3">
      <c r="A256" s="7" t="str">
        <f t="shared" si="37"/>
        <v>S0255</v>
      </c>
      <c r="B256" s="8">
        <f t="shared" ca="1" si="38"/>
        <v>44414</v>
      </c>
      <c r="C256" s="15" t="str" cm="1">
        <f t="array" aca="1" ref="C256" ca="1">INDEX($Q$2:$Q$31, RANDBETWEEN(1, COUNTA($Q$2:$Q$31)))</f>
        <v>Iced Black Coffee</v>
      </c>
      <c r="D256" s="10" t="str" cm="1">
        <f t="array" aca="1" ref="D256" ca="1">INDEX($R$2:$R$310, RANDBETWEEN(1, COUNTA($Q$2:$Q$310)))</f>
        <v>S</v>
      </c>
      <c r="E256">
        <f t="shared" ca="1" si="39"/>
        <v>2</v>
      </c>
      <c r="F256" cm="1">
        <f t="array" aca="1" ref="F256" ca="1">INDEX($S$2:$S$31, RANDBETWEEN(1, COUNTA($S$2:$S$31)))</f>
        <v>55000</v>
      </c>
      <c r="G256" cm="1">
        <f t="array" aca="1" ref="G256" ca="1">INDEX($S$2:$S$31, RANDBETWEEN(1, COUNTA($S$2:$S$31)))</f>
        <v>65000</v>
      </c>
      <c r="H256">
        <f t="shared" ca="1" si="31"/>
        <v>11</v>
      </c>
      <c r="I256">
        <f t="shared" ca="1" si="32"/>
        <v>48950</v>
      </c>
      <c r="J256" s="10" t="str">
        <f t="shared" ca="1" si="33"/>
        <v>Online</v>
      </c>
      <c r="K256" s="10">
        <f t="shared" ca="1" si="34"/>
        <v>48950</v>
      </c>
      <c r="L256" s="10">
        <f t="shared" ca="1" si="35"/>
        <v>97900</v>
      </c>
      <c r="M256" s="12" t="str" cm="1">
        <f t="array" aca="1" ref="M256" ca="1">INDEX($R$33:$R$82, RANDBETWEEN(1, COUNTA($R$33:$R$82)))</f>
        <v>NV40</v>
      </c>
      <c r="N256">
        <f t="shared" ca="1" si="36"/>
        <v>35</v>
      </c>
    </row>
    <row r="257" spans="1:14" ht="16.8" x14ac:dyDescent="0.3">
      <c r="A257" s="7" t="str">
        <f t="shared" si="37"/>
        <v>S0256</v>
      </c>
      <c r="B257" s="8">
        <f t="shared" ca="1" si="38"/>
        <v>44729</v>
      </c>
      <c r="C257" s="15" t="str" cm="1">
        <f t="array" aca="1" ref="C257" ca="1">INDEX($Q$2:$Q$31, RANDBETWEEN(1, COUNTA($Q$2:$Q$31)))</f>
        <v>Cookies &amp; Cream</v>
      </c>
      <c r="D257" s="10" t="str" cm="1">
        <f t="array" aca="1" ref="D257" ca="1">INDEX($R$2:$R$310, RANDBETWEEN(1, COUNTA($Q$2:$Q$310)))</f>
        <v>L</v>
      </c>
      <c r="E257">
        <f t="shared" ca="1" si="39"/>
        <v>3</v>
      </c>
      <c r="F257" cm="1">
        <f t="array" aca="1" ref="F257" ca="1">INDEX($S$2:$S$31, RANDBETWEEN(1, COUNTA($S$2:$S$31)))</f>
        <v>59000</v>
      </c>
      <c r="G257" cm="1">
        <f t="array" aca="1" ref="G257" ca="1">INDEX($S$2:$S$31, RANDBETWEEN(1, COUNTA($S$2:$S$31)))</f>
        <v>65000</v>
      </c>
      <c r="H257">
        <f t="shared" ca="1" si="31"/>
        <v>13</v>
      </c>
      <c r="I257">
        <f t="shared" ca="1" si="32"/>
        <v>51330</v>
      </c>
      <c r="J257" s="10" t="str">
        <f t="shared" ca="1" si="33"/>
        <v>Online</v>
      </c>
      <c r="K257" s="10">
        <f t="shared" ca="1" si="34"/>
        <v>51330</v>
      </c>
      <c r="L257" s="10">
        <f t="shared" ca="1" si="35"/>
        <v>153990</v>
      </c>
      <c r="M257" s="12" t="str" cm="1">
        <f t="array" aca="1" ref="M257" ca="1">INDEX($R$33:$R$82, RANDBETWEEN(1, COUNTA($R$33:$R$82)))</f>
        <v>NV38</v>
      </c>
      <c r="N257">
        <f t="shared" ca="1" si="36"/>
        <v>11</v>
      </c>
    </row>
    <row r="258" spans="1:14" ht="16.8" x14ac:dyDescent="0.3">
      <c r="A258" s="7" t="str">
        <f t="shared" si="37"/>
        <v>S0257</v>
      </c>
      <c r="B258" s="8">
        <f t="shared" ca="1" si="38"/>
        <v>44809</v>
      </c>
      <c r="C258" s="15" t="str" cm="1">
        <f t="array" aca="1" ref="C258" ca="1">INDEX($Q$2:$Q$31, RANDBETWEEN(1, COUNTA($Q$2:$Q$31)))</f>
        <v xml:space="preserve">Chocolate Freeze </v>
      </c>
      <c r="D258" s="10" t="str" cm="1">
        <f t="array" aca="1" ref="D258" ca="1">INDEX($R$2:$R$310, RANDBETWEEN(1, COUNTA($Q$2:$Q$310)))</f>
        <v>L</v>
      </c>
      <c r="E258">
        <f t="shared" ca="1" si="39"/>
        <v>2</v>
      </c>
      <c r="F258" cm="1">
        <f t="array" aca="1" ref="F258" ca="1">INDEX($S$2:$S$31, RANDBETWEEN(1, COUNTA($S$2:$S$31)))</f>
        <v>65000</v>
      </c>
      <c r="G258" cm="1">
        <f t="array" aca="1" ref="G258" ca="1">INDEX($S$2:$S$31, RANDBETWEEN(1, COUNTA($S$2:$S$31)))</f>
        <v>75000</v>
      </c>
      <c r="H258">
        <f t="shared" ca="1" si="31"/>
        <v>15</v>
      </c>
      <c r="I258">
        <f t="shared" ca="1" si="32"/>
        <v>75000</v>
      </c>
      <c r="J258" s="10" t="str">
        <f t="shared" ca="1" si="33"/>
        <v>Offline</v>
      </c>
      <c r="K258" s="10">
        <f t="shared" ca="1" si="34"/>
        <v>75000</v>
      </c>
      <c r="L258" s="10">
        <f t="shared" ca="1" si="35"/>
        <v>150000</v>
      </c>
      <c r="M258" s="12" t="str" cm="1">
        <f t="array" aca="1" ref="M258" ca="1">INDEX($R$33:$R$82, RANDBETWEEN(1, COUNTA($R$33:$R$82)))</f>
        <v>NV45</v>
      </c>
      <c r="N258">
        <f t="shared" ca="1" si="36"/>
        <v>24</v>
      </c>
    </row>
    <row r="259" spans="1:14" ht="16.8" x14ac:dyDescent="0.3">
      <c r="A259" s="7" t="str">
        <f t="shared" si="37"/>
        <v>S0258</v>
      </c>
      <c r="B259" s="8">
        <f t="shared" ca="1" si="38"/>
        <v>44805</v>
      </c>
      <c r="C259" s="15" t="str" cm="1">
        <f t="array" aca="1" ref="C259" ca="1">INDEX($Q$2:$Q$31, RANDBETWEEN(1, COUNTA($Q$2:$Q$31)))</f>
        <v xml:space="preserve">Green Tea Freeze </v>
      </c>
      <c r="D259" s="10" t="str" cm="1">
        <f t="array" aca="1" ref="D259" ca="1">INDEX($R$2:$R$310, RANDBETWEEN(1, COUNTA($Q$2:$Q$310)))</f>
        <v>L</v>
      </c>
      <c r="E259">
        <f t="shared" ca="1" si="39"/>
        <v>1</v>
      </c>
      <c r="F259" cm="1">
        <f t="array" aca="1" ref="F259" ca="1">INDEX($S$2:$S$31, RANDBETWEEN(1, COUNTA($S$2:$S$31)))</f>
        <v>49000</v>
      </c>
      <c r="G259" cm="1">
        <f t="array" aca="1" ref="G259" ca="1">INDEX($S$2:$S$31, RANDBETWEEN(1, COUNTA($S$2:$S$31)))</f>
        <v>45000</v>
      </c>
      <c r="H259">
        <f t="shared" ref="H259:H322" ca="1" si="40">RANDBETWEEN(5,15)</f>
        <v>14</v>
      </c>
      <c r="I259">
        <f t="shared" ref="I259:I322" ca="1" si="41">IF(J259="Online", F259*(1-H259/100), G259)</f>
        <v>42140</v>
      </c>
      <c r="J259" s="10" t="str">
        <f t="shared" ref="J259:J322" ca="1" si="42">IF(RANDBETWEEN(1,2)=1,"Online","Offline")</f>
        <v>Online</v>
      </c>
      <c r="K259" s="10">
        <f t="shared" ref="K259:K322" ca="1" si="43">I259</f>
        <v>42140</v>
      </c>
      <c r="L259" s="10">
        <f t="shared" ref="L259:L322" ca="1" si="44">E259*K259</f>
        <v>42140</v>
      </c>
      <c r="M259" s="12" t="str" cm="1">
        <f t="array" aca="1" ref="M259" ca="1">INDEX($R$33:$R$82, RANDBETWEEN(1, COUNTA($R$33:$R$82)))</f>
        <v>NV45</v>
      </c>
      <c r="N259">
        <f t="shared" ref="N259:N322" ca="1" si="45" xml:space="preserve"> RANDBETWEEN(2,51)</f>
        <v>31</v>
      </c>
    </row>
    <row r="260" spans="1:14" ht="16.8" x14ac:dyDescent="0.3">
      <c r="A260" s="7" t="str">
        <f t="shared" si="37"/>
        <v>S0259</v>
      </c>
      <c r="B260" s="8">
        <f t="shared" ca="1" si="38"/>
        <v>44384</v>
      </c>
      <c r="C260" s="15" t="str" cm="1">
        <f t="array" aca="1" ref="C260" ca="1">INDEX($Q$2:$Q$31, RANDBETWEEN(1, COUNTA($Q$2:$Q$31)))</f>
        <v xml:space="preserve">Green Tea Freeze </v>
      </c>
      <c r="D260" s="10" t="str" cm="1">
        <f t="array" aca="1" ref="D260" ca="1">INDEX($R$2:$R$310, RANDBETWEEN(1, COUNTA($Q$2:$Q$310)))</f>
        <v>L</v>
      </c>
      <c r="E260">
        <f t="shared" ca="1" si="39"/>
        <v>5</v>
      </c>
      <c r="F260" cm="1">
        <f t="array" aca="1" ref="F260" ca="1">INDEX($S$2:$S$31, RANDBETWEEN(1, COUNTA($S$2:$S$31)))</f>
        <v>65000</v>
      </c>
      <c r="G260" cm="1">
        <f t="array" aca="1" ref="G260" ca="1">INDEX($S$2:$S$31, RANDBETWEEN(1, COUNTA($S$2:$S$31)))</f>
        <v>35000</v>
      </c>
      <c r="H260">
        <f t="shared" ca="1" si="40"/>
        <v>8</v>
      </c>
      <c r="I260">
        <f t="shared" ca="1" si="41"/>
        <v>59800</v>
      </c>
      <c r="J260" s="10" t="str">
        <f t="shared" ca="1" si="42"/>
        <v>Online</v>
      </c>
      <c r="K260" s="10">
        <f t="shared" ca="1" si="43"/>
        <v>59800</v>
      </c>
      <c r="L260" s="10">
        <f t="shared" ca="1" si="44"/>
        <v>299000</v>
      </c>
      <c r="M260" s="12" t="str" cm="1">
        <f t="array" aca="1" ref="M260" ca="1">INDEX($R$33:$R$82, RANDBETWEEN(1, COUNTA($R$33:$R$82)))</f>
        <v>NV30</v>
      </c>
      <c r="N260">
        <f t="shared" ca="1" si="45"/>
        <v>31</v>
      </c>
    </row>
    <row r="261" spans="1:14" ht="16.8" x14ac:dyDescent="0.3">
      <c r="A261" s="7" t="str">
        <f t="shared" si="37"/>
        <v>S0260</v>
      </c>
      <c r="B261" s="8">
        <f t="shared" ca="1" si="38"/>
        <v>44291</v>
      </c>
      <c r="C261" s="15" t="str" cm="1">
        <f t="array" aca="1" ref="C261" ca="1">INDEX($Q$2:$Q$31, RANDBETWEEN(1, COUNTA($Q$2:$Q$31)))</f>
        <v>Iced Black Coffee</v>
      </c>
      <c r="D261" s="10" t="str" cm="1">
        <f t="array" aca="1" ref="D261" ca="1">INDEX($R$2:$R$310, RANDBETWEEN(1, COUNTA($Q$2:$Q$310)))</f>
        <v>M</v>
      </c>
      <c r="E261">
        <f t="shared" ca="1" si="39"/>
        <v>3</v>
      </c>
      <c r="F261" cm="1">
        <f t="array" aca="1" ref="F261" ca="1">INDEX($S$2:$S$31, RANDBETWEEN(1, COUNTA($S$2:$S$31)))</f>
        <v>65000</v>
      </c>
      <c r="G261" cm="1">
        <f t="array" aca="1" ref="G261" ca="1">INDEX($S$2:$S$31, RANDBETWEEN(1, COUNTA($S$2:$S$31)))</f>
        <v>35000</v>
      </c>
      <c r="H261">
        <f t="shared" ca="1" si="40"/>
        <v>15</v>
      </c>
      <c r="I261">
        <f t="shared" ca="1" si="41"/>
        <v>35000</v>
      </c>
      <c r="J261" s="10" t="str">
        <f t="shared" ca="1" si="42"/>
        <v>Offline</v>
      </c>
      <c r="K261" s="10">
        <f t="shared" ca="1" si="43"/>
        <v>35000</v>
      </c>
      <c r="L261" s="10">
        <f t="shared" ca="1" si="44"/>
        <v>105000</v>
      </c>
      <c r="M261" s="12" t="str" cm="1">
        <f t="array" aca="1" ref="M261" ca="1">INDEX($R$33:$R$82, RANDBETWEEN(1, COUNTA($R$33:$R$82)))</f>
        <v>NV45</v>
      </c>
      <c r="N261">
        <f t="shared" ca="1" si="45"/>
        <v>44</v>
      </c>
    </row>
    <row r="262" spans="1:14" ht="16.8" x14ac:dyDescent="0.3">
      <c r="A262" s="7" t="str">
        <f t="shared" si="37"/>
        <v>S0261</v>
      </c>
      <c r="B262" s="8">
        <f t="shared" ca="1" si="38"/>
        <v>44999</v>
      </c>
      <c r="C262" s="15" t="str" cm="1">
        <f t="array" aca="1" ref="C262" ca="1">INDEX($Q$2:$Q$31, RANDBETWEEN(1, COUNTA($Q$2:$Q$31)))</f>
        <v>Classic Phin Freeze</v>
      </c>
      <c r="D262" s="10" t="str" cm="1">
        <f t="array" aca="1" ref="D262" ca="1">INDEX($R$2:$R$310, RANDBETWEEN(1, COUNTA($Q$2:$Q$310)))</f>
        <v>S</v>
      </c>
      <c r="E262">
        <f t="shared" ca="1" si="39"/>
        <v>2</v>
      </c>
      <c r="F262" cm="1">
        <f t="array" aca="1" ref="F262" ca="1">INDEX($S$2:$S$31, RANDBETWEEN(1, COUNTA($S$2:$S$31)))</f>
        <v>69000</v>
      </c>
      <c r="G262" cm="1">
        <f t="array" aca="1" ref="G262" ca="1">INDEX($S$2:$S$31, RANDBETWEEN(1, COUNTA($S$2:$S$31)))</f>
        <v>59000</v>
      </c>
      <c r="H262">
        <f t="shared" ca="1" si="40"/>
        <v>9</v>
      </c>
      <c r="I262">
        <f t="shared" ca="1" si="41"/>
        <v>62790</v>
      </c>
      <c r="J262" s="10" t="str">
        <f t="shared" ca="1" si="42"/>
        <v>Online</v>
      </c>
      <c r="K262" s="10">
        <f t="shared" ca="1" si="43"/>
        <v>62790</v>
      </c>
      <c r="L262" s="10">
        <f t="shared" ca="1" si="44"/>
        <v>125580</v>
      </c>
      <c r="M262" s="12" t="str" cm="1">
        <f t="array" aca="1" ref="M262" ca="1">INDEX($R$33:$R$82, RANDBETWEEN(1, COUNTA($R$33:$R$82)))</f>
        <v>NV36</v>
      </c>
      <c r="N262">
        <f t="shared" ca="1" si="45"/>
        <v>24</v>
      </c>
    </row>
    <row r="263" spans="1:14" ht="16.8" x14ac:dyDescent="0.3">
      <c r="A263" s="7" t="str">
        <f t="shared" si="37"/>
        <v>S0262</v>
      </c>
      <c r="B263" s="8">
        <f t="shared" ca="1" si="38"/>
        <v>44632</v>
      </c>
      <c r="C263" s="15" t="str" cm="1">
        <f t="array" aca="1" ref="C263" ca="1">INDEX($Q$2:$Q$31, RANDBETWEEN(1, COUNTA($Q$2:$Q$31)))</f>
        <v>Cookies &amp; Cream</v>
      </c>
      <c r="D263" s="10" t="str" cm="1">
        <f t="array" aca="1" ref="D263" ca="1">INDEX($R$2:$R$310, RANDBETWEEN(1, COUNTA($Q$2:$Q$310)))</f>
        <v>S</v>
      </c>
      <c r="E263">
        <f t="shared" ca="1" si="39"/>
        <v>3</v>
      </c>
      <c r="F263" cm="1">
        <f t="array" aca="1" ref="F263" ca="1">INDEX($S$2:$S$31, RANDBETWEEN(1, COUNTA($S$2:$S$31)))</f>
        <v>39000</v>
      </c>
      <c r="G263" cm="1">
        <f t="array" aca="1" ref="G263" ca="1">INDEX($S$2:$S$31, RANDBETWEEN(1, COUNTA($S$2:$S$31)))</f>
        <v>69000</v>
      </c>
      <c r="H263">
        <f t="shared" ca="1" si="40"/>
        <v>14</v>
      </c>
      <c r="I263">
        <f t="shared" ca="1" si="41"/>
        <v>69000</v>
      </c>
      <c r="J263" s="10" t="str">
        <f t="shared" ca="1" si="42"/>
        <v>Offline</v>
      </c>
      <c r="K263" s="10">
        <f t="shared" ca="1" si="43"/>
        <v>69000</v>
      </c>
      <c r="L263" s="10">
        <f t="shared" ca="1" si="44"/>
        <v>207000</v>
      </c>
      <c r="M263" s="12" t="str" cm="1">
        <f t="array" aca="1" ref="M263" ca="1">INDEX($R$33:$R$82, RANDBETWEEN(1, COUNTA($R$33:$R$82)))</f>
        <v>NV19</v>
      </c>
      <c r="N263">
        <f t="shared" ca="1" si="45"/>
        <v>2</v>
      </c>
    </row>
    <row r="264" spans="1:14" ht="16.8" x14ac:dyDescent="0.3">
      <c r="A264" s="7" t="str">
        <f t="shared" si="37"/>
        <v>S0263</v>
      </c>
      <c r="B264" s="8">
        <f t="shared" ca="1" si="38"/>
        <v>45290</v>
      </c>
      <c r="C264" s="15" t="str" cm="1">
        <f t="array" aca="1" ref="C264" ca="1">INDEX($Q$2:$Q$31, RANDBETWEEN(1, COUNTA($Q$2:$Q$31)))</f>
        <v>Iced Black Coffee</v>
      </c>
      <c r="D264" s="10" t="str" cm="1">
        <f t="array" aca="1" ref="D264" ca="1">INDEX($R$2:$R$310, RANDBETWEEN(1, COUNTA($Q$2:$Q$310)))</f>
        <v>L</v>
      </c>
      <c r="E264">
        <f t="shared" ca="1" si="39"/>
        <v>1</v>
      </c>
      <c r="F264" cm="1">
        <f t="array" aca="1" ref="F264" ca="1">INDEX($S$2:$S$31, RANDBETWEEN(1, COUNTA($S$2:$S$31)))</f>
        <v>65000</v>
      </c>
      <c r="G264" cm="1">
        <f t="array" aca="1" ref="G264" ca="1">INDEX($S$2:$S$31, RANDBETWEEN(1, COUNTA($S$2:$S$31)))</f>
        <v>75000</v>
      </c>
      <c r="H264">
        <f t="shared" ca="1" si="40"/>
        <v>14</v>
      </c>
      <c r="I264">
        <f t="shared" ca="1" si="41"/>
        <v>75000</v>
      </c>
      <c r="J264" s="10" t="str">
        <f t="shared" ca="1" si="42"/>
        <v>Offline</v>
      </c>
      <c r="K264" s="10">
        <f t="shared" ca="1" si="43"/>
        <v>75000</v>
      </c>
      <c r="L264" s="10">
        <f t="shared" ca="1" si="44"/>
        <v>75000</v>
      </c>
      <c r="M264" s="12" t="str" cm="1">
        <f t="array" aca="1" ref="M264" ca="1">INDEX($R$33:$R$82, RANDBETWEEN(1, COUNTA($R$33:$R$82)))</f>
        <v>NV4</v>
      </c>
      <c r="N264">
        <f t="shared" ca="1" si="45"/>
        <v>2</v>
      </c>
    </row>
    <row r="265" spans="1:14" ht="16.8" x14ac:dyDescent="0.3">
      <c r="A265" s="7" t="str">
        <f t="shared" si="37"/>
        <v>S0264</v>
      </c>
      <c r="B265" s="8">
        <f t="shared" ca="1" si="38"/>
        <v>45272</v>
      </c>
      <c r="C265" s="15" t="str" cm="1">
        <f t="array" aca="1" ref="C265" ca="1">INDEX($Q$2:$Q$31, RANDBETWEEN(1, COUNTA($Q$2:$Q$31)))</f>
        <v>Classic Phin Freeze</v>
      </c>
      <c r="D265" s="10" t="str" cm="1">
        <f t="array" aca="1" ref="D265" ca="1">INDEX($R$2:$R$310, RANDBETWEEN(1, COUNTA($Q$2:$Q$310)))</f>
        <v>M</v>
      </c>
      <c r="E265">
        <f t="shared" ca="1" si="39"/>
        <v>1</v>
      </c>
      <c r="F265" cm="1">
        <f t="array" aca="1" ref="F265" ca="1">INDEX($S$2:$S$31, RANDBETWEEN(1, COUNTA($S$2:$S$31)))</f>
        <v>75000</v>
      </c>
      <c r="G265" cm="1">
        <f t="array" aca="1" ref="G265" ca="1">INDEX($S$2:$S$31, RANDBETWEEN(1, COUNTA($S$2:$S$31)))</f>
        <v>49000</v>
      </c>
      <c r="H265">
        <f t="shared" ca="1" si="40"/>
        <v>12</v>
      </c>
      <c r="I265">
        <f t="shared" ca="1" si="41"/>
        <v>49000</v>
      </c>
      <c r="J265" s="10" t="str">
        <f t="shared" ca="1" si="42"/>
        <v>Offline</v>
      </c>
      <c r="K265" s="10">
        <f t="shared" ca="1" si="43"/>
        <v>49000</v>
      </c>
      <c r="L265" s="10">
        <f t="shared" ca="1" si="44"/>
        <v>49000</v>
      </c>
      <c r="M265" s="12" t="str" cm="1">
        <f t="array" aca="1" ref="M265" ca="1">INDEX($R$33:$R$82, RANDBETWEEN(1, COUNTA($R$33:$R$82)))</f>
        <v>NV26</v>
      </c>
      <c r="N265">
        <f t="shared" ca="1" si="45"/>
        <v>3</v>
      </c>
    </row>
    <row r="266" spans="1:14" ht="16.8" x14ac:dyDescent="0.3">
      <c r="A266" s="7" t="str">
        <f t="shared" si="37"/>
        <v>S0265</v>
      </c>
      <c r="B266" s="8">
        <f t="shared" ca="1" si="38"/>
        <v>45284</v>
      </c>
      <c r="C266" s="15" t="str" cm="1">
        <f t="array" aca="1" ref="C266" ca="1">INDEX($Q$2:$Q$31, RANDBETWEEN(1, COUNTA($Q$2:$Q$31)))</f>
        <v>Classic Phin Freeze</v>
      </c>
      <c r="D266" s="10" t="str" cm="1">
        <f t="array" aca="1" ref="D266" ca="1">INDEX($R$2:$R$310, RANDBETWEEN(1, COUNTA($Q$2:$Q$310)))</f>
        <v>L</v>
      </c>
      <c r="E266">
        <f t="shared" ca="1" si="39"/>
        <v>4</v>
      </c>
      <c r="F266" cm="1">
        <f t="array" aca="1" ref="F266" ca="1">INDEX($S$2:$S$31, RANDBETWEEN(1, COUNTA($S$2:$S$31)))</f>
        <v>65000</v>
      </c>
      <c r="G266" cm="1">
        <f t="array" aca="1" ref="G266" ca="1">INDEX($S$2:$S$31, RANDBETWEEN(1, COUNTA($S$2:$S$31)))</f>
        <v>59000</v>
      </c>
      <c r="H266">
        <f t="shared" ca="1" si="40"/>
        <v>9</v>
      </c>
      <c r="I266">
        <f t="shared" ca="1" si="41"/>
        <v>59000</v>
      </c>
      <c r="J266" s="10" t="str">
        <f t="shared" ca="1" si="42"/>
        <v>Offline</v>
      </c>
      <c r="K266" s="10">
        <f t="shared" ca="1" si="43"/>
        <v>59000</v>
      </c>
      <c r="L266" s="10">
        <f t="shared" ca="1" si="44"/>
        <v>236000</v>
      </c>
      <c r="M266" s="12" t="str" cm="1">
        <f t="array" aca="1" ref="M266" ca="1">INDEX($R$33:$R$82, RANDBETWEEN(1, COUNTA($R$33:$R$82)))</f>
        <v>NV4</v>
      </c>
      <c r="N266">
        <f t="shared" ca="1" si="45"/>
        <v>50</v>
      </c>
    </row>
    <row r="267" spans="1:14" ht="16.8" x14ac:dyDescent="0.3">
      <c r="A267" s="7" t="str">
        <f t="shared" si="37"/>
        <v>S0266</v>
      </c>
      <c r="B267" s="8">
        <f t="shared" ca="1" si="38"/>
        <v>44581</v>
      </c>
      <c r="C267" s="15" t="str" cm="1">
        <f t="array" aca="1" ref="C267" ca="1">INDEX($Q$2:$Q$31, RANDBETWEEN(1, COUNTA($Q$2:$Q$31)))</f>
        <v>Cappuccino</v>
      </c>
      <c r="D267" s="10" t="str" cm="1">
        <f t="array" aca="1" ref="D267" ca="1">INDEX($R$2:$R$310, RANDBETWEEN(1, COUNTA($Q$2:$Q$310)))</f>
        <v>L</v>
      </c>
      <c r="E267">
        <f t="shared" ca="1" si="39"/>
        <v>3</v>
      </c>
      <c r="F267" cm="1">
        <f t="array" aca="1" ref="F267" ca="1">INDEX($S$2:$S$31, RANDBETWEEN(1, COUNTA($S$2:$S$31)))</f>
        <v>35000</v>
      </c>
      <c r="G267" cm="1">
        <f t="array" aca="1" ref="G267" ca="1">INDEX($S$2:$S$31, RANDBETWEEN(1, COUNTA($S$2:$S$31)))</f>
        <v>65000</v>
      </c>
      <c r="H267">
        <f t="shared" ca="1" si="40"/>
        <v>6</v>
      </c>
      <c r="I267">
        <f t="shared" ca="1" si="41"/>
        <v>65000</v>
      </c>
      <c r="J267" s="10" t="str">
        <f t="shared" ca="1" si="42"/>
        <v>Offline</v>
      </c>
      <c r="K267" s="10">
        <f t="shared" ca="1" si="43"/>
        <v>65000</v>
      </c>
      <c r="L267" s="10">
        <f t="shared" ca="1" si="44"/>
        <v>195000</v>
      </c>
      <c r="M267" s="12" t="str" cm="1">
        <f t="array" aca="1" ref="M267" ca="1">INDEX($R$33:$R$82, RANDBETWEEN(1, COUNTA($R$33:$R$82)))</f>
        <v>NV27</v>
      </c>
      <c r="N267">
        <f t="shared" ca="1" si="45"/>
        <v>35</v>
      </c>
    </row>
    <row r="268" spans="1:14" ht="16.8" x14ac:dyDescent="0.3">
      <c r="A268" s="7" t="str">
        <f t="shared" si="37"/>
        <v>S0267</v>
      </c>
      <c r="B268" s="8">
        <f t="shared" ca="1" si="38"/>
        <v>44252</v>
      </c>
      <c r="C268" s="15" t="str" cm="1">
        <f t="array" aca="1" ref="C268" ca="1">INDEX($Q$2:$Q$31, RANDBETWEEN(1, COUNTA($Q$2:$Q$31)))</f>
        <v>Americano</v>
      </c>
      <c r="D268" s="10" t="str" cm="1">
        <f t="array" aca="1" ref="D268" ca="1">INDEX($R$2:$R$310, RANDBETWEEN(1, COUNTA($Q$2:$Q$310)))</f>
        <v>L</v>
      </c>
      <c r="E268">
        <f t="shared" ca="1" si="39"/>
        <v>4</v>
      </c>
      <c r="F268" cm="1">
        <f t="array" aca="1" ref="F268" ca="1">INDEX($S$2:$S$31, RANDBETWEEN(1, COUNTA($S$2:$S$31)))</f>
        <v>49000</v>
      </c>
      <c r="G268" cm="1">
        <f t="array" aca="1" ref="G268" ca="1">INDEX($S$2:$S$31, RANDBETWEEN(1, COUNTA($S$2:$S$31)))</f>
        <v>65000</v>
      </c>
      <c r="H268">
        <f t="shared" ca="1" si="40"/>
        <v>14</v>
      </c>
      <c r="I268">
        <f t="shared" ca="1" si="41"/>
        <v>65000</v>
      </c>
      <c r="J268" s="10" t="str">
        <f t="shared" ca="1" si="42"/>
        <v>Offline</v>
      </c>
      <c r="K268" s="10">
        <f t="shared" ca="1" si="43"/>
        <v>65000</v>
      </c>
      <c r="L268" s="10">
        <f t="shared" ca="1" si="44"/>
        <v>260000</v>
      </c>
      <c r="M268" s="12" t="str" cm="1">
        <f t="array" aca="1" ref="M268" ca="1">INDEX($R$33:$R$82, RANDBETWEEN(1, COUNTA($R$33:$R$82)))</f>
        <v>NV25</v>
      </c>
      <c r="N268">
        <f t="shared" ca="1" si="45"/>
        <v>35</v>
      </c>
    </row>
    <row r="269" spans="1:14" ht="16.8" x14ac:dyDescent="0.3">
      <c r="A269" s="7" t="str">
        <f t="shared" si="37"/>
        <v>S0268</v>
      </c>
      <c r="B269" s="8">
        <f t="shared" ca="1" si="38"/>
        <v>45078</v>
      </c>
      <c r="C269" s="15" t="str" cm="1">
        <f t="array" aca="1" ref="C269" ca="1">INDEX($Q$2:$Q$31, RANDBETWEEN(1, COUNTA($Q$2:$Q$31)))</f>
        <v>Cappuccino</v>
      </c>
      <c r="D269" s="10" t="str" cm="1">
        <f t="array" aca="1" ref="D269" ca="1">INDEX($R$2:$R$310, RANDBETWEEN(1, COUNTA($Q$2:$Q$310)))</f>
        <v>L</v>
      </c>
      <c r="E269">
        <f t="shared" ca="1" si="39"/>
        <v>4</v>
      </c>
      <c r="F269" cm="1">
        <f t="array" aca="1" ref="F269" ca="1">INDEX($S$2:$S$31, RANDBETWEEN(1, COUNTA($S$2:$S$31)))</f>
        <v>49000</v>
      </c>
      <c r="G269" cm="1">
        <f t="array" aca="1" ref="G269" ca="1">INDEX($S$2:$S$31, RANDBETWEEN(1, COUNTA($S$2:$S$31)))</f>
        <v>55000</v>
      </c>
      <c r="H269">
        <f t="shared" ca="1" si="40"/>
        <v>5</v>
      </c>
      <c r="I269">
        <f t="shared" ca="1" si="41"/>
        <v>46550</v>
      </c>
      <c r="J269" s="10" t="str">
        <f t="shared" ca="1" si="42"/>
        <v>Online</v>
      </c>
      <c r="K269" s="10">
        <f t="shared" ca="1" si="43"/>
        <v>46550</v>
      </c>
      <c r="L269" s="10">
        <f t="shared" ca="1" si="44"/>
        <v>186200</v>
      </c>
      <c r="M269" s="12" t="str" cm="1">
        <f t="array" aca="1" ref="M269" ca="1">INDEX($R$33:$R$82, RANDBETWEEN(1, COUNTA($R$33:$R$82)))</f>
        <v>NV45</v>
      </c>
      <c r="N269">
        <f t="shared" ca="1" si="45"/>
        <v>39</v>
      </c>
    </row>
    <row r="270" spans="1:14" ht="16.8" x14ac:dyDescent="0.3">
      <c r="A270" s="7" t="str">
        <f t="shared" si="37"/>
        <v>S0269</v>
      </c>
      <c r="B270" s="8">
        <f t="shared" ca="1" si="38"/>
        <v>44986</v>
      </c>
      <c r="C270" s="15" t="str" cm="1">
        <f t="array" aca="1" ref="C270" ca="1">INDEX($Q$2:$Q$31, RANDBETWEEN(1, COUNTA($Q$2:$Q$31)))</f>
        <v>Cookies &amp; Cream</v>
      </c>
      <c r="D270" s="10" t="str" cm="1">
        <f t="array" aca="1" ref="D270" ca="1">INDEX($R$2:$R$310, RANDBETWEEN(1, COUNTA($Q$2:$Q$310)))</f>
        <v>S</v>
      </c>
      <c r="E270">
        <f t="shared" ca="1" si="39"/>
        <v>2</v>
      </c>
      <c r="F270" cm="1">
        <f t="array" aca="1" ref="F270" ca="1">INDEX($S$2:$S$31, RANDBETWEEN(1, COUNTA($S$2:$S$31)))</f>
        <v>35000</v>
      </c>
      <c r="G270" cm="1">
        <f t="array" aca="1" ref="G270" ca="1">INDEX($S$2:$S$31, RANDBETWEEN(1, COUNTA($S$2:$S$31)))</f>
        <v>49000</v>
      </c>
      <c r="H270">
        <f t="shared" ca="1" si="40"/>
        <v>6</v>
      </c>
      <c r="I270">
        <f t="shared" ca="1" si="41"/>
        <v>32900</v>
      </c>
      <c r="J270" s="10" t="str">
        <f t="shared" ca="1" si="42"/>
        <v>Online</v>
      </c>
      <c r="K270" s="10">
        <f t="shared" ca="1" si="43"/>
        <v>32900</v>
      </c>
      <c r="L270" s="10">
        <f t="shared" ca="1" si="44"/>
        <v>65800</v>
      </c>
      <c r="M270" s="12" t="str" cm="1">
        <f t="array" aca="1" ref="M270" ca="1">INDEX($R$33:$R$82, RANDBETWEEN(1, COUNTA($R$33:$R$82)))</f>
        <v>NV4</v>
      </c>
      <c r="N270">
        <f t="shared" ca="1" si="45"/>
        <v>23</v>
      </c>
    </row>
    <row r="271" spans="1:14" ht="16.8" x14ac:dyDescent="0.3">
      <c r="A271" s="7" t="str">
        <f t="shared" si="37"/>
        <v>S0270</v>
      </c>
      <c r="B271" s="8">
        <f t="shared" ca="1" si="38"/>
        <v>44428</v>
      </c>
      <c r="C271" s="15" t="str" cm="1">
        <f t="array" aca="1" ref="C271" ca="1">INDEX($Q$2:$Q$31, RANDBETWEEN(1, COUNTA($Q$2:$Q$31)))</f>
        <v>Americano</v>
      </c>
      <c r="D271" s="10" t="str" cm="1">
        <f t="array" aca="1" ref="D271" ca="1">INDEX($R$2:$R$310, RANDBETWEEN(1, COUNTA($Q$2:$Q$310)))</f>
        <v>S</v>
      </c>
      <c r="E271">
        <f t="shared" ca="1" si="39"/>
        <v>4</v>
      </c>
      <c r="F271" cm="1">
        <f t="array" aca="1" ref="F271" ca="1">INDEX($S$2:$S$31, RANDBETWEEN(1, COUNTA($S$2:$S$31)))</f>
        <v>69000</v>
      </c>
      <c r="G271" cm="1">
        <f t="array" aca="1" ref="G271" ca="1">INDEX($S$2:$S$31, RANDBETWEEN(1, COUNTA($S$2:$S$31)))</f>
        <v>59000</v>
      </c>
      <c r="H271">
        <f t="shared" ca="1" si="40"/>
        <v>8</v>
      </c>
      <c r="I271">
        <f t="shared" ca="1" si="41"/>
        <v>59000</v>
      </c>
      <c r="J271" s="10" t="str">
        <f t="shared" ca="1" si="42"/>
        <v>Offline</v>
      </c>
      <c r="K271" s="10">
        <f t="shared" ca="1" si="43"/>
        <v>59000</v>
      </c>
      <c r="L271" s="10">
        <f t="shared" ca="1" si="44"/>
        <v>236000</v>
      </c>
      <c r="M271" s="12" t="str" cm="1">
        <f t="array" aca="1" ref="M271" ca="1">INDEX($R$33:$R$82, RANDBETWEEN(1, COUNTA($R$33:$R$82)))</f>
        <v>NV31</v>
      </c>
      <c r="N271">
        <f t="shared" ca="1" si="45"/>
        <v>22</v>
      </c>
    </row>
    <row r="272" spans="1:14" ht="16.8" x14ac:dyDescent="0.3">
      <c r="A272" s="7" t="str">
        <f t="shared" si="37"/>
        <v>S0271</v>
      </c>
      <c r="B272" s="8">
        <f t="shared" ca="1" si="38"/>
        <v>44748</v>
      </c>
      <c r="C272" s="15" t="str" cm="1">
        <f t="array" aca="1" ref="C272" ca="1">INDEX($Q$2:$Q$31, RANDBETWEEN(1, COUNTA($Q$2:$Q$31)))</f>
        <v>Latte</v>
      </c>
      <c r="D272" s="10" t="str" cm="1">
        <f t="array" aca="1" ref="D272" ca="1">INDEX($R$2:$R$310, RANDBETWEEN(1, COUNTA($Q$2:$Q$310)))</f>
        <v>M</v>
      </c>
      <c r="E272">
        <f t="shared" ca="1" si="39"/>
        <v>2</v>
      </c>
      <c r="F272" cm="1">
        <f t="array" aca="1" ref="F272" ca="1">INDEX($S$2:$S$31, RANDBETWEEN(1, COUNTA($S$2:$S$31)))</f>
        <v>35000</v>
      </c>
      <c r="G272" cm="1">
        <f t="array" aca="1" ref="G272" ca="1">INDEX($S$2:$S$31, RANDBETWEEN(1, COUNTA($S$2:$S$31)))</f>
        <v>65000</v>
      </c>
      <c r="H272">
        <f t="shared" ca="1" si="40"/>
        <v>11</v>
      </c>
      <c r="I272">
        <f t="shared" ca="1" si="41"/>
        <v>65000</v>
      </c>
      <c r="J272" s="10" t="str">
        <f t="shared" ca="1" si="42"/>
        <v>Offline</v>
      </c>
      <c r="K272" s="10">
        <f t="shared" ca="1" si="43"/>
        <v>65000</v>
      </c>
      <c r="L272" s="10">
        <f t="shared" ca="1" si="44"/>
        <v>130000</v>
      </c>
      <c r="M272" s="12" t="str" cm="1">
        <f t="array" aca="1" ref="M272" ca="1">INDEX($R$33:$R$82, RANDBETWEEN(1, COUNTA($R$33:$R$82)))</f>
        <v>NV34</v>
      </c>
      <c r="N272">
        <f t="shared" ca="1" si="45"/>
        <v>42</v>
      </c>
    </row>
    <row r="273" spans="1:14" ht="16.8" x14ac:dyDescent="0.3">
      <c r="A273" s="7" t="str">
        <f t="shared" si="37"/>
        <v>S0272</v>
      </c>
      <c r="B273" s="8">
        <f t="shared" ca="1" si="38"/>
        <v>45214</v>
      </c>
      <c r="C273" s="15" t="str" cm="1">
        <f t="array" aca="1" ref="C273" ca="1">INDEX($Q$2:$Q$31, RANDBETWEEN(1, COUNTA($Q$2:$Q$31)))</f>
        <v>Iced Black Coffee</v>
      </c>
      <c r="D273" s="10" t="str" cm="1">
        <f t="array" aca="1" ref="D273" ca="1">INDEX($R$2:$R$310, RANDBETWEEN(1, COUNTA($Q$2:$Q$310)))</f>
        <v>M</v>
      </c>
      <c r="E273">
        <f t="shared" ca="1" si="39"/>
        <v>5</v>
      </c>
      <c r="F273" cm="1">
        <f t="array" aca="1" ref="F273" ca="1">INDEX($S$2:$S$31, RANDBETWEEN(1, COUNTA($S$2:$S$31)))</f>
        <v>49000</v>
      </c>
      <c r="G273" cm="1">
        <f t="array" aca="1" ref="G273" ca="1">INDEX($S$2:$S$31, RANDBETWEEN(1, COUNTA($S$2:$S$31)))</f>
        <v>39000</v>
      </c>
      <c r="H273">
        <f t="shared" ca="1" si="40"/>
        <v>12</v>
      </c>
      <c r="I273">
        <f t="shared" ca="1" si="41"/>
        <v>43120</v>
      </c>
      <c r="J273" s="10" t="str">
        <f t="shared" ca="1" si="42"/>
        <v>Online</v>
      </c>
      <c r="K273" s="10">
        <f t="shared" ca="1" si="43"/>
        <v>43120</v>
      </c>
      <c r="L273" s="10">
        <f t="shared" ca="1" si="44"/>
        <v>215600</v>
      </c>
      <c r="M273" s="12" t="str" cm="1">
        <f t="array" aca="1" ref="M273" ca="1">INDEX($R$33:$R$82, RANDBETWEEN(1, COUNTA($R$33:$R$82)))</f>
        <v>NV22</v>
      </c>
      <c r="N273">
        <f t="shared" ca="1" si="45"/>
        <v>6</v>
      </c>
    </row>
    <row r="274" spans="1:14" ht="16.8" x14ac:dyDescent="0.3">
      <c r="A274" s="7" t="str">
        <f t="shared" si="37"/>
        <v>S0273</v>
      </c>
      <c r="B274" s="8">
        <f t="shared" ca="1" si="38"/>
        <v>44673</v>
      </c>
      <c r="C274" s="15" t="str" cm="1">
        <f t="array" aca="1" ref="C274" ca="1">INDEX($Q$2:$Q$31, RANDBETWEEN(1, COUNTA($Q$2:$Q$31)))</f>
        <v>Caramel Phin Freeze</v>
      </c>
      <c r="D274" s="10" t="str" cm="1">
        <f t="array" aca="1" ref="D274" ca="1">INDEX($R$2:$R$310, RANDBETWEEN(1, COUNTA($Q$2:$Q$310)))</f>
        <v>M</v>
      </c>
      <c r="E274">
        <f t="shared" ca="1" si="39"/>
        <v>4</v>
      </c>
      <c r="F274" cm="1">
        <f t="array" aca="1" ref="F274" ca="1">INDEX($S$2:$S$31, RANDBETWEEN(1, COUNTA($S$2:$S$31)))</f>
        <v>59000</v>
      </c>
      <c r="G274" cm="1">
        <f t="array" aca="1" ref="G274" ca="1">INDEX($S$2:$S$31, RANDBETWEEN(1, COUNTA($S$2:$S$31)))</f>
        <v>65000</v>
      </c>
      <c r="H274">
        <f t="shared" ca="1" si="40"/>
        <v>8</v>
      </c>
      <c r="I274">
        <f t="shared" ca="1" si="41"/>
        <v>54280</v>
      </c>
      <c r="J274" s="10" t="str">
        <f t="shared" ca="1" si="42"/>
        <v>Online</v>
      </c>
      <c r="K274" s="10">
        <f t="shared" ca="1" si="43"/>
        <v>54280</v>
      </c>
      <c r="L274" s="10">
        <f t="shared" ca="1" si="44"/>
        <v>217120</v>
      </c>
      <c r="M274" s="12" t="str" cm="1">
        <f t="array" aca="1" ref="M274" ca="1">INDEX($R$33:$R$82, RANDBETWEEN(1, COUNTA($R$33:$R$82)))</f>
        <v>NV34</v>
      </c>
      <c r="N274">
        <f t="shared" ca="1" si="45"/>
        <v>47</v>
      </c>
    </row>
    <row r="275" spans="1:14" ht="16.8" x14ac:dyDescent="0.3">
      <c r="A275" s="7" t="str">
        <f t="shared" si="37"/>
        <v>S0274</v>
      </c>
      <c r="B275" s="8">
        <f t="shared" ca="1" si="38"/>
        <v>45267</v>
      </c>
      <c r="C275" s="15" t="str" cm="1">
        <f t="array" aca="1" ref="C275" ca="1">INDEX($Q$2:$Q$31, RANDBETWEEN(1, COUNTA($Q$2:$Q$31)))</f>
        <v>Americano</v>
      </c>
      <c r="D275" s="10" t="str" cm="1">
        <f t="array" aca="1" ref="D275" ca="1">INDEX($R$2:$R$310, RANDBETWEEN(1, COUNTA($Q$2:$Q$310)))</f>
        <v>L</v>
      </c>
      <c r="E275">
        <f t="shared" ca="1" si="39"/>
        <v>5</v>
      </c>
      <c r="F275" cm="1">
        <f t="array" aca="1" ref="F275" ca="1">INDEX($S$2:$S$31, RANDBETWEEN(1, COUNTA($S$2:$S$31)))</f>
        <v>69000</v>
      </c>
      <c r="G275" cm="1">
        <f t="array" aca="1" ref="G275" ca="1">INDEX($S$2:$S$31, RANDBETWEEN(1, COUNTA($S$2:$S$31)))</f>
        <v>35000</v>
      </c>
      <c r="H275">
        <f t="shared" ca="1" si="40"/>
        <v>15</v>
      </c>
      <c r="I275">
        <f t="shared" ca="1" si="41"/>
        <v>58650</v>
      </c>
      <c r="J275" s="10" t="str">
        <f t="shared" ca="1" si="42"/>
        <v>Online</v>
      </c>
      <c r="K275" s="10">
        <f t="shared" ca="1" si="43"/>
        <v>58650</v>
      </c>
      <c r="L275" s="10">
        <f t="shared" ca="1" si="44"/>
        <v>293250</v>
      </c>
      <c r="M275" s="12" t="str" cm="1">
        <f t="array" aca="1" ref="M275" ca="1">INDEX($R$33:$R$82, RANDBETWEEN(1, COUNTA($R$33:$R$82)))</f>
        <v>NV39</v>
      </c>
      <c r="N275">
        <f t="shared" ca="1" si="45"/>
        <v>32</v>
      </c>
    </row>
    <row r="276" spans="1:14" ht="16.8" x14ac:dyDescent="0.3">
      <c r="A276" s="7" t="str">
        <f t="shared" si="37"/>
        <v>S0275</v>
      </c>
      <c r="B276" s="8">
        <f t="shared" ca="1" si="38"/>
        <v>45227</v>
      </c>
      <c r="C276" s="15" t="str" cm="1">
        <f t="array" aca="1" ref="C276" ca="1">INDEX($Q$2:$Q$31, RANDBETWEEN(1, COUNTA($Q$2:$Q$31)))</f>
        <v xml:space="preserve">Green Tea Freeze </v>
      </c>
      <c r="D276" s="10" t="str" cm="1">
        <f t="array" aca="1" ref="D276" ca="1">INDEX($R$2:$R$310, RANDBETWEEN(1, COUNTA($Q$2:$Q$310)))</f>
        <v>S</v>
      </c>
      <c r="E276">
        <f t="shared" ca="1" si="39"/>
        <v>1</v>
      </c>
      <c r="F276" cm="1">
        <f t="array" aca="1" ref="F276" ca="1">INDEX($S$2:$S$31, RANDBETWEEN(1, COUNTA($S$2:$S$31)))</f>
        <v>39000</v>
      </c>
      <c r="G276" cm="1">
        <f t="array" aca="1" ref="G276" ca="1">INDEX($S$2:$S$31, RANDBETWEEN(1, COUNTA($S$2:$S$31)))</f>
        <v>65000</v>
      </c>
      <c r="H276">
        <f t="shared" ca="1" si="40"/>
        <v>9</v>
      </c>
      <c r="I276">
        <f t="shared" ca="1" si="41"/>
        <v>35490</v>
      </c>
      <c r="J276" s="10" t="str">
        <f t="shared" ca="1" si="42"/>
        <v>Online</v>
      </c>
      <c r="K276" s="10">
        <f t="shared" ca="1" si="43"/>
        <v>35490</v>
      </c>
      <c r="L276" s="10">
        <f t="shared" ca="1" si="44"/>
        <v>35490</v>
      </c>
      <c r="M276" s="12" t="str" cm="1">
        <f t="array" aca="1" ref="M276" ca="1">INDEX($R$33:$R$82, RANDBETWEEN(1, COUNTA($R$33:$R$82)))</f>
        <v>NV7</v>
      </c>
      <c r="N276">
        <f t="shared" ca="1" si="45"/>
        <v>32</v>
      </c>
    </row>
    <row r="277" spans="1:14" ht="16.8" x14ac:dyDescent="0.3">
      <c r="A277" s="7" t="str">
        <f t="shared" si="37"/>
        <v>S0276</v>
      </c>
      <c r="B277" s="8">
        <f t="shared" ca="1" si="38"/>
        <v>44884</v>
      </c>
      <c r="C277" s="15" t="str" cm="1">
        <f t="array" aca="1" ref="C277" ca="1">INDEX($Q$2:$Q$31, RANDBETWEEN(1, COUNTA($Q$2:$Q$31)))</f>
        <v>Mocha</v>
      </c>
      <c r="D277" s="10" t="str" cm="1">
        <f t="array" aca="1" ref="D277" ca="1">INDEX($R$2:$R$310, RANDBETWEEN(1, COUNTA($Q$2:$Q$310)))</f>
        <v>S</v>
      </c>
      <c r="E277">
        <f t="shared" ca="1" si="39"/>
        <v>2</v>
      </c>
      <c r="F277" cm="1">
        <f t="array" aca="1" ref="F277" ca="1">INDEX($S$2:$S$31, RANDBETWEEN(1, COUNTA($S$2:$S$31)))</f>
        <v>65000</v>
      </c>
      <c r="G277" cm="1">
        <f t="array" aca="1" ref="G277" ca="1">INDEX($S$2:$S$31, RANDBETWEEN(1, COUNTA($S$2:$S$31)))</f>
        <v>55000</v>
      </c>
      <c r="H277">
        <f t="shared" ca="1" si="40"/>
        <v>12</v>
      </c>
      <c r="I277">
        <f t="shared" ca="1" si="41"/>
        <v>55000</v>
      </c>
      <c r="J277" s="10" t="str">
        <f t="shared" ca="1" si="42"/>
        <v>Offline</v>
      </c>
      <c r="K277" s="10">
        <f t="shared" ca="1" si="43"/>
        <v>55000</v>
      </c>
      <c r="L277" s="10">
        <f t="shared" ca="1" si="44"/>
        <v>110000</v>
      </c>
      <c r="M277" s="12" t="str" cm="1">
        <f t="array" aca="1" ref="M277" ca="1">INDEX($R$33:$R$82, RANDBETWEEN(1, COUNTA($R$33:$R$82)))</f>
        <v>NV42</v>
      </c>
      <c r="N277">
        <f t="shared" ca="1" si="45"/>
        <v>47</v>
      </c>
    </row>
    <row r="278" spans="1:14" ht="16.8" x14ac:dyDescent="0.3">
      <c r="A278" s="7" t="str">
        <f t="shared" si="37"/>
        <v>S0277</v>
      </c>
      <c r="B278" s="8">
        <f t="shared" ca="1" si="38"/>
        <v>45088</v>
      </c>
      <c r="C278" s="15" t="str" cm="1">
        <f t="array" aca="1" ref="C278" ca="1">INDEX($Q$2:$Q$31, RANDBETWEEN(1, COUNTA($Q$2:$Q$31)))</f>
        <v xml:space="preserve">Green Tea Freeze </v>
      </c>
      <c r="D278" s="10" t="str" cm="1">
        <f t="array" aca="1" ref="D278" ca="1">INDEX($R$2:$R$310, RANDBETWEEN(1, COUNTA($Q$2:$Q$310)))</f>
        <v>L</v>
      </c>
      <c r="E278">
        <f t="shared" ca="1" si="39"/>
        <v>5</v>
      </c>
      <c r="F278" cm="1">
        <f t="array" aca="1" ref="F278" ca="1">INDEX($S$2:$S$31, RANDBETWEEN(1, COUNTA($S$2:$S$31)))</f>
        <v>49000</v>
      </c>
      <c r="G278" cm="1">
        <f t="array" aca="1" ref="G278" ca="1">INDEX($S$2:$S$31, RANDBETWEEN(1, COUNTA($S$2:$S$31)))</f>
        <v>59000</v>
      </c>
      <c r="H278">
        <f t="shared" ca="1" si="40"/>
        <v>12</v>
      </c>
      <c r="I278">
        <f t="shared" ca="1" si="41"/>
        <v>59000</v>
      </c>
      <c r="J278" s="10" t="str">
        <f t="shared" ca="1" si="42"/>
        <v>Offline</v>
      </c>
      <c r="K278" s="10">
        <f t="shared" ca="1" si="43"/>
        <v>59000</v>
      </c>
      <c r="L278" s="10">
        <f t="shared" ca="1" si="44"/>
        <v>295000</v>
      </c>
      <c r="M278" s="12" t="str" cm="1">
        <f t="array" aca="1" ref="M278" ca="1">INDEX($R$33:$R$82, RANDBETWEEN(1, COUNTA($R$33:$R$82)))</f>
        <v>NV50</v>
      </c>
      <c r="N278">
        <f t="shared" ca="1" si="45"/>
        <v>29</v>
      </c>
    </row>
    <row r="279" spans="1:14" ht="16.8" x14ac:dyDescent="0.3">
      <c r="A279" s="7" t="str">
        <f t="shared" si="37"/>
        <v>S0278</v>
      </c>
      <c r="B279" s="8">
        <f t="shared" ca="1" si="38"/>
        <v>44663</v>
      </c>
      <c r="C279" s="15" t="str" cm="1">
        <f t="array" aca="1" ref="C279" ca="1">INDEX($Q$2:$Q$31, RANDBETWEEN(1, COUNTA($Q$2:$Q$31)))</f>
        <v>Latte</v>
      </c>
      <c r="D279" s="10" t="str" cm="1">
        <f t="array" aca="1" ref="D279" ca="1">INDEX($R$2:$R$310, RANDBETWEEN(1, COUNTA($Q$2:$Q$310)))</f>
        <v>L</v>
      </c>
      <c r="E279">
        <f t="shared" ca="1" si="39"/>
        <v>4</v>
      </c>
      <c r="F279" cm="1">
        <f t="array" aca="1" ref="F279" ca="1">INDEX($S$2:$S$31, RANDBETWEEN(1, COUNTA($S$2:$S$31)))</f>
        <v>49000</v>
      </c>
      <c r="G279" cm="1">
        <f t="array" aca="1" ref="G279" ca="1">INDEX($S$2:$S$31, RANDBETWEEN(1, COUNTA($S$2:$S$31)))</f>
        <v>59000</v>
      </c>
      <c r="H279">
        <f t="shared" ca="1" si="40"/>
        <v>10</v>
      </c>
      <c r="I279">
        <f t="shared" ca="1" si="41"/>
        <v>59000</v>
      </c>
      <c r="J279" s="10" t="str">
        <f t="shared" ca="1" si="42"/>
        <v>Offline</v>
      </c>
      <c r="K279" s="10">
        <f t="shared" ca="1" si="43"/>
        <v>59000</v>
      </c>
      <c r="L279" s="10">
        <f t="shared" ca="1" si="44"/>
        <v>236000</v>
      </c>
      <c r="M279" s="12" t="str" cm="1">
        <f t="array" aca="1" ref="M279" ca="1">INDEX($R$33:$R$82, RANDBETWEEN(1, COUNTA($R$33:$R$82)))</f>
        <v>NV49</v>
      </c>
      <c r="N279">
        <f t="shared" ca="1" si="45"/>
        <v>51</v>
      </c>
    </row>
    <row r="280" spans="1:14" ht="16.8" x14ac:dyDescent="0.3">
      <c r="A280" s="7" t="str">
        <f t="shared" si="37"/>
        <v>S0279</v>
      </c>
      <c r="B280" s="8">
        <f t="shared" ca="1" si="38"/>
        <v>44652</v>
      </c>
      <c r="C280" s="15" t="str" cm="1">
        <f t="array" aca="1" ref="C280" ca="1">INDEX($Q$2:$Q$31, RANDBETWEEN(1, COUNTA($Q$2:$Q$31)))</f>
        <v>Caramel Phin Freeze</v>
      </c>
      <c r="D280" s="10" t="str" cm="1">
        <f t="array" aca="1" ref="D280" ca="1">INDEX($R$2:$R$310, RANDBETWEEN(1, COUNTA($Q$2:$Q$310)))</f>
        <v>L</v>
      </c>
      <c r="E280">
        <f t="shared" ca="1" si="39"/>
        <v>3</v>
      </c>
      <c r="F280" cm="1">
        <f t="array" aca="1" ref="F280" ca="1">INDEX($S$2:$S$31, RANDBETWEEN(1, COUNTA($S$2:$S$31)))</f>
        <v>29000</v>
      </c>
      <c r="G280" cm="1">
        <f t="array" aca="1" ref="G280" ca="1">INDEX($S$2:$S$31, RANDBETWEEN(1, COUNTA($S$2:$S$31)))</f>
        <v>49000</v>
      </c>
      <c r="H280">
        <f t="shared" ca="1" si="40"/>
        <v>11</v>
      </c>
      <c r="I280">
        <f t="shared" ca="1" si="41"/>
        <v>49000</v>
      </c>
      <c r="J280" s="10" t="str">
        <f t="shared" ca="1" si="42"/>
        <v>Offline</v>
      </c>
      <c r="K280" s="10">
        <f t="shared" ca="1" si="43"/>
        <v>49000</v>
      </c>
      <c r="L280" s="10">
        <f t="shared" ca="1" si="44"/>
        <v>147000</v>
      </c>
      <c r="M280" s="12" t="str" cm="1">
        <f t="array" aca="1" ref="M280" ca="1">INDEX($R$33:$R$82, RANDBETWEEN(1, COUNTA($R$33:$R$82)))</f>
        <v>NV20</v>
      </c>
      <c r="N280">
        <f t="shared" ca="1" si="45"/>
        <v>13</v>
      </c>
    </row>
    <row r="281" spans="1:14" ht="16.8" x14ac:dyDescent="0.3">
      <c r="A281" s="7" t="str">
        <f t="shared" si="37"/>
        <v>S0280</v>
      </c>
      <c r="B281" s="8">
        <f t="shared" ca="1" si="38"/>
        <v>45065</v>
      </c>
      <c r="C281" s="15" t="str" cm="1">
        <f t="array" aca="1" ref="C281" ca="1">INDEX($Q$2:$Q$31, RANDBETWEEN(1, COUNTA($Q$2:$Q$31)))</f>
        <v>Cookies &amp; Cream</v>
      </c>
      <c r="D281" s="10" t="str" cm="1">
        <f t="array" aca="1" ref="D281" ca="1">INDEX($R$2:$R$310, RANDBETWEEN(1, COUNTA($Q$2:$Q$310)))</f>
        <v>L</v>
      </c>
      <c r="E281">
        <f t="shared" ca="1" si="39"/>
        <v>2</v>
      </c>
      <c r="F281" cm="1">
        <f t="array" aca="1" ref="F281" ca="1">INDEX($S$2:$S$31, RANDBETWEEN(1, COUNTA($S$2:$S$31)))</f>
        <v>65000</v>
      </c>
      <c r="G281" cm="1">
        <f t="array" aca="1" ref="G281" ca="1">INDEX($S$2:$S$31, RANDBETWEEN(1, COUNTA($S$2:$S$31)))</f>
        <v>55000</v>
      </c>
      <c r="H281">
        <f t="shared" ca="1" si="40"/>
        <v>7</v>
      </c>
      <c r="I281">
        <f t="shared" ca="1" si="41"/>
        <v>55000</v>
      </c>
      <c r="J281" s="10" t="str">
        <f t="shared" ca="1" si="42"/>
        <v>Offline</v>
      </c>
      <c r="K281" s="10">
        <f t="shared" ca="1" si="43"/>
        <v>55000</v>
      </c>
      <c r="L281" s="10">
        <f t="shared" ca="1" si="44"/>
        <v>110000</v>
      </c>
      <c r="M281" s="12" t="str" cm="1">
        <f t="array" aca="1" ref="M281" ca="1">INDEX($R$33:$R$82, RANDBETWEEN(1, COUNTA($R$33:$R$82)))</f>
        <v>NV42</v>
      </c>
      <c r="N281">
        <f t="shared" ca="1" si="45"/>
        <v>16</v>
      </c>
    </row>
    <row r="282" spans="1:14" ht="16.8" x14ac:dyDescent="0.3">
      <c r="A282" s="7" t="str">
        <f t="shared" si="37"/>
        <v>S0281</v>
      </c>
      <c r="B282" s="8">
        <f t="shared" ca="1" si="38"/>
        <v>44680</v>
      </c>
      <c r="C282" s="15" t="str" cm="1">
        <f t="array" aca="1" ref="C282" ca="1">INDEX($Q$2:$Q$31, RANDBETWEEN(1, COUNTA($Q$2:$Q$31)))</f>
        <v>Iced Black Coffee</v>
      </c>
      <c r="D282" s="10" t="str" cm="1">
        <f t="array" aca="1" ref="D282" ca="1">INDEX($R$2:$R$310, RANDBETWEEN(1, COUNTA($Q$2:$Q$310)))</f>
        <v>L</v>
      </c>
      <c r="E282">
        <f t="shared" ca="1" si="39"/>
        <v>5</v>
      </c>
      <c r="F282" cm="1">
        <f t="array" aca="1" ref="F282" ca="1">INDEX($S$2:$S$31, RANDBETWEEN(1, COUNTA($S$2:$S$31)))</f>
        <v>59000</v>
      </c>
      <c r="G282" cm="1">
        <f t="array" aca="1" ref="G282" ca="1">INDEX($S$2:$S$31, RANDBETWEEN(1, COUNTA($S$2:$S$31)))</f>
        <v>55000</v>
      </c>
      <c r="H282">
        <f t="shared" ca="1" si="40"/>
        <v>8</v>
      </c>
      <c r="I282">
        <f t="shared" ca="1" si="41"/>
        <v>55000</v>
      </c>
      <c r="J282" s="10" t="str">
        <f t="shared" ca="1" si="42"/>
        <v>Offline</v>
      </c>
      <c r="K282" s="10">
        <f t="shared" ca="1" si="43"/>
        <v>55000</v>
      </c>
      <c r="L282" s="10">
        <f t="shared" ca="1" si="44"/>
        <v>275000</v>
      </c>
      <c r="M282" s="12" t="str" cm="1">
        <f t="array" aca="1" ref="M282" ca="1">INDEX($R$33:$R$82, RANDBETWEEN(1, COUNTA($R$33:$R$82)))</f>
        <v>NV4</v>
      </c>
      <c r="N282">
        <f t="shared" ca="1" si="45"/>
        <v>45</v>
      </c>
    </row>
    <row r="283" spans="1:14" ht="16.8" x14ac:dyDescent="0.3">
      <c r="A283" s="7" t="str">
        <f t="shared" si="37"/>
        <v>S0282</v>
      </c>
      <c r="B283" s="8">
        <f t="shared" ca="1" si="38"/>
        <v>45074</v>
      </c>
      <c r="C283" s="15" t="str" cm="1">
        <f t="array" aca="1" ref="C283" ca="1">INDEX($Q$2:$Q$31, RANDBETWEEN(1, COUNTA($Q$2:$Q$31)))</f>
        <v>Cappuccino</v>
      </c>
      <c r="D283" s="10" t="str" cm="1">
        <f t="array" aca="1" ref="D283" ca="1">INDEX($R$2:$R$310, RANDBETWEEN(1, COUNTA($Q$2:$Q$310)))</f>
        <v>M</v>
      </c>
      <c r="E283">
        <f t="shared" ca="1" si="39"/>
        <v>2</v>
      </c>
      <c r="F283" cm="1">
        <f t="array" aca="1" ref="F283" ca="1">INDEX($S$2:$S$31, RANDBETWEEN(1, COUNTA($S$2:$S$31)))</f>
        <v>39000</v>
      </c>
      <c r="G283" cm="1">
        <f t="array" aca="1" ref="G283" ca="1">INDEX($S$2:$S$31, RANDBETWEEN(1, COUNTA($S$2:$S$31)))</f>
        <v>69000</v>
      </c>
      <c r="H283">
        <f t="shared" ca="1" si="40"/>
        <v>5</v>
      </c>
      <c r="I283">
        <f t="shared" ca="1" si="41"/>
        <v>37050</v>
      </c>
      <c r="J283" s="10" t="str">
        <f t="shared" ca="1" si="42"/>
        <v>Online</v>
      </c>
      <c r="K283" s="10">
        <f t="shared" ca="1" si="43"/>
        <v>37050</v>
      </c>
      <c r="L283" s="10">
        <f t="shared" ca="1" si="44"/>
        <v>74100</v>
      </c>
      <c r="M283" s="12" t="str" cm="1">
        <f t="array" aca="1" ref="M283" ca="1">INDEX($R$33:$R$82, RANDBETWEEN(1, COUNTA($R$33:$R$82)))</f>
        <v>NV30</v>
      </c>
      <c r="N283">
        <f t="shared" ca="1" si="45"/>
        <v>17</v>
      </c>
    </row>
    <row r="284" spans="1:14" ht="16.8" x14ac:dyDescent="0.3">
      <c r="A284" s="7" t="str">
        <f t="shared" si="37"/>
        <v>S0283</v>
      </c>
      <c r="B284" s="8">
        <f t="shared" ca="1" si="38"/>
        <v>44648</v>
      </c>
      <c r="C284" s="15" t="str" cm="1">
        <f t="array" aca="1" ref="C284" ca="1">INDEX($Q$2:$Q$31, RANDBETWEEN(1, COUNTA($Q$2:$Q$31)))</f>
        <v>Mocha</v>
      </c>
      <c r="D284" s="10" t="str" cm="1">
        <f t="array" aca="1" ref="D284" ca="1">INDEX($R$2:$R$310, RANDBETWEEN(1, COUNTA($Q$2:$Q$310)))</f>
        <v>S</v>
      </c>
      <c r="E284">
        <f t="shared" ca="1" si="39"/>
        <v>5</v>
      </c>
      <c r="F284" cm="1">
        <f t="array" aca="1" ref="F284" ca="1">INDEX($S$2:$S$31, RANDBETWEEN(1, COUNTA($S$2:$S$31)))</f>
        <v>59000</v>
      </c>
      <c r="G284" cm="1">
        <f t="array" aca="1" ref="G284" ca="1">INDEX($S$2:$S$31, RANDBETWEEN(1, COUNTA($S$2:$S$31)))</f>
        <v>49000</v>
      </c>
      <c r="H284">
        <f t="shared" ca="1" si="40"/>
        <v>12</v>
      </c>
      <c r="I284">
        <f t="shared" ca="1" si="41"/>
        <v>51920</v>
      </c>
      <c r="J284" s="10" t="str">
        <f t="shared" ca="1" si="42"/>
        <v>Online</v>
      </c>
      <c r="K284" s="10">
        <f t="shared" ca="1" si="43"/>
        <v>51920</v>
      </c>
      <c r="L284" s="10">
        <f t="shared" ca="1" si="44"/>
        <v>259600</v>
      </c>
      <c r="M284" s="12" t="str" cm="1">
        <f t="array" aca="1" ref="M284" ca="1">INDEX($R$33:$R$82, RANDBETWEEN(1, COUNTA($R$33:$R$82)))</f>
        <v>NV49</v>
      </c>
      <c r="N284">
        <f t="shared" ca="1" si="45"/>
        <v>4</v>
      </c>
    </row>
    <row r="285" spans="1:14" ht="16.8" x14ac:dyDescent="0.3">
      <c r="A285" s="7" t="str">
        <f t="shared" si="37"/>
        <v>S0284</v>
      </c>
      <c r="B285" s="8">
        <f t="shared" ca="1" si="38"/>
        <v>44228</v>
      </c>
      <c r="C285" s="15" t="str" cm="1">
        <f t="array" aca="1" ref="C285" ca="1">INDEX($Q$2:$Q$31, RANDBETWEEN(1, COUNTA($Q$2:$Q$31)))</f>
        <v>Cappuccino</v>
      </c>
      <c r="D285" s="10" t="str" cm="1">
        <f t="array" aca="1" ref="D285" ca="1">INDEX($R$2:$R$310, RANDBETWEEN(1, COUNTA($Q$2:$Q$310)))</f>
        <v>L</v>
      </c>
      <c r="E285">
        <f t="shared" ca="1" si="39"/>
        <v>2</v>
      </c>
      <c r="F285" cm="1">
        <f t="array" aca="1" ref="F285" ca="1">INDEX($S$2:$S$31, RANDBETWEEN(1, COUNTA($S$2:$S$31)))</f>
        <v>59000</v>
      </c>
      <c r="G285" cm="1">
        <f t="array" aca="1" ref="G285" ca="1">INDEX($S$2:$S$31, RANDBETWEEN(1, COUNTA($S$2:$S$31)))</f>
        <v>75000</v>
      </c>
      <c r="H285">
        <f t="shared" ca="1" si="40"/>
        <v>10</v>
      </c>
      <c r="I285">
        <f t="shared" ca="1" si="41"/>
        <v>53100</v>
      </c>
      <c r="J285" s="10" t="str">
        <f t="shared" ca="1" si="42"/>
        <v>Online</v>
      </c>
      <c r="K285" s="10">
        <f t="shared" ca="1" si="43"/>
        <v>53100</v>
      </c>
      <c r="L285" s="10">
        <f t="shared" ca="1" si="44"/>
        <v>106200</v>
      </c>
      <c r="M285" s="12" t="str" cm="1">
        <f t="array" aca="1" ref="M285" ca="1">INDEX($R$33:$R$82, RANDBETWEEN(1, COUNTA($R$33:$R$82)))</f>
        <v>NV32</v>
      </c>
      <c r="N285">
        <f t="shared" ca="1" si="45"/>
        <v>42</v>
      </c>
    </row>
    <row r="286" spans="1:14" ht="16.8" x14ac:dyDescent="0.3">
      <c r="A286" s="7" t="str">
        <f t="shared" si="37"/>
        <v>S0285</v>
      </c>
      <c r="B286" s="8">
        <f t="shared" ca="1" si="38"/>
        <v>44492</v>
      </c>
      <c r="C286" s="15" t="str" cm="1">
        <f t="array" aca="1" ref="C286" ca="1">INDEX($Q$2:$Q$31, RANDBETWEEN(1, COUNTA($Q$2:$Q$31)))</f>
        <v xml:space="preserve">Green Tea Freeze </v>
      </c>
      <c r="D286" s="10" t="str" cm="1">
        <f t="array" aca="1" ref="D286" ca="1">INDEX($R$2:$R$310, RANDBETWEEN(1, COUNTA($Q$2:$Q$310)))</f>
        <v>M</v>
      </c>
      <c r="E286">
        <f t="shared" ca="1" si="39"/>
        <v>1</v>
      </c>
      <c r="F286" cm="1">
        <f t="array" aca="1" ref="F286" ca="1">INDEX($S$2:$S$31, RANDBETWEEN(1, COUNTA($S$2:$S$31)))</f>
        <v>49000</v>
      </c>
      <c r="G286" cm="1">
        <f t="array" aca="1" ref="G286" ca="1">INDEX($S$2:$S$31, RANDBETWEEN(1, COUNTA($S$2:$S$31)))</f>
        <v>69000</v>
      </c>
      <c r="H286">
        <f t="shared" ca="1" si="40"/>
        <v>11</v>
      </c>
      <c r="I286">
        <f t="shared" ca="1" si="41"/>
        <v>69000</v>
      </c>
      <c r="J286" s="10" t="str">
        <f t="shared" ca="1" si="42"/>
        <v>Offline</v>
      </c>
      <c r="K286" s="10">
        <f t="shared" ca="1" si="43"/>
        <v>69000</v>
      </c>
      <c r="L286" s="10">
        <f t="shared" ca="1" si="44"/>
        <v>69000</v>
      </c>
      <c r="M286" s="12" t="str" cm="1">
        <f t="array" aca="1" ref="M286" ca="1">INDEX($R$33:$R$82, RANDBETWEEN(1, COUNTA($R$33:$R$82)))</f>
        <v>NV27</v>
      </c>
      <c r="N286">
        <f t="shared" ca="1" si="45"/>
        <v>36</v>
      </c>
    </row>
    <row r="287" spans="1:14" ht="16.8" x14ac:dyDescent="0.3">
      <c r="A287" s="7" t="str">
        <f t="shared" si="37"/>
        <v>S0286</v>
      </c>
      <c r="B287" s="8">
        <f t="shared" ca="1" si="38"/>
        <v>44759</v>
      </c>
      <c r="C287" s="15" t="str" cm="1">
        <f t="array" aca="1" ref="C287" ca="1">INDEX($Q$2:$Q$31, RANDBETWEEN(1, COUNTA($Q$2:$Q$31)))</f>
        <v>Americano</v>
      </c>
      <c r="D287" s="10" t="str" cm="1">
        <f t="array" aca="1" ref="D287" ca="1">INDEX($R$2:$R$310, RANDBETWEEN(1, COUNTA($Q$2:$Q$310)))</f>
        <v>S</v>
      </c>
      <c r="E287">
        <f t="shared" ca="1" si="39"/>
        <v>2</v>
      </c>
      <c r="F287" cm="1">
        <f t="array" aca="1" ref="F287" ca="1">INDEX($S$2:$S$31, RANDBETWEEN(1, COUNTA($S$2:$S$31)))</f>
        <v>59000</v>
      </c>
      <c r="G287" cm="1">
        <f t="array" aca="1" ref="G287" ca="1">INDEX($S$2:$S$31, RANDBETWEEN(1, COUNTA($S$2:$S$31)))</f>
        <v>49000</v>
      </c>
      <c r="H287">
        <f t="shared" ca="1" si="40"/>
        <v>10</v>
      </c>
      <c r="I287">
        <f t="shared" ca="1" si="41"/>
        <v>49000</v>
      </c>
      <c r="J287" s="10" t="str">
        <f t="shared" ca="1" si="42"/>
        <v>Offline</v>
      </c>
      <c r="K287" s="10">
        <f t="shared" ca="1" si="43"/>
        <v>49000</v>
      </c>
      <c r="L287" s="10">
        <f t="shared" ca="1" si="44"/>
        <v>98000</v>
      </c>
      <c r="M287" s="12" t="str" cm="1">
        <f t="array" aca="1" ref="M287" ca="1">INDEX($R$33:$R$82, RANDBETWEEN(1, COUNTA($R$33:$R$82)))</f>
        <v>NV37</v>
      </c>
      <c r="N287">
        <f t="shared" ca="1" si="45"/>
        <v>23</v>
      </c>
    </row>
    <row r="288" spans="1:14" ht="16.8" x14ac:dyDescent="0.3">
      <c r="A288" s="7" t="str">
        <f t="shared" si="37"/>
        <v>S0287</v>
      </c>
      <c r="B288" s="8">
        <f t="shared" ca="1" si="38"/>
        <v>44644</v>
      </c>
      <c r="C288" s="15" t="str" cm="1">
        <f t="array" aca="1" ref="C288" ca="1">INDEX($Q$2:$Q$31, RANDBETWEEN(1, COUNTA($Q$2:$Q$31)))</f>
        <v>Cookies &amp; Cream</v>
      </c>
      <c r="D288" s="10" t="str" cm="1">
        <f t="array" aca="1" ref="D288" ca="1">INDEX($R$2:$R$310, RANDBETWEEN(1, COUNTA($Q$2:$Q$310)))</f>
        <v>S</v>
      </c>
      <c r="E288">
        <f t="shared" ca="1" si="39"/>
        <v>4</v>
      </c>
      <c r="F288" cm="1">
        <f t="array" aca="1" ref="F288" ca="1">INDEX($S$2:$S$31, RANDBETWEEN(1, COUNTA($S$2:$S$31)))</f>
        <v>49000</v>
      </c>
      <c r="G288" cm="1">
        <f t="array" aca="1" ref="G288" ca="1">INDEX($S$2:$S$31, RANDBETWEEN(1, COUNTA($S$2:$S$31)))</f>
        <v>75000</v>
      </c>
      <c r="H288">
        <f t="shared" ca="1" si="40"/>
        <v>6</v>
      </c>
      <c r="I288">
        <f t="shared" ca="1" si="41"/>
        <v>75000</v>
      </c>
      <c r="J288" s="10" t="str">
        <f t="shared" ca="1" si="42"/>
        <v>Offline</v>
      </c>
      <c r="K288" s="10">
        <f t="shared" ca="1" si="43"/>
        <v>75000</v>
      </c>
      <c r="L288" s="10">
        <f t="shared" ca="1" si="44"/>
        <v>300000</v>
      </c>
      <c r="M288" s="12" t="str" cm="1">
        <f t="array" aca="1" ref="M288" ca="1">INDEX($R$33:$R$82, RANDBETWEEN(1, COUNTA($R$33:$R$82)))</f>
        <v>NV3</v>
      </c>
      <c r="N288">
        <f t="shared" ca="1" si="45"/>
        <v>36</v>
      </c>
    </row>
    <row r="289" spans="1:14" ht="16.8" x14ac:dyDescent="0.3">
      <c r="A289" s="7" t="str">
        <f t="shared" si="37"/>
        <v>S0288</v>
      </c>
      <c r="B289" s="8">
        <f t="shared" ca="1" si="38"/>
        <v>45124</v>
      </c>
      <c r="C289" s="15" t="str" cm="1">
        <f t="array" aca="1" ref="C289" ca="1">INDEX($Q$2:$Q$31, RANDBETWEEN(1, COUNTA($Q$2:$Q$31)))</f>
        <v xml:space="preserve">Green Tea Freeze </v>
      </c>
      <c r="D289" s="10" t="str" cm="1">
        <f t="array" aca="1" ref="D289" ca="1">INDEX($R$2:$R$310, RANDBETWEEN(1, COUNTA($Q$2:$Q$310)))</f>
        <v>S</v>
      </c>
      <c r="E289">
        <f t="shared" ca="1" si="39"/>
        <v>1</v>
      </c>
      <c r="F289" cm="1">
        <f t="array" aca="1" ref="F289" ca="1">INDEX($S$2:$S$31, RANDBETWEEN(1, COUNTA($S$2:$S$31)))</f>
        <v>65000</v>
      </c>
      <c r="G289" cm="1">
        <f t="array" aca="1" ref="G289" ca="1">INDEX($S$2:$S$31, RANDBETWEEN(1, COUNTA($S$2:$S$31)))</f>
        <v>69000</v>
      </c>
      <c r="H289">
        <f t="shared" ca="1" si="40"/>
        <v>6</v>
      </c>
      <c r="I289">
        <f t="shared" ca="1" si="41"/>
        <v>69000</v>
      </c>
      <c r="J289" s="10" t="str">
        <f t="shared" ca="1" si="42"/>
        <v>Offline</v>
      </c>
      <c r="K289" s="10">
        <f t="shared" ca="1" si="43"/>
        <v>69000</v>
      </c>
      <c r="L289" s="10">
        <f t="shared" ca="1" si="44"/>
        <v>69000</v>
      </c>
      <c r="M289" s="12" t="str" cm="1">
        <f t="array" aca="1" ref="M289" ca="1">INDEX($R$33:$R$82, RANDBETWEEN(1, COUNTA($R$33:$R$82)))</f>
        <v>NV41</v>
      </c>
      <c r="N289">
        <f t="shared" ca="1" si="45"/>
        <v>6</v>
      </c>
    </row>
    <row r="290" spans="1:14" ht="16.8" x14ac:dyDescent="0.3">
      <c r="A290" s="7" t="str">
        <f t="shared" si="37"/>
        <v>S0289</v>
      </c>
      <c r="B290" s="8">
        <f t="shared" ca="1" si="38"/>
        <v>44375</v>
      </c>
      <c r="C290" s="15" t="str" cm="1">
        <f t="array" aca="1" ref="C290" ca="1">INDEX($Q$2:$Q$31, RANDBETWEEN(1, COUNTA($Q$2:$Q$31)))</f>
        <v>Latte</v>
      </c>
      <c r="D290" s="10" t="str" cm="1">
        <f t="array" aca="1" ref="D290" ca="1">INDEX($R$2:$R$310, RANDBETWEEN(1, COUNTA($Q$2:$Q$310)))</f>
        <v>L</v>
      </c>
      <c r="E290">
        <f t="shared" ca="1" si="39"/>
        <v>5</v>
      </c>
      <c r="F290" cm="1">
        <f t="array" aca="1" ref="F290" ca="1">INDEX($S$2:$S$31, RANDBETWEEN(1, COUNTA($S$2:$S$31)))</f>
        <v>65000</v>
      </c>
      <c r="G290" cm="1">
        <f t="array" aca="1" ref="G290" ca="1">INDEX($S$2:$S$31, RANDBETWEEN(1, COUNTA($S$2:$S$31)))</f>
        <v>59000</v>
      </c>
      <c r="H290">
        <f t="shared" ca="1" si="40"/>
        <v>5</v>
      </c>
      <c r="I290">
        <f t="shared" ca="1" si="41"/>
        <v>61750</v>
      </c>
      <c r="J290" s="10" t="str">
        <f t="shared" ca="1" si="42"/>
        <v>Online</v>
      </c>
      <c r="K290" s="10">
        <f t="shared" ca="1" si="43"/>
        <v>61750</v>
      </c>
      <c r="L290" s="10">
        <f t="shared" ca="1" si="44"/>
        <v>308750</v>
      </c>
      <c r="M290" s="12" t="str" cm="1">
        <f t="array" aca="1" ref="M290" ca="1">INDEX($R$33:$R$82, RANDBETWEEN(1, COUNTA($R$33:$R$82)))</f>
        <v>NV22</v>
      </c>
      <c r="N290">
        <f t="shared" ca="1" si="45"/>
        <v>7</v>
      </c>
    </row>
    <row r="291" spans="1:14" ht="16.8" x14ac:dyDescent="0.3">
      <c r="A291" s="7" t="str">
        <f t="shared" si="37"/>
        <v>S0290</v>
      </c>
      <c r="B291" s="8">
        <f t="shared" ca="1" si="38"/>
        <v>44456</v>
      </c>
      <c r="C291" s="15" t="str" cm="1">
        <f t="array" aca="1" ref="C291" ca="1">INDEX($Q$2:$Q$31, RANDBETWEEN(1, COUNTA($Q$2:$Q$31)))</f>
        <v>Cookies &amp; Cream</v>
      </c>
      <c r="D291" s="10" t="str" cm="1">
        <f t="array" aca="1" ref="D291" ca="1">INDEX($R$2:$R$310, RANDBETWEEN(1, COUNTA($Q$2:$Q$310)))</f>
        <v>M</v>
      </c>
      <c r="E291">
        <f t="shared" ca="1" si="39"/>
        <v>4</v>
      </c>
      <c r="F291" cm="1">
        <f t="array" aca="1" ref="F291" ca="1">INDEX($S$2:$S$31, RANDBETWEEN(1, COUNTA($S$2:$S$31)))</f>
        <v>59000</v>
      </c>
      <c r="G291" cm="1">
        <f t="array" aca="1" ref="G291" ca="1">INDEX($S$2:$S$31, RANDBETWEEN(1, COUNTA($S$2:$S$31)))</f>
        <v>55000</v>
      </c>
      <c r="H291">
        <f t="shared" ca="1" si="40"/>
        <v>9</v>
      </c>
      <c r="I291">
        <f t="shared" ca="1" si="41"/>
        <v>55000</v>
      </c>
      <c r="J291" s="10" t="str">
        <f t="shared" ca="1" si="42"/>
        <v>Offline</v>
      </c>
      <c r="K291" s="10">
        <f t="shared" ca="1" si="43"/>
        <v>55000</v>
      </c>
      <c r="L291" s="10">
        <f t="shared" ca="1" si="44"/>
        <v>220000</v>
      </c>
      <c r="M291" s="12" t="str" cm="1">
        <f t="array" aca="1" ref="M291" ca="1">INDEX($R$33:$R$82, RANDBETWEEN(1, COUNTA($R$33:$R$82)))</f>
        <v>NV23</v>
      </c>
      <c r="N291">
        <f t="shared" ca="1" si="45"/>
        <v>49</v>
      </c>
    </row>
    <row r="292" spans="1:14" ht="16.8" x14ac:dyDescent="0.3">
      <c r="A292" s="7" t="str">
        <f t="shared" si="37"/>
        <v>S0291</v>
      </c>
      <c r="B292" s="8">
        <f t="shared" ca="1" si="38"/>
        <v>44303</v>
      </c>
      <c r="C292" s="15" t="str" cm="1">
        <f t="array" aca="1" ref="C292" ca="1">INDEX($Q$2:$Q$31, RANDBETWEEN(1, COUNTA($Q$2:$Q$31)))</f>
        <v>Cappuccino</v>
      </c>
      <c r="D292" s="10" t="str" cm="1">
        <f t="array" aca="1" ref="D292" ca="1">INDEX($R$2:$R$310, RANDBETWEEN(1, COUNTA($Q$2:$Q$310)))</f>
        <v>M</v>
      </c>
      <c r="E292">
        <f t="shared" ca="1" si="39"/>
        <v>3</v>
      </c>
      <c r="F292" cm="1">
        <f t="array" aca="1" ref="F292" ca="1">INDEX($S$2:$S$31, RANDBETWEEN(1, COUNTA($S$2:$S$31)))</f>
        <v>35000</v>
      </c>
      <c r="G292" cm="1">
        <f t="array" aca="1" ref="G292" ca="1">INDEX($S$2:$S$31, RANDBETWEEN(1, COUNTA($S$2:$S$31)))</f>
        <v>39000</v>
      </c>
      <c r="H292">
        <f t="shared" ca="1" si="40"/>
        <v>11</v>
      </c>
      <c r="I292">
        <f t="shared" ca="1" si="41"/>
        <v>31150</v>
      </c>
      <c r="J292" s="10" t="str">
        <f t="shared" ca="1" si="42"/>
        <v>Online</v>
      </c>
      <c r="K292" s="10">
        <f t="shared" ca="1" si="43"/>
        <v>31150</v>
      </c>
      <c r="L292" s="10">
        <f t="shared" ca="1" si="44"/>
        <v>93450</v>
      </c>
      <c r="M292" s="12" t="str" cm="1">
        <f t="array" aca="1" ref="M292" ca="1">INDEX($R$33:$R$82, RANDBETWEEN(1, COUNTA($R$33:$R$82)))</f>
        <v>NV6</v>
      </c>
      <c r="N292">
        <f t="shared" ca="1" si="45"/>
        <v>15</v>
      </c>
    </row>
    <row r="293" spans="1:14" ht="16.8" x14ac:dyDescent="0.3">
      <c r="A293" s="7" t="str">
        <f t="shared" si="37"/>
        <v>S0292</v>
      </c>
      <c r="B293" s="8">
        <f t="shared" ca="1" si="38"/>
        <v>44542</v>
      </c>
      <c r="C293" s="15" t="str" cm="1">
        <f t="array" aca="1" ref="C293" ca="1">INDEX($Q$2:$Q$31, RANDBETWEEN(1, COUNTA($Q$2:$Q$31)))</f>
        <v xml:space="preserve">Chocolate Freeze </v>
      </c>
      <c r="D293" s="10" t="str" cm="1">
        <f t="array" aca="1" ref="D293" ca="1">INDEX($R$2:$R$310, RANDBETWEEN(1, COUNTA($Q$2:$Q$310)))</f>
        <v>S</v>
      </c>
      <c r="E293">
        <f t="shared" ca="1" si="39"/>
        <v>4</v>
      </c>
      <c r="F293" cm="1">
        <f t="array" aca="1" ref="F293" ca="1">INDEX($S$2:$S$31, RANDBETWEEN(1, COUNTA($S$2:$S$31)))</f>
        <v>65000</v>
      </c>
      <c r="G293" cm="1">
        <f t="array" aca="1" ref="G293" ca="1">INDEX($S$2:$S$31, RANDBETWEEN(1, COUNTA($S$2:$S$31)))</f>
        <v>65000</v>
      </c>
      <c r="H293">
        <f t="shared" ca="1" si="40"/>
        <v>5</v>
      </c>
      <c r="I293">
        <f t="shared" ca="1" si="41"/>
        <v>61750</v>
      </c>
      <c r="J293" s="10" t="str">
        <f t="shared" ca="1" si="42"/>
        <v>Online</v>
      </c>
      <c r="K293" s="10">
        <f t="shared" ca="1" si="43"/>
        <v>61750</v>
      </c>
      <c r="L293" s="10">
        <f t="shared" ca="1" si="44"/>
        <v>247000</v>
      </c>
      <c r="M293" s="12" t="str" cm="1">
        <f t="array" aca="1" ref="M293" ca="1">INDEX($R$33:$R$82, RANDBETWEEN(1, COUNTA($R$33:$R$82)))</f>
        <v>NV1</v>
      </c>
      <c r="N293">
        <f t="shared" ca="1" si="45"/>
        <v>4</v>
      </c>
    </row>
    <row r="294" spans="1:14" ht="16.8" x14ac:dyDescent="0.3">
      <c r="A294" s="7" t="str">
        <f t="shared" si="37"/>
        <v>S0293</v>
      </c>
      <c r="B294" s="8">
        <f t="shared" ca="1" si="38"/>
        <v>44716</v>
      </c>
      <c r="C294" s="15" t="str" cm="1">
        <f t="array" aca="1" ref="C294" ca="1">INDEX($Q$2:$Q$31, RANDBETWEEN(1, COUNTA($Q$2:$Q$31)))</f>
        <v>Latte</v>
      </c>
      <c r="D294" s="10" t="str" cm="1">
        <f t="array" aca="1" ref="D294" ca="1">INDEX($R$2:$R$310, RANDBETWEEN(1, COUNTA($Q$2:$Q$310)))</f>
        <v>M</v>
      </c>
      <c r="E294">
        <f t="shared" ca="1" si="39"/>
        <v>4</v>
      </c>
      <c r="F294" cm="1">
        <f t="array" aca="1" ref="F294" ca="1">INDEX($S$2:$S$31, RANDBETWEEN(1, COUNTA($S$2:$S$31)))</f>
        <v>59000</v>
      </c>
      <c r="G294" cm="1">
        <f t="array" aca="1" ref="G294" ca="1">INDEX($S$2:$S$31, RANDBETWEEN(1, COUNTA($S$2:$S$31)))</f>
        <v>49000</v>
      </c>
      <c r="H294">
        <f t="shared" ca="1" si="40"/>
        <v>6</v>
      </c>
      <c r="I294">
        <f t="shared" ca="1" si="41"/>
        <v>55460</v>
      </c>
      <c r="J294" s="10" t="str">
        <f t="shared" ca="1" si="42"/>
        <v>Online</v>
      </c>
      <c r="K294" s="10">
        <f t="shared" ca="1" si="43"/>
        <v>55460</v>
      </c>
      <c r="L294" s="10">
        <f t="shared" ca="1" si="44"/>
        <v>221840</v>
      </c>
      <c r="M294" s="12" t="str" cm="1">
        <f t="array" aca="1" ref="M294" ca="1">INDEX($R$33:$R$82, RANDBETWEEN(1, COUNTA($R$33:$R$82)))</f>
        <v>NV14</v>
      </c>
      <c r="N294">
        <f t="shared" ca="1" si="45"/>
        <v>42</v>
      </c>
    </row>
    <row r="295" spans="1:14" ht="16.8" x14ac:dyDescent="0.3">
      <c r="A295" s="7" t="str">
        <f t="shared" si="37"/>
        <v>S0294</v>
      </c>
      <c r="B295" s="8">
        <f t="shared" ca="1" si="38"/>
        <v>45164</v>
      </c>
      <c r="C295" s="15" t="str" cm="1">
        <f t="array" aca="1" ref="C295" ca="1">INDEX($Q$2:$Q$31, RANDBETWEEN(1, COUNTA($Q$2:$Q$31)))</f>
        <v>Mocha</v>
      </c>
      <c r="D295" s="10" t="str" cm="1">
        <f t="array" aca="1" ref="D295" ca="1">INDEX($R$2:$R$310, RANDBETWEEN(1, COUNTA($Q$2:$Q$310)))</f>
        <v>S</v>
      </c>
      <c r="E295">
        <f t="shared" ca="1" si="39"/>
        <v>2</v>
      </c>
      <c r="F295" cm="1">
        <f t="array" aca="1" ref="F295" ca="1">INDEX($S$2:$S$31, RANDBETWEEN(1, COUNTA($S$2:$S$31)))</f>
        <v>65000</v>
      </c>
      <c r="G295" cm="1">
        <f t="array" aca="1" ref="G295" ca="1">INDEX($S$2:$S$31, RANDBETWEEN(1, COUNTA($S$2:$S$31)))</f>
        <v>69000</v>
      </c>
      <c r="H295">
        <f t="shared" ca="1" si="40"/>
        <v>14</v>
      </c>
      <c r="I295">
        <f t="shared" ca="1" si="41"/>
        <v>55900</v>
      </c>
      <c r="J295" s="10" t="str">
        <f t="shared" ca="1" si="42"/>
        <v>Online</v>
      </c>
      <c r="K295" s="10">
        <f t="shared" ca="1" si="43"/>
        <v>55900</v>
      </c>
      <c r="L295" s="10">
        <f t="shared" ca="1" si="44"/>
        <v>111800</v>
      </c>
      <c r="M295" s="12" t="str" cm="1">
        <f t="array" aca="1" ref="M295" ca="1">INDEX($R$33:$R$82, RANDBETWEEN(1, COUNTA($R$33:$R$82)))</f>
        <v>NV19</v>
      </c>
      <c r="N295">
        <f t="shared" ca="1" si="45"/>
        <v>28</v>
      </c>
    </row>
    <row r="296" spans="1:14" ht="16.8" x14ac:dyDescent="0.3">
      <c r="A296" s="7" t="str">
        <f t="shared" si="37"/>
        <v>S0295</v>
      </c>
      <c r="B296" s="8">
        <f t="shared" ca="1" si="38"/>
        <v>44292</v>
      </c>
      <c r="C296" s="15" t="str" cm="1">
        <f t="array" aca="1" ref="C296" ca="1">INDEX($Q$2:$Q$31, RANDBETWEEN(1, COUNTA($Q$2:$Q$31)))</f>
        <v>Americano</v>
      </c>
      <c r="D296" s="10" t="str" cm="1">
        <f t="array" aca="1" ref="D296" ca="1">INDEX($R$2:$R$310, RANDBETWEEN(1, COUNTA($Q$2:$Q$310)))</f>
        <v>S</v>
      </c>
      <c r="E296">
        <f t="shared" ca="1" si="39"/>
        <v>2</v>
      </c>
      <c r="F296" cm="1">
        <f t="array" aca="1" ref="F296" ca="1">INDEX($S$2:$S$31, RANDBETWEEN(1, COUNTA($S$2:$S$31)))</f>
        <v>65000</v>
      </c>
      <c r="G296" cm="1">
        <f t="array" aca="1" ref="G296" ca="1">INDEX($S$2:$S$31, RANDBETWEEN(1, COUNTA($S$2:$S$31)))</f>
        <v>69000</v>
      </c>
      <c r="H296">
        <f t="shared" ca="1" si="40"/>
        <v>7</v>
      </c>
      <c r="I296">
        <f t="shared" ca="1" si="41"/>
        <v>60449.999999999993</v>
      </c>
      <c r="J296" s="10" t="str">
        <f t="shared" ca="1" si="42"/>
        <v>Online</v>
      </c>
      <c r="K296" s="10">
        <f t="shared" ca="1" si="43"/>
        <v>60449.999999999993</v>
      </c>
      <c r="L296" s="10">
        <f t="shared" ca="1" si="44"/>
        <v>120899.99999999999</v>
      </c>
      <c r="M296" s="12" t="str" cm="1">
        <f t="array" aca="1" ref="M296" ca="1">INDEX($R$33:$R$82, RANDBETWEEN(1, COUNTA($R$33:$R$82)))</f>
        <v>NV21</v>
      </c>
      <c r="N296">
        <f t="shared" ca="1" si="45"/>
        <v>22</v>
      </c>
    </row>
    <row r="297" spans="1:14" ht="16.8" x14ac:dyDescent="0.3">
      <c r="A297" s="7" t="str">
        <f t="shared" si="37"/>
        <v>S0296</v>
      </c>
      <c r="B297" s="8">
        <f t="shared" ca="1" si="38"/>
        <v>44506</v>
      </c>
      <c r="C297" s="15" t="str" cm="1">
        <f t="array" aca="1" ref="C297" ca="1">INDEX($Q$2:$Q$31, RANDBETWEEN(1, COUNTA($Q$2:$Q$31)))</f>
        <v>Americano</v>
      </c>
      <c r="D297" s="10" t="str" cm="1">
        <f t="array" aca="1" ref="D297" ca="1">INDEX($R$2:$R$310, RANDBETWEEN(1, COUNTA($Q$2:$Q$310)))</f>
        <v>L</v>
      </c>
      <c r="E297">
        <f t="shared" ca="1" si="39"/>
        <v>3</v>
      </c>
      <c r="F297" cm="1">
        <f t="array" aca="1" ref="F297" ca="1">INDEX($S$2:$S$31, RANDBETWEEN(1, COUNTA($S$2:$S$31)))</f>
        <v>55000</v>
      </c>
      <c r="G297" cm="1">
        <f t="array" aca="1" ref="G297" ca="1">INDEX($S$2:$S$31, RANDBETWEEN(1, COUNTA($S$2:$S$31)))</f>
        <v>49000</v>
      </c>
      <c r="H297">
        <f t="shared" ca="1" si="40"/>
        <v>13</v>
      </c>
      <c r="I297">
        <f t="shared" ca="1" si="41"/>
        <v>47850</v>
      </c>
      <c r="J297" s="10" t="str">
        <f t="shared" ca="1" si="42"/>
        <v>Online</v>
      </c>
      <c r="K297" s="10">
        <f t="shared" ca="1" si="43"/>
        <v>47850</v>
      </c>
      <c r="L297" s="10">
        <f t="shared" ca="1" si="44"/>
        <v>143550</v>
      </c>
      <c r="M297" s="12" t="str" cm="1">
        <f t="array" aca="1" ref="M297" ca="1">INDEX($R$33:$R$82, RANDBETWEEN(1, COUNTA($R$33:$R$82)))</f>
        <v>NV41</v>
      </c>
      <c r="N297">
        <f t="shared" ca="1" si="45"/>
        <v>25</v>
      </c>
    </row>
    <row r="298" spans="1:14" ht="16.8" x14ac:dyDescent="0.3">
      <c r="A298" s="7" t="str">
        <f t="shared" si="37"/>
        <v>S0297</v>
      </c>
      <c r="B298" s="8">
        <f t="shared" ca="1" si="38"/>
        <v>45169</v>
      </c>
      <c r="C298" s="15" t="str" cm="1">
        <f t="array" aca="1" ref="C298" ca="1">INDEX($Q$2:$Q$31, RANDBETWEEN(1, COUNTA($Q$2:$Q$31)))</f>
        <v xml:space="preserve">Chocolate Freeze </v>
      </c>
      <c r="D298" s="10" t="str" cm="1">
        <f t="array" aca="1" ref="D298" ca="1">INDEX($R$2:$R$310, RANDBETWEEN(1, COUNTA($Q$2:$Q$310)))</f>
        <v>L</v>
      </c>
      <c r="E298">
        <f t="shared" ca="1" si="39"/>
        <v>3</v>
      </c>
      <c r="F298" cm="1">
        <f t="array" aca="1" ref="F298" ca="1">INDEX($S$2:$S$31, RANDBETWEEN(1, COUNTA($S$2:$S$31)))</f>
        <v>59000</v>
      </c>
      <c r="G298" cm="1">
        <f t="array" aca="1" ref="G298" ca="1">INDEX($S$2:$S$31, RANDBETWEEN(1, COUNTA($S$2:$S$31)))</f>
        <v>59000</v>
      </c>
      <c r="H298">
        <f t="shared" ca="1" si="40"/>
        <v>6</v>
      </c>
      <c r="I298">
        <f t="shared" ca="1" si="41"/>
        <v>55460</v>
      </c>
      <c r="J298" s="10" t="str">
        <f t="shared" ca="1" si="42"/>
        <v>Online</v>
      </c>
      <c r="K298" s="10">
        <f t="shared" ca="1" si="43"/>
        <v>55460</v>
      </c>
      <c r="L298" s="10">
        <f t="shared" ca="1" si="44"/>
        <v>166380</v>
      </c>
      <c r="M298" s="12" t="str" cm="1">
        <f t="array" aca="1" ref="M298" ca="1">INDEX($R$33:$R$82, RANDBETWEEN(1, COUNTA($R$33:$R$82)))</f>
        <v>NV47</v>
      </c>
      <c r="N298">
        <f t="shared" ca="1" si="45"/>
        <v>6</v>
      </c>
    </row>
    <row r="299" spans="1:14" ht="16.8" x14ac:dyDescent="0.3">
      <c r="A299" s="7" t="str">
        <f t="shared" si="37"/>
        <v>S0298</v>
      </c>
      <c r="B299" s="8">
        <f t="shared" ca="1" si="38"/>
        <v>44595</v>
      </c>
      <c r="C299" s="15" t="str" cm="1">
        <f t="array" aca="1" ref="C299" ca="1">INDEX($Q$2:$Q$31, RANDBETWEEN(1, COUNTA($Q$2:$Q$31)))</f>
        <v>Classic Phin Freeze</v>
      </c>
      <c r="D299" s="10" t="str" cm="1">
        <f t="array" aca="1" ref="D299" ca="1">INDEX($R$2:$R$310, RANDBETWEEN(1, COUNTA($Q$2:$Q$310)))</f>
        <v>M</v>
      </c>
      <c r="E299">
        <f t="shared" ca="1" si="39"/>
        <v>3</v>
      </c>
      <c r="F299" cm="1">
        <f t="array" aca="1" ref="F299" ca="1">INDEX($S$2:$S$31, RANDBETWEEN(1, COUNTA($S$2:$S$31)))</f>
        <v>35000</v>
      </c>
      <c r="G299" cm="1">
        <f t="array" aca="1" ref="G299" ca="1">INDEX($S$2:$S$31, RANDBETWEEN(1, COUNTA($S$2:$S$31)))</f>
        <v>59000</v>
      </c>
      <c r="H299">
        <f t="shared" ca="1" si="40"/>
        <v>6</v>
      </c>
      <c r="I299">
        <f t="shared" ca="1" si="41"/>
        <v>32900</v>
      </c>
      <c r="J299" s="10" t="str">
        <f t="shared" ca="1" si="42"/>
        <v>Online</v>
      </c>
      <c r="K299" s="10">
        <f t="shared" ca="1" si="43"/>
        <v>32900</v>
      </c>
      <c r="L299" s="10">
        <f t="shared" ca="1" si="44"/>
        <v>98700</v>
      </c>
      <c r="M299" s="12" t="str" cm="1">
        <f t="array" aca="1" ref="M299" ca="1">INDEX($R$33:$R$82, RANDBETWEEN(1, COUNTA($R$33:$R$82)))</f>
        <v>NV10</v>
      </c>
      <c r="N299">
        <f t="shared" ca="1" si="45"/>
        <v>30</v>
      </c>
    </row>
    <row r="300" spans="1:14" ht="16.8" x14ac:dyDescent="0.3">
      <c r="A300" s="7" t="str">
        <f t="shared" si="37"/>
        <v>S0299</v>
      </c>
      <c r="B300" s="8">
        <f t="shared" ca="1" si="38"/>
        <v>44647</v>
      </c>
      <c r="C300" s="15" t="str" cm="1">
        <f t="array" aca="1" ref="C300" ca="1">INDEX($Q$2:$Q$31, RANDBETWEEN(1, COUNTA($Q$2:$Q$31)))</f>
        <v xml:space="preserve">Green Tea Freeze </v>
      </c>
      <c r="D300" s="10" t="str" cm="1">
        <f t="array" aca="1" ref="D300" ca="1">INDEX($R$2:$R$310, RANDBETWEEN(1, COUNTA($Q$2:$Q$310)))</f>
        <v>L</v>
      </c>
      <c r="E300">
        <f t="shared" ca="1" si="39"/>
        <v>2</v>
      </c>
      <c r="F300" cm="1">
        <f t="array" aca="1" ref="F300" ca="1">INDEX($S$2:$S$31, RANDBETWEEN(1, COUNTA($S$2:$S$31)))</f>
        <v>55000</v>
      </c>
      <c r="G300" cm="1">
        <f t="array" aca="1" ref="G300" ca="1">INDEX($S$2:$S$31, RANDBETWEEN(1, COUNTA($S$2:$S$31)))</f>
        <v>65000</v>
      </c>
      <c r="H300">
        <f t="shared" ca="1" si="40"/>
        <v>7</v>
      </c>
      <c r="I300">
        <f t="shared" ca="1" si="41"/>
        <v>51150</v>
      </c>
      <c r="J300" s="10" t="str">
        <f t="shared" ca="1" si="42"/>
        <v>Online</v>
      </c>
      <c r="K300" s="10">
        <f t="shared" ca="1" si="43"/>
        <v>51150</v>
      </c>
      <c r="L300" s="10">
        <f t="shared" ca="1" si="44"/>
        <v>102300</v>
      </c>
      <c r="M300" s="12" t="str" cm="1">
        <f t="array" aca="1" ref="M300" ca="1">INDEX($R$33:$R$82, RANDBETWEEN(1, COUNTA($R$33:$R$82)))</f>
        <v>NV47</v>
      </c>
      <c r="N300">
        <f t="shared" ca="1" si="45"/>
        <v>27</v>
      </c>
    </row>
    <row r="301" spans="1:14" ht="16.8" x14ac:dyDescent="0.3">
      <c r="A301" s="7" t="str">
        <f t="shared" si="37"/>
        <v>S0300</v>
      </c>
      <c r="B301" s="8">
        <f t="shared" ca="1" si="38"/>
        <v>45148</v>
      </c>
      <c r="C301" s="15" t="str" cm="1">
        <f t="array" aca="1" ref="C301" ca="1">INDEX($Q$2:$Q$31, RANDBETWEEN(1, COUNTA($Q$2:$Q$31)))</f>
        <v>Iced Black Coffee</v>
      </c>
      <c r="D301" s="10" t="str" cm="1">
        <f t="array" aca="1" ref="D301" ca="1">INDEX($R$2:$R$310, RANDBETWEEN(1, COUNTA($Q$2:$Q$310)))</f>
        <v>M</v>
      </c>
      <c r="E301">
        <f t="shared" ca="1" si="39"/>
        <v>3</v>
      </c>
      <c r="F301" cm="1">
        <f t="array" aca="1" ref="F301" ca="1">INDEX($S$2:$S$31, RANDBETWEEN(1, COUNTA($S$2:$S$31)))</f>
        <v>35000</v>
      </c>
      <c r="G301" cm="1">
        <f t="array" aca="1" ref="G301" ca="1">INDEX($S$2:$S$31, RANDBETWEEN(1, COUNTA($S$2:$S$31)))</f>
        <v>49000</v>
      </c>
      <c r="H301">
        <f t="shared" ca="1" si="40"/>
        <v>14</v>
      </c>
      <c r="I301">
        <f t="shared" ca="1" si="41"/>
        <v>49000</v>
      </c>
      <c r="J301" s="10" t="str">
        <f t="shared" ca="1" si="42"/>
        <v>Offline</v>
      </c>
      <c r="K301" s="10">
        <f t="shared" ca="1" si="43"/>
        <v>49000</v>
      </c>
      <c r="L301" s="10">
        <f t="shared" ca="1" si="44"/>
        <v>147000</v>
      </c>
      <c r="M301" s="12" t="str" cm="1">
        <f t="array" aca="1" ref="M301" ca="1">INDEX($R$33:$R$82, RANDBETWEEN(1, COUNTA($R$33:$R$82)))</f>
        <v>NV20</v>
      </c>
      <c r="N301">
        <f t="shared" ca="1" si="45"/>
        <v>9</v>
      </c>
    </row>
    <row r="302" spans="1:14" ht="16.8" x14ac:dyDescent="0.3">
      <c r="A302" s="7" t="str">
        <f t="shared" si="37"/>
        <v>S0301</v>
      </c>
      <c r="B302" s="8">
        <f t="shared" ca="1" si="38"/>
        <v>44356</v>
      </c>
      <c r="C302" s="15" t="str" cm="1">
        <f t="array" aca="1" ref="C302" ca="1">INDEX($Q$2:$Q$31, RANDBETWEEN(1, COUNTA($Q$2:$Q$31)))</f>
        <v>Cappuccino</v>
      </c>
      <c r="D302" s="10" t="str" cm="1">
        <f t="array" aca="1" ref="D302" ca="1">INDEX($R$2:$R$310, RANDBETWEEN(1, COUNTA($Q$2:$Q$310)))</f>
        <v>S</v>
      </c>
      <c r="E302">
        <f t="shared" ca="1" si="39"/>
        <v>5</v>
      </c>
      <c r="F302" cm="1">
        <f t="array" aca="1" ref="F302" ca="1">INDEX($S$2:$S$31, RANDBETWEEN(1, COUNTA($S$2:$S$31)))</f>
        <v>69000</v>
      </c>
      <c r="G302" cm="1">
        <f t="array" aca="1" ref="G302" ca="1">INDEX($S$2:$S$31, RANDBETWEEN(1, COUNTA($S$2:$S$31)))</f>
        <v>65000</v>
      </c>
      <c r="H302">
        <f t="shared" ca="1" si="40"/>
        <v>12</v>
      </c>
      <c r="I302">
        <f t="shared" ca="1" si="41"/>
        <v>60720</v>
      </c>
      <c r="J302" s="10" t="str">
        <f t="shared" ca="1" si="42"/>
        <v>Online</v>
      </c>
      <c r="K302" s="10">
        <f t="shared" ca="1" si="43"/>
        <v>60720</v>
      </c>
      <c r="L302" s="10">
        <f t="shared" ca="1" si="44"/>
        <v>303600</v>
      </c>
      <c r="M302" s="12" t="str" cm="1">
        <f t="array" aca="1" ref="M302" ca="1">INDEX($R$33:$R$82, RANDBETWEEN(1, COUNTA($R$33:$R$82)))</f>
        <v>NV45</v>
      </c>
      <c r="N302">
        <f t="shared" ca="1" si="45"/>
        <v>14</v>
      </c>
    </row>
    <row r="303" spans="1:14" ht="16.8" x14ac:dyDescent="0.3">
      <c r="A303" s="7" t="str">
        <f t="shared" si="37"/>
        <v>S0302</v>
      </c>
      <c r="B303" s="8">
        <f t="shared" ca="1" si="38"/>
        <v>44198</v>
      </c>
      <c r="C303" s="15" t="str" cm="1">
        <f t="array" aca="1" ref="C303" ca="1">INDEX($Q$2:$Q$31, RANDBETWEEN(1, COUNTA($Q$2:$Q$31)))</f>
        <v xml:space="preserve">Chocolate Freeze </v>
      </c>
      <c r="D303" s="10" t="str" cm="1">
        <f t="array" aca="1" ref="D303" ca="1">INDEX($R$2:$R$310, RANDBETWEEN(1, COUNTA($Q$2:$Q$310)))</f>
        <v>L</v>
      </c>
      <c r="E303">
        <f t="shared" ca="1" si="39"/>
        <v>5</v>
      </c>
      <c r="F303" cm="1">
        <f t="array" aca="1" ref="F303" ca="1">INDEX($S$2:$S$31, RANDBETWEEN(1, COUNTA($S$2:$S$31)))</f>
        <v>59000</v>
      </c>
      <c r="G303" cm="1">
        <f t="array" aca="1" ref="G303" ca="1">INDEX($S$2:$S$31, RANDBETWEEN(1, COUNTA($S$2:$S$31)))</f>
        <v>39000</v>
      </c>
      <c r="H303">
        <f t="shared" ca="1" si="40"/>
        <v>7</v>
      </c>
      <c r="I303">
        <f t="shared" ca="1" si="41"/>
        <v>39000</v>
      </c>
      <c r="J303" s="10" t="str">
        <f t="shared" ca="1" si="42"/>
        <v>Offline</v>
      </c>
      <c r="K303" s="10">
        <f t="shared" ca="1" si="43"/>
        <v>39000</v>
      </c>
      <c r="L303" s="10">
        <f t="shared" ca="1" si="44"/>
        <v>195000</v>
      </c>
      <c r="M303" s="12" t="str" cm="1">
        <f t="array" aca="1" ref="M303" ca="1">INDEX($R$33:$R$82, RANDBETWEEN(1, COUNTA($R$33:$R$82)))</f>
        <v>NV45</v>
      </c>
      <c r="N303">
        <f t="shared" ca="1" si="45"/>
        <v>47</v>
      </c>
    </row>
    <row r="304" spans="1:14" ht="16.8" x14ac:dyDescent="0.3">
      <c r="A304" s="7" t="str">
        <f t="shared" si="37"/>
        <v>S0303</v>
      </c>
      <c r="B304" s="8">
        <f t="shared" ca="1" si="38"/>
        <v>44794</v>
      </c>
      <c r="C304" s="15" t="str" cm="1">
        <f t="array" aca="1" ref="C304" ca="1">INDEX($Q$2:$Q$31, RANDBETWEEN(1, COUNTA($Q$2:$Q$31)))</f>
        <v xml:space="preserve">Green Tea Freeze </v>
      </c>
      <c r="D304" s="10" t="str" cm="1">
        <f t="array" aca="1" ref="D304" ca="1">INDEX($R$2:$R$310, RANDBETWEEN(1, COUNTA($Q$2:$Q$310)))</f>
        <v>M</v>
      </c>
      <c r="E304">
        <f t="shared" ca="1" si="39"/>
        <v>3</v>
      </c>
      <c r="F304" cm="1">
        <f t="array" aca="1" ref="F304" ca="1">INDEX($S$2:$S$31, RANDBETWEEN(1, COUNTA($S$2:$S$31)))</f>
        <v>59000</v>
      </c>
      <c r="G304" cm="1">
        <f t="array" aca="1" ref="G304" ca="1">INDEX($S$2:$S$31, RANDBETWEEN(1, COUNTA($S$2:$S$31)))</f>
        <v>69000</v>
      </c>
      <c r="H304">
        <f t="shared" ca="1" si="40"/>
        <v>15</v>
      </c>
      <c r="I304">
        <f t="shared" ca="1" si="41"/>
        <v>50150</v>
      </c>
      <c r="J304" s="10" t="str">
        <f t="shared" ca="1" si="42"/>
        <v>Online</v>
      </c>
      <c r="K304" s="10">
        <f t="shared" ca="1" si="43"/>
        <v>50150</v>
      </c>
      <c r="L304" s="10">
        <f t="shared" ca="1" si="44"/>
        <v>150450</v>
      </c>
      <c r="M304" s="12" t="str" cm="1">
        <f t="array" aca="1" ref="M304" ca="1">INDEX($R$33:$R$82, RANDBETWEEN(1, COUNTA($R$33:$R$82)))</f>
        <v>NV22</v>
      </c>
      <c r="N304">
        <f t="shared" ca="1" si="45"/>
        <v>24</v>
      </c>
    </row>
    <row r="305" spans="1:14" ht="16.8" x14ac:dyDescent="0.3">
      <c r="A305" s="7" t="str">
        <f t="shared" si="37"/>
        <v>S0304</v>
      </c>
      <c r="B305" s="8">
        <f t="shared" ca="1" si="38"/>
        <v>44605</v>
      </c>
      <c r="C305" s="15" t="str" cm="1">
        <f t="array" aca="1" ref="C305" ca="1">INDEX($Q$2:$Q$31, RANDBETWEEN(1, COUNTA($Q$2:$Q$31)))</f>
        <v>Americano</v>
      </c>
      <c r="D305" s="10" t="str" cm="1">
        <f t="array" aca="1" ref="D305" ca="1">INDEX($R$2:$R$310, RANDBETWEEN(1, COUNTA($Q$2:$Q$310)))</f>
        <v>L</v>
      </c>
      <c r="E305">
        <f t="shared" ca="1" si="39"/>
        <v>4</v>
      </c>
      <c r="F305" cm="1">
        <f t="array" aca="1" ref="F305" ca="1">INDEX($S$2:$S$31, RANDBETWEEN(1, COUNTA($S$2:$S$31)))</f>
        <v>65000</v>
      </c>
      <c r="G305" cm="1">
        <f t="array" aca="1" ref="G305" ca="1">INDEX($S$2:$S$31, RANDBETWEEN(1, COUNTA($S$2:$S$31)))</f>
        <v>65000</v>
      </c>
      <c r="H305">
        <f t="shared" ca="1" si="40"/>
        <v>7</v>
      </c>
      <c r="I305">
        <f t="shared" ca="1" si="41"/>
        <v>60449.999999999993</v>
      </c>
      <c r="J305" s="10" t="str">
        <f t="shared" ca="1" si="42"/>
        <v>Online</v>
      </c>
      <c r="K305" s="10">
        <f t="shared" ca="1" si="43"/>
        <v>60449.999999999993</v>
      </c>
      <c r="L305" s="10">
        <f t="shared" ca="1" si="44"/>
        <v>241799.99999999997</v>
      </c>
      <c r="M305" s="12" t="str" cm="1">
        <f t="array" aca="1" ref="M305" ca="1">INDEX($R$33:$R$82, RANDBETWEEN(1, COUNTA($R$33:$R$82)))</f>
        <v>NV30</v>
      </c>
      <c r="N305">
        <f t="shared" ca="1" si="45"/>
        <v>22</v>
      </c>
    </row>
    <row r="306" spans="1:14" ht="16.8" x14ac:dyDescent="0.3">
      <c r="A306" s="7" t="str">
        <f t="shared" si="37"/>
        <v>S0305</v>
      </c>
      <c r="B306" s="8">
        <f t="shared" ca="1" si="38"/>
        <v>44412</v>
      </c>
      <c r="C306" s="15" t="str" cm="1">
        <f t="array" aca="1" ref="C306" ca="1">INDEX($Q$2:$Q$31, RANDBETWEEN(1, COUNTA($Q$2:$Q$31)))</f>
        <v xml:space="preserve">Chocolate Freeze </v>
      </c>
      <c r="D306" s="10" t="str" cm="1">
        <f t="array" aca="1" ref="D306" ca="1">INDEX($R$2:$R$310, RANDBETWEEN(1, COUNTA($Q$2:$Q$310)))</f>
        <v>L</v>
      </c>
      <c r="E306">
        <f t="shared" ca="1" si="39"/>
        <v>1</v>
      </c>
      <c r="F306" cm="1">
        <f t="array" aca="1" ref="F306" ca="1">INDEX($S$2:$S$31, RANDBETWEEN(1, COUNTA($S$2:$S$31)))</f>
        <v>65000</v>
      </c>
      <c r="G306" cm="1">
        <f t="array" aca="1" ref="G306" ca="1">INDEX($S$2:$S$31, RANDBETWEEN(1, COUNTA($S$2:$S$31)))</f>
        <v>59000</v>
      </c>
      <c r="H306">
        <f t="shared" ca="1" si="40"/>
        <v>9</v>
      </c>
      <c r="I306">
        <f t="shared" ca="1" si="41"/>
        <v>59000</v>
      </c>
      <c r="J306" s="10" t="str">
        <f t="shared" ca="1" si="42"/>
        <v>Offline</v>
      </c>
      <c r="K306" s="10">
        <f t="shared" ca="1" si="43"/>
        <v>59000</v>
      </c>
      <c r="L306" s="10">
        <f t="shared" ca="1" si="44"/>
        <v>59000</v>
      </c>
      <c r="M306" s="12" t="str" cm="1">
        <f t="array" aca="1" ref="M306" ca="1">INDEX($R$33:$R$82, RANDBETWEEN(1, COUNTA($R$33:$R$82)))</f>
        <v>NV44</v>
      </c>
      <c r="N306">
        <f t="shared" ca="1" si="45"/>
        <v>39</v>
      </c>
    </row>
    <row r="307" spans="1:14" ht="16.8" x14ac:dyDescent="0.3">
      <c r="A307" s="7" t="str">
        <f t="shared" si="37"/>
        <v>S0306</v>
      </c>
      <c r="B307" s="8">
        <f t="shared" ca="1" si="38"/>
        <v>44748</v>
      </c>
      <c r="C307" s="15" t="str" cm="1">
        <f t="array" aca="1" ref="C307" ca="1">INDEX($Q$2:$Q$31, RANDBETWEEN(1, COUNTA($Q$2:$Q$31)))</f>
        <v>Cappuccino</v>
      </c>
      <c r="D307" s="10" t="str" cm="1">
        <f t="array" aca="1" ref="D307" ca="1">INDEX($R$2:$R$310, RANDBETWEEN(1, COUNTA($Q$2:$Q$310)))</f>
        <v>S</v>
      </c>
      <c r="E307">
        <f t="shared" ca="1" si="39"/>
        <v>1</v>
      </c>
      <c r="F307" cm="1">
        <f t="array" aca="1" ref="F307" ca="1">INDEX($S$2:$S$31, RANDBETWEEN(1, COUNTA($S$2:$S$31)))</f>
        <v>59000</v>
      </c>
      <c r="G307" cm="1">
        <f t="array" aca="1" ref="G307" ca="1">INDEX($S$2:$S$31, RANDBETWEEN(1, COUNTA($S$2:$S$31)))</f>
        <v>65000</v>
      </c>
      <c r="H307">
        <f t="shared" ca="1" si="40"/>
        <v>6</v>
      </c>
      <c r="I307">
        <f t="shared" ca="1" si="41"/>
        <v>55460</v>
      </c>
      <c r="J307" s="10" t="str">
        <f t="shared" ca="1" si="42"/>
        <v>Online</v>
      </c>
      <c r="K307" s="10">
        <f t="shared" ca="1" si="43"/>
        <v>55460</v>
      </c>
      <c r="L307" s="10">
        <f t="shared" ca="1" si="44"/>
        <v>55460</v>
      </c>
      <c r="M307" s="12" t="str" cm="1">
        <f t="array" aca="1" ref="M307" ca="1">INDEX($R$33:$R$82, RANDBETWEEN(1, COUNTA($R$33:$R$82)))</f>
        <v>NV49</v>
      </c>
      <c r="N307">
        <f t="shared" ca="1" si="45"/>
        <v>13</v>
      </c>
    </row>
    <row r="308" spans="1:14" ht="16.8" x14ac:dyDescent="0.3">
      <c r="A308" s="7" t="str">
        <f t="shared" si="37"/>
        <v>S0307</v>
      </c>
      <c r="B308" s="8">
        <f t="shared" ca="1" si="38"/>
        <v>45027</v>
      </c>
      <c r="C308" s="15" t="str" cm="1">
        <f t="array" aca="1" ref="C308" ca="1">INDEX($Q$2:$Q$31, RANDBETWEEN(1, COUNTA($Q$2:$Q$31)))</f>
        <v>Latte</v>
      </c>
      <c r="D308" s="10" t="str" cm="1">
        <f t="array" aca="1" ref="D308" ca="1">INDEX($R$2:$R$310, RANDBETWEEN(1, COUNTA($Q$2:$Q$310)))</f>
        <v>L</v>
      </c>
      <c r="E308">
        <f t="shared" ca="1" si="39"/>
        <v>1</v>
      </c>
      <c r="F308" cm="1">
        <f t="array" aca="1" ref="F308" ca="1">INDEX($S$2:$S$31, RANDBETWEEN(1, COUNTA($S$2:$S$31)))</f>
        <v>49000</v>
      </c>
      <c r="G308" cm="1">
        <f t="array" aca="1" ref="G308" ca="1">INDEX($S$2:$S$31, RANDBETWEEN(1, COUNTA($S$2:$S$31)))</f>
        <v>55000</v>
      </c>
      <c r="H308">
        <f t="shared" ca="1" si="40"/>
        <v>10</v>
      </c>
      <c r="I308">
        <f t="shared" ca="1" si="41"/>
        <v>44100</v>
      </c>
      <c r="J308" s="10" t="str">
        <f t="shared" ca="1" si="42"/>
        <v>Online</v>
      </c>
      <c r="K308" s="10">
        <f t="shared" ca="1" si="43"/>
        <v>44100</v>
      </c>
      <c r="L308" s="10">
        <f t="shared" ca="1" si="44"/>
        <v>44100</v>
      </c>
      <c r="M308" s="12" t="str" cm="1">
        <f t="array" aca="1" ref="M308" ca="1">INDEX($R$33:$R$82, RANDBETWEEN(1, COUNTA($R$33:$R$82)))</f>
        <v>NV7</v>
      </c>
      <c r="N308">
        <f t="shared" ca="1" si="45"/>
        <v>20</v>
      </c>
    </row>
    <row r="309" spans="1:14" ht="16.8" x14ac:dyDescent="0.3">
      <c r="A309" s="7" t="str">
        <f t="shared" si="37"/>
        <v>S0308</v>
      </c>
      <c r="B309" s="8">
        <f t="shared" ca="1" si="38"/>
        <v>44239</v>
      </c>
      <c r="C309" s="15" t="str" cm="1">
        <f t="array" aca="1" ref="C309" ca="1">INDEX($Q$2:$Q$31, RANDBETWEEN(1, COUNTA($Q$2:$Q$31)))</f>
        <v>Caramel Phin Freeze</v>
      </c>
      <c r="D309" s="10" t="str" cm="1">
        <f t="array" aca="1" ref="D309" ca="1">INDEX($R$2:$R$310, RANDBETWEEN(1, COUNTA($Q$2:$Q$310)))</f>
        <v>M</v>
      </c>
      <c r="E309">
        <f t="shared" ca="1" si="39"/>
        <v>3</v>
      </c>
      <c r="F309" cm="1">
        <f t="array" aca="1" ref="F309" ca="1">INDEX($S$2:$S$31, RANDBETWEEN(1, COUNTA($S$2:$S$31)))</f>
        <v>65000</v>
      </c>
      <c r="G309" cm="1">
        <f t="array" aca="1" ref="G309" ca="1">INDEX($S$2:$S$31, RANDBETWEEN(1, COUNTA($S$2:$S$31)))</f>
        <v>49000</v>
      </c>
      <c r="H309">
        <f t="shared" ca="1" si="40"/>
        <v>11</v>
      </c>
      <c r="I309">
        <f t="shared" ca="1" si="41"/>
        <v>49000</v>
      </c>
      <c r="J309" s="10" t="str">
        <f t="shared" ca="1" si="42"/>
        <v>Offline</v>
      </c>
      <c r="K309" s="10">
        <f t="shared" ca="1" si="43"/>
        <v>49000</v>
      </c>
      <c r="L309" s="10">
        <f t="shared" ca="1" si="44"/>
        <v>147000</v>
      </c>
      <c r="M309" s="12" t="str" cm="1">
        <f t="array" aca="1" ref="M309" ca="1">INDEX($R$33:$R$82, RANDBETWEEN(1, COUNTA($R$33:$R$82)))</f>
        <v>NV23</v>
      </c>
      <c r="N309">
        <f t="shared" ca="1" si="45"/>
        <v>40</v>
      </c>
    </row>
    <row r="310" spans="1:14" ht="16.8" x14ac:dyDescent="0.3">
      <c r="A310" s="7" t="str">
        <f t="shared" si="37"/>
        <v>S0309</v>
      </c>
      <c r="B310" s="8">
        <f t="shared" ca="1" si="38"/>
        <v>44352</v>
      </c>
      <c r="C310" s="15" t="str" cm="1">
        <f t="array" aca="1" ref="C310" ca="1">INDEX($Q$2:$Q$31, RANDBETWEEN(1, COUNTA($Q$2:$Q$31)))</f>
        <v xml:space="preserve">Chocolate Freeze </v>
      </c>
      <c r="D310" s="10" t="str" cm="1">
        <f t="array" aca="1" ref="D310" ca="1">INDEX($R$2:$R$310, RANDBETWEEN(1, COUNTA($Q$2:$Q$310)))</f>
        <v>S</v>
      </c>
      <c r="E310">
        <f t="shared" ca="1" si="39"/>
        <v>4</v>
      </c>
      <c r="F310" cm="1">
        <f t="array" aca="1" ref="F310" ca="1">INDEX($S$2:$S$31, RANDBETWEEN(1, COUNTA($S$2:$S$31)))</f>
        <v>65000</v>
      </c>
      <c r="G310" cm="1">
        <f t="array" aca="1" ref="G310" ca="1">INDEX($S$2:$S$31, RANDBETWEEN(1, COUNTA($S$2:$S$31)))</f>
        <v>49000</v>
      </c>
      <c r="H310">
        <f t="shared" ca="1" si="40"/>
        <v>11</v>
      </c>
      <c r="I310">
        <f t="shared" ca="1" si="41"/>
        <v>49000</v>
      </c>
      <c r="J310" s="10" t="str">
        <f t="shared" ca="1" si="42"/>
        <v>Offline</v>
      </c>
      <c r="K310" s="10">
        <f t="shared" ca="1" si="43"/>
        <v>49000</v>
      </c>
      <c r="L310" s="10">
        <f t="shared" ca="1" si="44"/>
        <v>196000</v>
      </c>
      <c r="M310" s="12" t="str" cm="1">
        <f t="array" aca="1" ref="M310" ca="1">INDEX($R$33:$R$82, RANDBETWEEN(1, COUNTA($R$33:$R$82)))</f>
        <v>NV37</v>
      </c>
      <c r="N310">
        <f t="shared" ca="1" si="45"/>
        <v>31</v>
      </c>
    </row>
    <row r="311" spans="1:14" ht="16.8" x14ac:dyDescent="0.3">
      <c r="A311" s="7" t="str">
        <f t="shared" si="37"/>
        <v>S0310</v>
      </c>
      <c r="B311" s="8">
        <f t="shared" ca="1" si="38"/>
        <v>44709</v>
      </c>
      <c r="C311" s="15" t="str" cm="1">
        <f t="array" aca="1" ref="C311" ca="1">INDEX($Q$2:$Q$31, RANDBETWEEN(1, COUNTA($Q$2:$Q$31)))</f>
        <v xml:space="preserve">Chocolate Freeze </v>
      </c>
      <c r="D311" s="10" t="str" cm="1">
        <f t="array" aca="1" ref="D311" ca="1">INDEX($R$2:$R$310, RANDBETWEEN(1, COUNTA($Q$2:$Q$310)))</f>
        <v>L</v>
      </c>
      <c r="E311">
        <f t="shared" ca="1" si="39"/>
        <v>1</v>
      </c>
      <c r="F311" cm="1">
        <f t="array" aca="1" ref="F311" ca="1">INDEX($S$2:$S$31, RANDBETWEEN(1, COUNTA($S$2:$S$31)))</f>
        <v>49000</v>
      </c>
      <c r="G311" cm="1">
        <f t="array" aca="1" ref="G311" ca="1">INDEX($S$2:$S$31, RANDBETWEEN(1, COUNTA($S$2:$S$31)))</f>
        <v>29000</v>
      </c>
      <c r="H311">
        <f t="shared" ca="1" si="40"/>
        <v>14</v>
      </c>
      <c r="I311">
        <f t="shared" ca="1" si="41"/>
        <v>29000</v>
      </c>
      <c r="J311" s="10" t="str">
        <f t="shared" ca="1" si="42"/>
        <v>Offline</v>
      </c>
      <c r="K311" s="10">
        <f t="shared" ca="1" si="43"/>
        <v>29000</v>
      </c>
      <c r="L311" s="10">
        <f t="shared" ca="1" si="44"/>
        <v>29000</v>
      </c>
      <c r="M311" s="12" t="str" cm="1">
        <f t="array" aca="1" ref="M311" ca="1">INDEX($R$33:$R$82, RANDBETWEEN(1, COUNTA($R$33:$R$82)))</f>
        <v>NV39</v>
      </c>
      <c r="N311">
        <f t="shared" ca="1" si="45"/>
        <v>46</v>
      </c>
    </row>
    <row r="312" spans="1:14" ht="16.8" x14ac:dyDescent="0.3">
      <c r="A312" s="7" t="str">
        <f t="shared" si="37"/>
        <v>S0311</v>
      </c>
      <c r="B312" s="8">
        <f t="shared" ca="1" si="38"/>
        <v>44812</v>
      </c>
      <c r="C312" s="15" t="str" cm="1">
        <f t="array" aca="1" ref="C312" ca="1">INDEX($Q$2:$Q$31, RANDBETWEEN(1, COUNTA($Q$2:$Q$31)))</f>
        <v>Classic Phin Freeze</v>
      </c>
      <c r="D312" s="10" t="str" cm="1">
        <f t="array" aca="1" ref="D312" ca="1">INDEX($R$2:$R$310, RANDBETWEEN(1, COUNTA($Q$2:$Q$310)))</f>
        <v>S</v>
      </c>
      <c r="E312">
        <f t="shared" ca="1" si="39"/>
        <v>2</v>
      </c>
      <c r="F312" cm="1">
        <f t="array" aca="1" ref="F312" ca="1">INDEX($S$2:$S$31, RANDBETWEEN(1, COUNTA($S$2:$S$31)))</f>
        <v>39000</v>
      </c>
      <c r="G312" cm="1">
        <f t="array" aca="1" ref="G312" ca="1">INDEX($S$2:$S$31, RANDBETWEEN(1, COUNTA($S$2:$S$31)))</f>
        <v>45000</v>
      </c>
      <c r="H312">
        <f t="shared" ca="1" si="40"/>
        <v>8</v>
      </c>
      <c r="I312">
        <f t="shared" ca="1" si="41"/>
        <v>45000</v>
      </c>
      <c r="J312" s="10" t="str">
        <f t="shared" ca="1" si="42"/>
        <v>Offline</v>
      </c>
      <c r="K312" s="10">
        <f t="shared" ca="1" si="43"/>
        <v>45000</v>
      </c>
      <c r="L312" s="10">
        <f t="shared" ca="1" si="44"/>
        <v>90000</v>
      </c>
      <c r="M312" s="12" t="str" cm="1">
        <f t="array" aca="1" ref="M312" ca="1">INDEX($R$33:$R$82, RANDBETWEEN(1, COUNTA($R$33:$R$82)))</f>
        <v>NV30</v>
      </c>
      <c r="N312">
        <f t="shared" ca="1" si="45"/>
        <v>11</v>
      </c>
    </row>
    <row r="313" spans="1:14" ht="16.8" x14ac:dyDescent="0.3">
      <c r="A313" s="7" t="str">
        <f t="shared" si="37"/>
        <v>S0312</v>
      </c>
      <c r="B313" s="8">
        <f t="shared" ca="1" si="38"/>
        <v>45079</v>
      </c>
      <c r="C313" s="15" t="str" cm="1">
        <f t="array" aca="1" ref="C313" ca="1">INDEX($Q$2:$Q$31, RANDBETWEEN(1, COUNTA($Q$2:$Q$31)))</f>
        <v>Iced Black Coffee</v>
      </c>
      <c r="D313" s="10" t="str" cm="1">
        <f t="array" aca="1" ref="D313" ca="1">INDEX($R$2:$R$310, RANDBETWEEN(1, COUNTA($Q$2:$Q$310)))</f>
        <v>L</v>
      </c>
      <c r="E313">
        <f t="shared" ca="1" si="39"/>
        <v>2</v>
      </c>
      <c r="F313" cm="1">
        <f t="array" aca="1" ref="F313" ca="1">INDEX($S$2:$S$31, RANDBETWEEN(1, COUNTA($S$2:$S$31)))</f>
        <v>65000</v>
      </c>
      <c r="G313" cm="1">
        <f t="array" aca="1" ref="G313" ca="1">INDEX($S$2:$S$31, RANDBETWEEN(1, COUNTA($S$2:$S$31)))</f>
        <v>65000</v>
      </c>
      <c r="H313">
        <f t="shared" ca="1" si="40"/>
        <v>11</v>
      </c>
      <c r="I313">
        <f t="shared" ca="1" si="41"/>
        <v>57850</v>
      </c>
      <c r="J313" s="10" t="str">
        <f t="shared" ca="1" si="42"/>
        <v>Online</v>
      </c>
      <c r="K313" s="10">
        <f t="shared" ca="1" si="43"/>
        <v>57850</v>
      </c>
      <c r="L313" s="10">
        <f t="shared" ca="1" si="44"/>
        <v>115700</v>
      </c>
      <c r="M313" s="12" t="str" cm="1">
        <f t="array" aca="1" ref="M313" ca="1">INDEX($R$33:$R$82, RANDBETWEEN(1, COUNTA($R$33:$R$82)))</f>
        <v>NV1</v>
      </c>
      <c r="N313">
        <f t="shared" ca="1" si="45"/>
        <v>15</v>
      </c>
    </row>
    <row r="314" spans="1:14" ht="16.8" x14ac:dyDescent="0.3">
      <c r="A314" s="7" t="str">
        <f t="shared" si="37"/>
        <v>S0313</v>
      </c>
      <c r="B314" s="8">
        <f t="shared" ca="1" si="38"/>
        <v>45145</v>
      </c>
      <c r="C314" s="15" t="str" cm="1">
        <f t="array" aca="1" ref="C314" ca="1">INDEX($Q$2:$Q$31, RANDBETWEEN(1, COUNTA($Q$2:$Q$31)))</f>
        <v>Classic Phin Freeze</v>
      </c>
      <c r="D314" s="10" t="str" cm="1">
        <f t="array" aca="1" ref="D314" ca="1">INDEX($R$2:$R$310, RANDBETWEEN(1, COUNTA($Q$2:$Q$310)))</f>
        <v>S</v>
      </c>
      <c r="E314">
        <f t="shared" ca="1" si="39"/>
        <v>5</v>
      </c>
      <c r="F314" cm="1">
        <f t="array" aca="1" ref="F314" ca="1">INDEX($S$2:$S$31, RANDBETWEEN(1, COUNTA($S$2:$S$31)))</f>
        <v>29000</v>
      </c>
      <c r="G314" cm="1">
        <f t="array" aca="1" ref="G314" ca="1">INDEX($S$2:$S$31, RANDBETWEEN(1, COUNTA($S$2:$S$31)))</f>
        <v>49000</v>
      </c>
      <c r="H314">
        <f t="shared" ca="1" si="40"/>
        <v>5</v>
      </c>
      <c r="I314">
        <f t="shared" ca="1" si="41"/>
        <v>27550</v>
      </c>
      <c r="J314" s="10" t="str">
        <f t="shared" ca="1" si="42"/>
        <v>Online</v>
      </c>
      <c r="K314" s="10">
        <f t="shared" ca="1" si="43"/>
        <v>27550</v>
      </c>
      <c r="L314" s="10">
        <f t="shared" ca="1" si="44"/>
        <v>137750</v>
      </c>
      <c r="M314" s="12" t="str" cm="1">
        <f t="array" aca="1" ref="M314" ca="1">INDEX($R$33:$R$82, RANDBETWEEN(1, COUNTA($R$33:$R$82)))</f>
        <v>NV46</v>
      </c>
      <c r="N314">
        <f t="shared" ca="1" si="45"/>
        <v>17</v>
      </c>
    </row>
    <row r="315" spans="1:14" ht="16.8" x14ac:dyDescent="0.3">
      <c r="A315" s="7" t="str">
        <f t="shared" si="37"/>
        <v>S0314</v>
      </c>
      <c r="B315" s="8">
        <f t="shared" ca="1" si="38"/>
        <v>44818</v>
      </c>
      <c r="C315" s="15" t="str" cm="1">
        <f t="array" aca="1" ref="C315" ca="1">INDEX($Q$2:$Q$31, RANDBETWEEN(1, COUNTA($Q$2:$Q$31)))</f>
        <v xml:space="preserve">Chocolate Freeze </v>
      </c>
      <c r="D315" s="10" t="str" cm="1">
        <f t="array" aca="1" ref="D315" ca="1">INDEX($R$2:$R$310, RANDBETWEEN(1, COUNTA($Q$2:$Q$310)))</f>
        <v>L</v>
      </c>
      <c r="E315">
        <f t="shared" ca="1" si="39"/>
        <v>4</v>
      </c>
      <c r="F315" cm="1">
        <f t="array" aca="1" ref="F315" ca="1">INDEX($S$2:$S$31, RANDBETWEEN(1, COUNTA($S$2:$S$31)))</f>
        <v>35000</v>
      </c>
      <c r="G315" cm="1">
        <f t="array" aca="1" ref="G315" ca="1">INDEX($S$2:$S$31, RANDBETWEEN(1, COUNTA($S$2:$S$31)))</f>
        <v>55000</v>
      </c>
      <c r="H315">
        <f t="shared" ca="1" si="40"/>
        <v>10</v>
      </c>
      <c r="I315">
        <f t="shared" ca="1" si="41"/>
        <v>31500</v>
      </c>
      <c r="J315" s="10" t="str">
        <f t="shared" ca="1" si="42"/>
        <v>Online</v>
      </c>
      <c r="K315" s="10">
        <f t="shared" ca="1" si="43"/>
        <v>31500</v>
      </c>
      <c r="L315" s="10">
        <f t="shared" ca="1" si="44"/>
        <v>126000</v>
      </c>
      <c r="M315" s="12" t="str" cm="1">
        <f t="array" aca="1" ref="M315" ca="1">INDEX($R$33:$R$82, RANDBETWEEN(1, COUNTA($R$33:$R$82)))</f>
        <v>NV32</v>
      </c>
      <c r="N315">
        <f t="shared" ca="1" si="45"/>
        <v>16</v>
      </c>
    </row>
    <row r="316" spans="1:14" ht="16.8" x14ac:dyDescent="0.3">
      <c r="A316" s="7" t="str">
        <f t="shared" si="37"/>
        <v>S0315</v>
      </c>
      <c r="B316" s="8">
        <f t="shared" ca="1" si="38"/>
        <v>44489</v>
      </c>
      <c r="C316" s="15" t="str" cm="1">
        <f t="array" aca="1" ref="C316" ca="1">INDEX($Q$2:$Q$31, RANDBETWEEN(1, COUNTA($Q$2:$Q$31)))</f>
        <v>Mocha</v>
      </c>
      <c r="D316" s="10" t="str" cm="1">
        <f t="array" aca="1" ref="D316" ca="1">INDEX($R$2:$R$310, RANDBETWEEN(1, COUNTA($Q$2:$Q$310)))</f>
        <v>M</v>
      </c>
      <c r="E316">
        <f t="shared" ca="1" si="39"/>
        <v>2</v>
      </c>
      <c r="F316" cm="1">
        <f t="array" aca="1" ref="F316" ca="1">INDEX($S$2:$S$31, RANDBETWEEN(1, COUNTA($S$2:$S$31)))</f>
        <v>49000</v>
      </c>
      <c r="G316" cm="1">
        <f t="array" aca="1" ref="G316" ca="1">INDEX($S$2:$S$31, RANDBETWEEN(1, COUNTA($S$2:$S$31)))</f>
        <v>59000</v>
      </c>
      <c r="H316">
        <f t="shared" ca="1" si="40"/>
        <v>11</v>
      </c>
      <c r="I316">
        <f t="shared" ca="1" si="41"/>
        <v>59000</v>
      </c>
      <c r="J316" s="10" t="str">
        <f t="shared" ca="1" si="42"/>
        <v>Offline</v>
      </c>
      <c r="K316" s="10">
        <f t="shared" ca="1" si="43"/>
        <v>59000</v>
      </c>
      <c r="L316" s="10">
        <f t="shared" ca="1" si="44"/>
        <v>118000</v>
      </c>
      <c r="M316" s="12" t="str" cm="1">
        <f t="array" aca="1" ref="M316" ca="1">INDEX($R$33:$R$82, RANDBETWEEN(1, COUNTA($R$33:$R$82)))</f>
        <v>NV8</v>
      </c>
      <c r="N316">
        <f t="shared" ca="1" si="45"/>
        <v>18</v>
      </c>
    </row>
    <row r="317" spans="1:14" ht="16.8" x14ac:dyDescent="0.3">
      <c r="A317" s="7" t="str">
        <f t="shared" si="37"/>
        <v>S0316</v>
      </c>
      <c r="B317" s="8">
        <f t="shared" ca="1" si="38"/>
        <v>45135</v>
      </c>
      <c r="C317" s="15" t="str" cm="1">
        <f t="array" aca="1" ref="C317" ca="1">INDEX($Q$2:$Q$31, RANDBETWEEN(1, COUNTA($Q$2:$Q$31)))</f>
        <v>Mocha</v>
      </c>
      <c r="D317" s="10" t="str" cm="1">
        <f t="array" aca="1" ref="D317" ca="1">INDEX($R$2:$R$310, RANDBETWEEN(1, COUNTA($Q$2:$Q$310)))</f>
        <v>M</v>
      </c>
      <c r="E317">
        <f t="shared" ca="1" si="39"/>
        <v>2</v>
      </c>
      <c r="F317" cm="1">
        <f t="array" aca="1" ref="F317" ca="1">INDEX($S$2:$S$31, RANDBETWEEN(1, COUNTA($S$2:$S$31)))</f>
        <v>69000</v>
      </c>
      <c r="G317" cm="1">
        <f t="array" aca="1" ref="G317" ca="1">INDEX($S$2:$S$31, RANDBETWEEN(1, COUNTA($S$2:$S$31)))</f>
        <v>65000</v>
      </c>
      <c r="H317">
        <f t="shared" ca="1" si="40"/>
        <v>5</v>
      </c>
      <c r="I317">
        <f t="shared" ca="1" si="41"/>
        <v>65550</v>
      </c>
      <c r="J317" s="10" t="str">
        <f t="shared" ca="1" si="42"/>
        <v>Online</v>
      </c>
      <c r="K317" s="10">
        <f t="shared" ca="1" si="43"/>
        <v>65550</v>
      </c>
      <c r="L317" s="10">
        <f t="shared" ca="1" si="44"/>
        <v>131100</v>
      </c>
      <c r="M317" s="12" t="str" cm="1">
        <f t="array" aca="1" ref="M317" ca="1">INDEX($R$33:$R$82, RANDBETWEEN(1, COUNTA($R$33:$R$82)))</f>
        <v>NV10</v>
      </c>
      <c r="N317">
        <f t="shared" ca="1" si="45"/>
        <v>23</v>
      </c>
    </row>
    <row r="318" spans="1:14" ht="16.8" x14ac:dyDescent="0.3">
      <c r="A318" s="7" t="str">
        <f t="shared" si="37"/>
        <v>S0317</v>
      </c>
      <c r="B318" s="8">
        <f t="shared" ca="1" si="38"/>
        <v>44595</v>
      </c>
      <c r="C318" s="15" t="str" cm="1">
        <f t="array" aca="1" ref="C318" ca="1">INDEX($Q$2:$Q$31, RANDBETWEEN(1, COUNTA($Q$2:$Q$31)))</f>
        <v>Caramel Phin Freeze</v>
      </c>
      <c r="D318" s="10" t="str" cm="1">
        <f t="array" aca="1" ref="D318" ca="1">INDEX($R$2:$R$310, RANDBETWEEN(1, COUNTA($Q$2:$Q$310)))</f>
        <v>M</v>
      </c>
      <c r="E318">
        <f t="shared" ca="1" si="39"/>
        <v>3</v>
      </c>
      <c r="F318" cm="1">
        <f t="array" aca="1" ref="F318" ca="1">INDEX($S$2:$S$31, RANDBETWEEN(1, COUNTA($S$2:$S$31)))</f>
        <v>65000</v>
      </c>
      <c r="G318" cm="1">
        <f t="array" aca="1" ref="G318" ca="1">INDEX($S$2:$S$31, RANDBETWEEN(1, COUNTA($S$2:$S$31)))</f>
        <v>49000</v>
      </c>
      <c r="H318">
        <f t="shared" ca="1" si="40"/>
        <v>5</v>
      </c>
      <c r="I318">
        <f t="shared" ca="1" si="41"/>
        <v>61750</v>
      </c>
      <c r="J318" s="10" t="str">
        <f t="shared" ca="1" si="42"/>
        <v>Online</v>
      </c>
      <c r="K318" s="10">
        <f t="shared" ca="1" si="43"/>
        <v>61750</v>
      </c>
      <c r="L318" s="10">
        <f t="shared" ca="1" si="44"/>
        <v>185250</v>
      </c>
      <c r="M318" s="12" t="str" cm="1">
        <f t="array" aca="1" ref="M318" ca="1">INDEX($R$33:$R$82, RANDBETWEEN(1, COUNTA($R$33:$R$82)))</f>
        <v>NV40</v>
      </c>
      <c r="N318">
        <f t="shared" ca="1" si="45"/>
        <v>38</v>
      </c>
    </row>
    <row r="319" spans="1:14" ht="16.8" x14ac:dyDescent="0.3">
      <c r="A319" s="7" t="str">
        <f t="shared" ref="A319:A382" si="46">"S"&amp;TEXT(ROW()-1,"0000")</f>
        <v>S0318</v>
      </c>
      <c r="B319" s="8">
        <f t="shared" ref="B319:B382" ca="1" si="47">DATE(2021,1,1) + RANDBETWEEN(0,1095)</f>
        <v>44371</v>
      </c>
      <c r="C319" s="15" t="str" cm="1">
        <f t="array" aca="1" ref="C319" ca="1">INDEX($Q$2:$Q$31, RANDBETWEEN(1, COUNTA($Q$2:$Q$31)))</f>
        <v>Latte</v>
      </c>
      <c r="D319" s="10" t="str" cm="1">
        <f t="array" aca="1" ref="D319" ca="1">INDEX($R$2:$R$310, RANDBETWEEN(1, COUNTA($Q$2:$Q$310)))</f>
        <v>M</v>
      </c>
      <c r="E319">
        <f t="shared" ref="E319:E382" ca="1" si="48">RANDBETWEEN(1,5)</f>
        <v>1</v>
      </c>
      <c r="F319" cm="1">
        <f t="array" aca="1" ref="F319" ca="1">INDEX($S$2:$S$31, RANDBETWEEN(1, COUNTA($S$2:$S$31)))</f>
        <v>65000</v>
      </c>
      <c r="G319" cm="1">
        <f t="array" aca="1" ref="G319" ca="1">INDEX($S$2:$S$31, RANDBETWEEN(1, COUNTA($S$2:$S$31)))</f>
        <v>29000</v>
      </c>
      <c r="H319">
        <f t="shared" ca="1" si="40"/>
        <v>10</v>
      </c>
      <c r="I319">
        <f t="shared" ca="1" si="41"/>
        <v>29000</v>
      </c>
      <c r="J319" s="10" t="str">
        <f t="shared" ca="1" si="42"/>
        <v>Offline</v>
      </c>
      <c r="K319" s="10">
        <f t="shared" ca="1" si="43"/>
        <v>29000</v>
      </c>
      <c r="L319" s="10">
        <f t="shared" ca="1" si="44"/>
        <v>29000</v>
      </c>
      <c r="M319" s="12" t="str" cm="1">
        <f t="array" aca="1" ref="M319" ca="1">INDEX($R$33:$R$82, RANDBETWEEN(1, COUNTA($R$33:$R$82)))</f>
        <v>NV9</v>
      </c>
      <c r="N319">
        <f t="shared" ca="1" si="45"/>
        <v>43</v>
      </c>
    </row>
    <row r="320" spans="1:14" ht="16.8" x14ac:dyDescent="0.3">
      <c r="A320" s="7" t="str">
        <f t="shared" si="46"/>
        <v>S0319</v>
      </c>
      <c r="B320" s="8">
        <f t="shared" ca="1" si="47"/>
        <v>44616</v>
      </c>
      <c r="C320" s="15" t="str" cm="1">
        <f t="array" aca="1" ref="C320" ca="1">INDEX($Q$2:$Q$31, RANDBETWEEN(1, COUNTA($Q$2:$Q$31)))</f>
        <v>Mocha</v>
      </c>
      <c r="D320" s="10" t="str" cm="1">
        <f t="array" aca="1" ref="D320" ca="1">INDEX($R$2:$R$310, RANDBETWEEN(1, COUNTA($Q$2:$Q$310)))</f>
        <v>L</v>
      </c>
      <c r="E320">
        <f t="shared" ca="1" si="48"/>
        <v>1</v>
      </c>
      <c r="F320" cm="1">
        <f t="array" aca="1" ref="F320" ca="1">INDEX($S$2:$S$31, RANDBETWEEN(1, COUNTA($S$2:$S$31)))</f>
        <v>49000</v>
      </c>
      <c r="G320" cm="1">
        <f t="array" aca="1" ref="G320" ca="1">INDEX($S$2:$S$31, RANDBETWEEN(1, COUNTA($S$2:$S$31)))</f>
        <v>59000</v>
      </c>
      <c r="H320">
        <f t="shared" ca="1" si="40"/>
        <v>10</v>
      </c>
      <c r="I320">
        <f t="shared" ca="1" si="41"/>
        <v>44100</v>
      </c>
      <c r="J320" s="10" t="str">
        <f t="shared" ca="1" si="42"/>
        <v>Online</v>
      </c>
      <c r="K320" s="10">
        <f t="shared" ca="1" si="43"/>
        <v>44100</v>
      </c>
      <c r="L320" s="10">
        <f t="shared" ca="1" si="44"/>
        <v>44100</v>
      </c>
      <c r="M320" s="12" t="str" cm="1">
        <f t="array" aca="1" ref="M320" ca="1">INDEX($R$33:$R$82, RANDBETWEEN(1, COUNTA($R$33:$R$82)))</f>
        <v>NV24</v>
      </c>
      <c r="N320">
        <f t="shared" ca="1" si="45"/>
        <v>5</v>
      </c>
    </row>
    <row r="321" spans="1:14" ht="16.8" x14ac:dyDescent="0.3">
      <c r="A321" s="7" t="str">
        <f t="shared" si="46"/>
        <v>S0320</v>
      </c>
      <c r="B321" s="8">
        <f t="shared" ca="1" si="47"/>
        <v>44584</v>
      </c>
      <c r="C321" s="15" t="str" cm="1">
        <f t="array" aca="1" ref="C321" ca="1">INDEX($Q$2:$Q$31, RANDBETWEEN(1, COUNTA($Q$2:$Q$31)))</f>
        <v xml:space="preserve">Chocolate Freeze </v>
      </c>
      <c r="D321" s="10" t="str" cm="1">
        <f t="array" aca="1" ref="D321" ca="1">INDEX($R$2:$R$310, RANDBETWEEN(1, COUNTA($Q$2:$Q$310)))</f>
        <v>L</v>
      </c>
      <c r="E321">
        <f t="shared" ca="1" si="48"/>
        <v>1</v>
      </c>
      <c r="F321" cm="1">
        <f t="array" aca="1" ref="F321" ca="1">INDEX($S$2:$S$31, RANDBETWEEN(1, COUNTA($S$2:$S$31)))</f>
        <v>69000</v>
      </c>
      <c r="G321" cm="1">
        <f t="array" aca="1" ref="G321" ca="1">INDEX($S$2:$S$31, RANDBETWEEN(1, COUNTA($S$2:$S$31)))</f>
        <v>59000</v>
      </c>
      <c r="H321">
        <f t="shared" ca="1" si="40"/>
        <v>14</v>
      </c>
      <c r="I321">
        <f t="shared" ca="1" si="41"/>
        <v>59340</v>
      </c>
      <c r="J321" s="10" t="str">
        <f t="shared" ca="1" si="42"/>
        <v>Online</v>
      </c>
      <c r="K321" s="10">
        <f t="shared" ca="1" si="43"/>
        <v>59340</v>
      </c>
      <c r="L321" s="10">
        <f t="shared" ca="1" si="44"/>
        <v>59340</v>
      </c>
      <c r="M321" s="12" t="str" cm="1">
        <f t="array" aca="1" ref="M321" ca="1">INDEX($R$33:$R$82, RANDBETWEEN(1, COUNTA($R$33:$R$82)))</f>
        <v>NV37</v>
      </c>
      <c r="N321">
        <f t="shared" ca="1" si="45"/>
        <v>29</v>
      </c>
    </row>
    <row r="322" spans="1:14" ht="16.8" x14ac:dyDescent="0.3">
      <c r="A322" s="7" t="str">
        <f t="shared" si="46"/>
        <v>S0321</v>
      </c>
      <c r="B322" s="8">
        <f t="shared" ca="1" si="47"/>
        <v>44614</v>
      </c>
      <c r="C322" s="15" t="str" cm="1">
        <f t="array" aca="1" ref="C322" ca="1">INDEX($Q$2:$Q$31, RANDBETWEEN(1, COUNTA($Q$2:$Q$31)))</f>
        <v xml:space="preserve">Chocolate Freeze </v>
      </c>
      <c r="D322" s="10" t="str" cm="1">
        <f t="array" aca="1" ref="D322" ca="1">INDEX($R$2:$R$310, RANDBETWEEN(1, COUNTA($Q$2:$Q$310)))</f>
        <v>L</v>
      </c>
      <c r="E322">
        <f t="shared" ca="1" si="48"/>
        <v>5</v>
      </c>
      <c r="F322" cm="1">
        <f t="array" aca="1" ref="F322" ca="1">INDEX($S$2:$S$31, RANDBETWEEN(1, COUNTA($S$2:$S$31)))</f>
        <v>29000</v>
      </c>
      <c r="G322" cm="1">
        <f t="array" aca="1" ref="G322" ca="1">INDEX($S$2:$S$31, RANDBETWEEN(1, COUNTA($S$2:$S$31)))</f>
        <v>59000</v>
      </c>
      <c r="H322">
        <f t="shared" ca="1" si="40"/>
        <v>7</v>
      </c>
      <c r="I322">
        <f t="shared" ca="1" si="41"/>
        <v>59000</v>
      </c>
      <c r="J322" s="10" t="str">
        <f t="shared" ca="1" si="42"/>
        <v>Offline</v>
      </c>
      <c r="K322" s="10">
        <f t="shared" ca="1" si="43"/>
        <v>59000</v>
      </c>
      <c r="L322" s="10">
        <f t="shared" ca="1" si="44"/>
        <v>295000</v>
      </c>
      <c r="M322" s="12" t="str" cm="1">
        <f t="array" aca="1" ref="M322" ca="1">INDEX($R$33:$R$82, RANDBETWEEN(1, COUNTA($R$33:$R$82)))</f>
        <v>NV23</v>
      </c>
      <c r="N322">
        <f t="shared" ca="1" si="45"/>
        <v>22</v>
      </c>
    </row>
    <row r="323" spans="1:14" ht="16.8" x14ac:dyDescent="0.3">
      <c r="A323" s="7" t="str">
        <f t="shared" si="46"/>
        <v>S0322</v>
      </c>
      <c r="B323" s="8">
        <f t="shared" ca="1" si="47"/>
        <v>44691</v>
      </c>
      <c r="C323" s="15" t="str" cm="1">
        <f t="array" aca="1" ref="C323" ca="1">INDEX($Q$2:$Q$31, RANDBETWEEN(1, COUNTA($Q$2:$Q$31)))</f>
        <v>Mocha</v>
      </c>
      <c r="D323" s="10" t="str" cm="1">
        <f t="array" aca="1" ref="D323" ca="1">INDEX($R$2:$R$310, RANDBETWEEN(1, COUNTA($Q$2:$Q$310)))</f>
        <v>L</v>
      </c>
      <c r="E323">
        <f t="shared" ca="1" si="48"/>
        <v>3</v>
      </c>
      <c r="F323" cm="1">
        <f t="array" aca="1" ref="F323" ca="1">INDEX($S$2:$S$31, RANDBETWEEN(1, COUNTA($S$2:$S$31)))</f>
        <v>65000</v>
      </c>
      <c r="G323" cm="1">
        <f t="array" aca="1" ref="G323" ca="1">INDEX($S$2:$S$31, RANDBETWEEN(1, COUNTA($S$2:$S$31)))</f>
        <v>65000</v>
      </c>
      <c r="H323">
        <f t="shared" ref="H323:H386" ca="1" si="49">RANDBETWEEN(5,15)</f>
        <v>6</v>
      </c>
      <c r="I323">
        <f t="shared" ref="I323:I386" ca="1" si="50">IF(J323="Online", F323*(1-H323/100), G323)</f>
        <v>61100</v>
      </c>
      <c r="J323" s="10" t="str">
        <f t="shared" ref="J323:J386" ca="1" si="51">IF(RANDBETWEEN(1,2)=1,"Online","Offline")</f>
        <v>Online</v>
      </c>
      <c r="K323" s="10">
        <f t="shared" ref="K323:K386" ca="1" si="52">I323</f>
        <v>61100</v>
      </c>
      <c r="L323" s="10">
        <f t="shared" ref="L323:L386" ca="1" si="53">E323*K323</f>
        <v>183300</v>
      </c>
      <c r="M323" s="12" t="str" cm="1">
        <f t="array" aca="1" ref="M323" ca="1">INDEX($R$33:$R$82, RANDBETWEEN(1, COUNTA($R$33:$R$82)))</f>
        <v>NV6</v>
      </c>
      <c r="N323">
        <f t="shared" ref="N323:N386" ca="1" si="54" xml:space="preserve"> RANDBETWEEN(2,51)</f>
        <v>3</v>
      </c>
    </row>
    <row r="324" spans="1:14" ht="16.8" x14ac:dyDescent="0.3">
      <c r="A324" s="7" t="str">
        <f t="shared" si="46"/>
        <v>S0323</v>
      </c>
      <c r="B324" s="8">
        <f t="shared" ca="1" si="47"/>
        <v>45030</v>
      </c>
      <c r="C324" s="15" t="str" cm="1">
        <f t="array" aca="1" ref="C324" ca="1">INDEX($Q$2:$Q$31, RANDBETWEEN(1, COUNTA($Q$2:$Q$31)))</f>
        <v>Mocha</v>
      </c>
      <c r="D324" s="10" t="str" cm="1">
        <f t="array" aca="1" ref="D324" ca="1">INDEX($R$2:$R$310, RANDBETWEEN(1, COUNTA($Q$2:$Q$310)))</f>
        <v>S</v>
      </c>
      <c r="E324">
        <f t="shared" ca="1" si="48"/>
        <v>5</v>
      </c>
      <c r="F324" cm="1">
        <f t="array" aca="1" ref="F324" ca="1">INDEX($S$2:$S$31, RANDBETWEEN(1, COUNTA($S$2:$S$31)))</f>
        <v>75000</v>
      </c>
      <c r="G324" cm="1">
        <f t="array" aca="1" ref="G324" ca="1">INDEX($S$2:$S$31, RANDBETWEEN(1, COUNTA($S$2:$S$31)))</f>
        <v>55000</v>
      </c>
      <c r="H324">
        <f t="shared" ca="1" si="49"/>
        <v>8</v>
      </c>
      <c r="I324">
        <f t="shared" ca="1" si="50"/>
        <v>55000</v>
      </c>
      <c r="J324" s="10" t="str">
        <f t="shared" ca="1" si="51"/>
        <v>Offline</v>
      </c>
      <c r="K324" s="10">
        <f t="shared" ca="1" si="52"/>
        <v>55000</v>
      </c>
      <c r="L324" s="10">
        <f t="shared" ca="1" si="53"/>
        <v>275000</v>
      </c>
      <c r="M324" s="12" t="str" cm="1">
        <f t="array" aca="1" ref="M324" ca="1">INDEX($R$33:$R$82, RANDBETWEEN(1, COUNTA($R$33:$R$82)))</f>
        <v>NV26</v>
      </c>
      <c r="N324">
        <f t="shared" ca="1" si="54"/>
        <v>36</v>
      </c>
    </row>
    <row r="325" spans="1:14" ht="16.8" x14ac:dyDescent="0.3">
      <c r="A325" s="7" t="str">
        <f t="shared" si="46"/>
        <v>S0324</v>
      </c>
      <c r="B325" s="8">
        <f t="shared" ca="1" si="47"/>
        <v>44336</v>
      </c>
      <c r="C325" s="15" t="str" cm="1">
        <f t="array" aca="1" ref="C325" ca="1">INDEX($Q$2:$Q$31, RANDBETWEEN(1, COUNTA($Q$2:$Q$31)))</f>
        <v>Cappuccino</v>
      </c>
      <c r="D325" s="10" t="str" cm="1">
        <f t="array" aca="1" ref="D325" ca="1">INDEX($R$2:$R$310, RANDBETWEEN(1, COUNTA($Q$2:$Q$310)))</f>
        <v>M</v>
      </c>
      <c r="E325">
        <f t="shared" ca="1" si="48"/>
        <v>1</v>
      </c>
      <c r="F325" cm="1">
        <f t="array" aca="1" ref="F325" ca="1">INDEX($S$2:$S$31, RANDBETWEEN(1, COUNTA($S$2:$S$31)))</f>
        <v>65000</v>
      </c>
      <c r="G325" cm="1">
        <f t="array" aca="1" ref="G325" ca="1">INDEX($S$2:$S$31, RANDBETWEEN(1, COUNTA($S$2:$S$31)))</f>
        <v>65000</v>
      </c>
      <c r="H325">
        <f t="shared" ca="1" si="49"/>
        <v>11</v>
      </c>
      <c r="I325">
        <f t="shared" ca="1" si="50"/>
        <v>57850</v>
      </c>
      <c r="J325" s="10" t="str">
        <f t="shared" ca="1" si="51"/>
        <v>Online</v>
      </c>
      <c r="K325" s="10">
        <f t="shared" ca="1" si="52"/>
        <v>57850</v>
      </c>
      <c r="L325" s="10">
        <f t="shared" ca="1" si="53"/>
        <v>57850</v>
      </c>
      <c r="M325" s="12" t="str" cm="1">
        <f t="array" aca="1" ref="M325" ca="1">INDEX($R$33:$R$82, RANDBETWEEN(1, COUNTA($R$33:$R$82)))</f>
        <v>NV36</v>
      </c>
      <c r="N325">
        <f t="shared" ca="1" si="54"/>
        <v>35</v>
      </c>
    </row>
    <row r="326" spans="1:14" ht="16.8" x14ac:dyDescent="0.3">
      <c r="A326" s="7" t="str">
        <f t="shared" si="46"/>
        <v>S0325</v>
      </c>
      <c r="B326" s="8">
        <f t="shared" ca="1" si="47"/>
        <v>44531</v>
      </c>
      <c r="C326" s="15" t="str" cm="1">
        <f t="array" aca="1" ref="C326" ca="1">INDEX($Q$2:$Q$31, RANDBETWEEN(1, COUNTA($Q$2:$Q$31)))</f>
        <v>Cookies &amp; Cream</v>
      </c>
      <c r="D326" s="10" t="str" cm="1">
        <f t="array" aca="1" ref="D326" ca="1">INDEX($R$2:$R$310, RANDBETWEEN(1, COUNTA($Q$2:$Q$310)))</f>
        <v>M</v>
      </c>
      <c r="E326">
        <f t="shared" ca="1" si="48"/>
        <v>5</v>
      </c>
      <c r="F326" cm="1">
        <f t="array" aca="1" ref="F326" ca="1">INDEX($S$2:$S$31, RANDBETWEEN(1, COUNTA($S$2:$S$31)))</f>
        <v>55000</v>
      </c>
      <c r="G326" cm="1">
        <f t="array" aca="1" ref="G326" ca="1">INDEX($S$2:$S$31, RANDBETWEEN(1, COUNTA($S$2:$S$31)))</f>
        <v>75000</v>
      </c>
      <c r="H326">
        <f t="shared" ca="1" si="49"/>
        <v>14</v>
      </c>
      <c r="I326">
        <f t="shared" ca="1" si="50"/>
        <v>75000</v>
      </c>
      <c r="J326" s="10" t="str">
        <f t="shared" ca="1" si="51"/>
        <v>Offline</v>
      </c>
      <c r="K326" s="10">
        <f t="shared" ca="1" si="52"/>
        <v>75000</v>
      </c>
      <c r="L326" s="10">
        <f t="shared" ca="1" si="53"/>
        <v>375000</v>
      </c>
      <c r="M326" s="12" t="str" cm="1">
        <f t="array" aca="1" ref="M326" ca="1">INDEX($R$33:$R$82, RANDBETWEEN(1, COUNTA($R$33:$R$82)))</f>
        <v>NV1</v>
      </c>
      <c r="N326">
        <f t="shared" ca="1" si="54"/>
        <v>34</v>
      </c>
    </row>
    <row r="327" spans="1:14" ht="16.8" x14ac:dyDescent="0.3">
      <c r="A327" s="7" t="str">
        <f t="shared" si="46"/>
        <v>S0326</v>
      </c>
      <c r="B327" s="8">
        <f t="shared" ca="1" si="47"/>
        <v>44327</v>
      </c>
      <c r="C327" s="15" t="str" cm="1">
        <f t="array" aca="1" ref="C327" ca="1">INDEX($Q$2:$Q$31, RANDBETWEEN(1, COUNTA($Q$2:$Q$31)))</f>
        <v>Caramel Phin Freeze</v>
      </c>
      <c r="D327" s="10" t="str" cm="1">
        <f t="array" aca="1" ref="D327" ca="1">INDEX($R$2:$R$310, RANDBETWEEN(1, COUNTA($Q$2:$Q$310)))</f>
        <v>S</v>
      </c>
      <c r="E327">
        <f t="shared" ca="1" si="48"/>
        <v>4</v>
      </c>
      <c r="F327" cm="1">
        <f t="array" aca="1" ref="F327" ca="1">INDEX($S$2:$S$31, RANDBETWEEN(1, COUNTA($S$2:$S$31)))</f>
        <v>39000</v>
      </c>
      <c r="G327" cm="1">
        <f t="array" aca="1" ref="G327" ca="1">INDEX($S$2:$S$31, RANDBETWEEN(1, COUNTA($S$2:$S$31)))</f>
        <v>55000</v>
      </c>
      <c r="H327">
        <f t="shared" ca="1" si="49"/>
        <v>5</v>
      </c>
      <c r="I327">
        <f t="shared" ca="1" si="50"/>
        <v>55000</v>
      </c>
      <c r="J327" s="10" t="str">
        <f t="shared" ca="1" si="51"/>
        <v>Offline</v>
      </c>
      <c r="K327" s="10">
        <f t="shared" ca="1" si="52"/>
        <v>55000</v>
      </c>
      <c r="L327" s="10">
        <f t="shared" ca="1" si="53"/>
        <v>220000</v>
      </c>
      <c r="M327" s="12" t="str" cm="1">
        <f t="array" aca="1" ref="M327" ca="1">INDEX($R$33:$R$82, RANDBETWEEN(1, COUNTA($R$33:$R$82)))</f>
        <v>NV30</v>
      </c>
      <c r="N327">
        <f t="shared" ca="1" si="54"/>
        <v>50</v>
      </c>
    </row>
    <row r="328" spans="1:14" ht="16.8" x14ac:dyDescent="0.3">
      <c r="A328" s="7" t="str">
        <f t="shared" si="46"/>
        <v>S0327</v>
      </c>
      <c r="B328" s="8">
        <f t="shared" ca="1" si="47"/>
        <v>44328</v>
      </c>
      <c r="C328" s="15" t="str" cm="1">
        <f t="array" aca="1" ref="C328" ca="1">INDEX($Q$2:$Q$31, RANDBETWEEN(1, COUNTA($Q$2:$Q$31)))</f>
        <v xml:space="preserve">Chocolate Freeze </v>
      </c>
      <c r="D328" s="10" t="str" cm="1">
        <f t="array" aca="1" ref="D328" ca="1">INDEX($R$2:$R$310, RANDBETWEEN(1, COUNTA($Q$2:$Q$310)))</f>
        <v>M</v>
      </c>
      <c r="E328">
        <f t="shared" ca="1" si="48"/>
        <v>1</v>
      </c>
      <c r="F328" cm="1">
        <f t="array" aca="1" ref="F328" ca="1">INDEX($S$2:$S$31, RANDBETWEEN(1, COUNTA($S$2:$S$31)))</f>
        <v>65000</v>
      </c>
      <c r="G328" cm="1">
        <f t="array" aca="1" ref="G328" ca="1">INDEX($S$2:$S$31, RANDBETWEEN(1, COUNTA($S$2:$S$31)))</f>
        <v>55000</v>
      </c>
      <c r="H328">
        <f t="shared" ca="1" si="49"/>
        <v>9</v>
      </c>
      <c r="I328">
        <f t="shared" ca="1" si="50"/>
        <v>59150</v>
      </c>
      <c r="J328" s="10" t="str">
        <f t="shared" ca="1" si="51"/>
        <v>Online</v>
      </c>
      <c r="K328" s="10">
        <f t="shared" ca="1" si="52"/>
        <v>59150</v>
      </c>
      <c r="L328" s="10">
        <f t="shared" ca="1" si="53"/>
        <v>59150</v>
      </c>
      <c r="M328" s="12" t="str" cm="1">
        <f t="array" aca="1" ref="M328" ca="1">INDEX($R$33:$R$82, RANDBETWEEN(1, COUNTA($R$33:$R$82)))</f>
        <v>NV4</v>
      </c>
      <c r="N328">
        <f t="shared" ca="1" si="54"/>
        <v>24</v>
      </c>
    </row>
    <row r="329" spans="1:14" ht="16.8" x14ac:dyDescent="0.3">
      <c r="A329" s="7" t="str">
        <f t="shared" si="46"/>
        <v>S0328</v>
      </c>
      <c r="B329" s="8">
        <f t="shared" ca="1" si="47"/>
        <v>45145</v>
      </c>
      <c r="C329" s="15" t="str" cm="1">
        <f t="array" aca="1" ref="C329" ca="1">INDEX($Q$2:$Q$31, RANDBETWEEN(1, COUNTA($Q$2:$Q$31)))</f>
        <v>Caramel Phin Freeze</v>
      </c>
      <c r="D329" s="10" t="str" cm="1">
        <f t="array" aca="1" ref="D329" ca="1">INDEX($R$2:$R$310, RANDBETWEEN(1, COUNTA($Q$2:$Q$310)))</f>
        <v>L</v>
      </c>
      <c r="E329">
        <f t="shared" ca="1" si="48"/>
        <v>2</v>
      </c>
      <c r="F329" cm="1">
        <f t="array" aca="1" ref="F329" ca="1">INDEX($S$2:$S$31, RANDBETWEEN(1, COUNTA($S$2:$S$31)))</f>
        <v>39000</v>
      </c>
      <c r="G329" cm="1">
        <f t="array" aca="1" ref="G329" ca="1">INDEX($S$2:$S$31, RANDBETWEEN(1, COUNTA($S$2:$S$31)))</f>
        <v>55000</v>
      </c>
      <c r="H329">
        <f t="shared" ca="1" si="49"/>
        <v>13</v>
      </c>
      <c r="I329">
        <f t="shared" ca="1" si="50"/>
        <v>33930</v>
      </c>
      <c r="J329" s="10" t="str">
        <f t="shared" ca="1" si="51"/>
        <v>Online</v>
      </c>
      <c r="K329" s="10">
        <f t="shared" ca="1" si="52"/>
        <v>33930</v>
      </c>
      <c r="L329" s="10">
        <f t="shared" ca="1" si="53"/>
        <v>67860</v>
      </c>
      <c r="M329" s="12" t="str" cm="1">
        <f t="array" aca="1" ref="M329" ca="1">INDEX($R$33:$R$82, RANDBETWEEN(1, COUNTA($R$33:$R$82)))</f>
        <v>NV4</v>
      </c>
      <c r="N329">
        <f t="shared" ca="1" si="54"/>
        <v>25</v>
      </c>
    </row>
    <row r="330" spans="1:14" ht="16.8" x14ac:dyDescent="0.3">
      <c r="A330" s="7" t="str">
        <f t="shared" si="46"/>
        <v>S0329</v>
      </c>
      <c r="B330" s="8">
        <f t="shared" ca="1" si="47"/>
        <v>44427</v>
      </c>
      <c r="C330" s="15" t="str" cm="1">
        <f t="array" aca="1" ref="C330" ca="1">INDEX($Q$2:$Q$31, RANDBETWEEN(1, COUNTA($Q$2:$Q$31)))</f>
        <v>Iced Black Coffee</v>
      </c>
      <c r="D330" s="10" t="str" cm="1">
        <f t="array" aca="1" ref="D330" ca="1">INDEX($R$2:$R$310, RANDBETWEEN(1, COUNTA($Q$2:$Q$310)))</f>
        <v>M</v>
      </c>
      <c r="E330">
        <f t="shared" ca="1" si="48"/>
        <v>4</v>
      </c>
      <c r="F330" cm="1">
        <f t="array" aca="1" ref="F330" ca="1">INDEX($S$2:$S$31, RANDBETWEEN(1, COUNTA($S$2:$S$31)))</f>
        <v>59000</v>
      </c>
      <c r="G330" cm="1">
        <f t="array" aca="1" ref="G330" ca="1">INDEX($S$2:$S$31, RANDBETWEEN(1, COUNTA($S$2:$S$31)))</f>
        <v>59000</v>
      </c>
      <c r="H330">
        <f t="shared" ca="1" si="49"/>
        <v>12</v>
      </c>
      <c r="I330">
        <f t="shared" ca="1" si="50"/>
        <v>51920</v>
      </c>
      <c r="J330" s="10" t="str">
        <f t="shared" ca="1" si="51"/>
        <v>Online</v>
      </c>
      <c r="K330" s="10">
        <f t="shared" ca="1" si="52"/>
        <v>51920</v>
      </c>
      <c r="L330" s="10">
        <f t="shared" ca="1" si="53"/>
        <v>207680</v>
      </c>
      <c r="M330" s="12" t="str" cm="1">
        <f t="array" aca="1" ref="M330" ca="1">INDEX($R$33:$R$82, RANDBETWEEN(1, COUNTA($R$33:$R$82)))</f>
        <v>NV36</v>
      </c>
      <c r="N330">
        <f t="shared" ca="1" si="54"/>
        <v>5</v>
      </c>
    </row>
    <row r="331" spans="1:14" ht="16.8" x14ac:dyDescent="0.3">
      <c r="A331" s="7" t="str">
        <f t="shared" si="46"/>
        <v>S0330</v>
      </c>
      <c r="B331" s="8">
        <f t="shared" ca="1" si="47"/>
        <v>45022</v>
      </c>
      <c r="C331" s="15" t="str" cm="1">
        <f t="array" aca="1" ref="C331" ca="1">INDEX($Q$2:$Q$31, RANDBETWEEN(1, COUNTA($Q$2:$Q$31)))</f>
        <v>Latte</v>
      </c>
      <c r="D331" s="10" t="str" cm="1">
        <f t="array" aca="1" ref="D331" ca="1">INDEX($R$2:$R$310, RANDBETWEEN(1, COUNTA($Q$2:$Q$310)))</f>
        <v>M</v>
      </c>
      <c r="E331">
        <f t="shared" ca="1" si="48"/>
        <v>4</v>
      </c>
      <c r="F331" cm="1">
        <f t="array" aca="1" ref="F331" ca="1">INDEX($S$2:$S$31, RANDBETWEEN(1, COUNTA($S$2:$S$31)))</f>
        <v>65000</v>
      </c>
      <c r="G331" cm="1">
        <f t="array" aca="1" ref="G331" ca="1">INDEX($S$2:$S$31, RANDBETWEEN(1, COUNTA($S$2:$S$31)))</f>
        <v>59000</v>
      </c>
      <c r="H331">
        <f t="shared" ca="1" si="49"/>
        <v>9</v>
      </c>
      <c r="I331">
        <f t="shared" ca="1" si="50"/>
        <v>59150</v>
      </c>
      <c r="J331" s="10" t="str">
        <f t="shared" ca="1" si="51"/>
        <v>Online</v>
      </c>
      <c r="K331" s="10">
        <f t="shared" ca="1" si="52"/>
        <v>59150</v>
      </c>
      <c r="L331" s="10">
        <f t="shared" ca="1" si="53"/>
        <v>236600</v>
      </c>
      <c r="M331" s="12" t="str" cm="1">
        <f t="array" aca="1" ref="M331" ca="1">INDEX($R$33:$R$82, RANDBETWEEN(1, COUNTA($R$33:$R$82)))</f>
        <v>NV1</v>
      </c>
      <c r="N331">
        <f t="shared" ca="1" si="54"/>
        <v>28</v>
      </c>
    </row>
    <row r="332" spans="1:14" ht="16.8" x14ac:dyDescent="0.3">
      <c r="A332" s="7" t="str">
        <f t="shared" si="46"/>
        <v>S0331</v>
      </c>
      <c r="B332" s="8">
        <f t="shared" ca="1" si="47"/>
        <v>44198</v>
      </c>
      <c r="C332" s="15" t="str" cm="1">
        <f t="array" aca="1" ref="C332" ca="1">INDEX($Q$2:$Q$31, RANDBETWEEN(1, COUNTA($Q$2:$Q$31)))</f>
        <v xml:space="preserve">Green Tea Freeze </v>
      </c>
      <c r="D332" s="10" t="str" cm="1">
        <f t="array" aca="1" ref="D332" ca="1">INDEX($R$2:$R$310, RANDBETWEEN(1, COUNTA($Q$2:$Q$310)))</f>
        <v>L</v>
      </c>
      <c r="E332">
        <f t="shared" ca="1" si="48"/>
        <v>3</v>
      </c>
      <c r="F332" cm="1">
        <f t="array" aca="1" ref="F332" ca="1">INDEX($S$2:$S$31, RANDBETWEEN(1, COUNTA($S$2:$S$31)))</f>
        <v>65000</v>
      </c>
      <c r="G332" cm="1">
        <f t="array" aca="1" ref="G332" ca="1">INDEX($S$2:$S$31, RANDBETWEEN(1, COUNTA($S$2:$S$31)))</f>
        <v>69000</v>
      </c>
      <c r="H332">
        <f t="shared" ca="1" si="49"/>
        <v>12</v>
      </c>
      <c r="I332">
        <f t="shared" ca="1" si="50"/>
        <v>69000</v>
      </c>
      <c r="J332" s="10" t="str">
        <f t="shared" ca="1" si="51"/>
        <v>Offline</v>
      </c>
      <c r="K332" s="10">
        <f t="shared" ca="1" si="52"/>
        <v>69000</v>
      </c>
      <c r="L332" s="10">
        <f t="shared" ca="1" si="53"/>
        <v>207000</v>
      </c>
      <c r="M332" s="12" t="str" cm="1">
        <f t="array" aca="1" ref="M332" ca="1">INDEX($R$33:$R$82, RANDBETWEEN(1, COUNTA($R$33:$R$82)))</f>
        <v>NV45</v>
      </c>
      <c r="N332">
        <f t="shared" ca="1" si="54"/>
        <v>13</v>
      </c>
    </row>
    <row r="333" spans="1:14" ht="16.8" x14ac:dyDescent="0.3">
      <c r="A333" s="7" t="str">
        <f t="shared" si="46"/>
        <v>S0332</v>
      </c>
      <c r="B333" s="8">
        <f t="shared" ca="1" si="47"/>
        <v>44748</v>
      </c>
      <c r="C333" s="15" t="str" cm="1">
        <f t="array" aca="1" ref="C333" ca="1">INDEX($Q$2:$Q$31, RANDBETWEEN(1, COUNTA($Q$2:$Q$31)))</f>
        <v>Classic Phin Freeze</v>
      </c>
      <c r="D333" s="10" t="str" cm="1">
        <f t="array" aca="1" ref="D333" ca="1">INDEX($R$2:$R$310, RANDBETWEEN(1, COUNTA($Q$2:$Q$310)))</f>
        <v>L</v>
      </c>
      <c r="E333">
        <f t="shared" ca="1" si="48"/>
        <v>2</v>
      </c>
      <c r="F333" cm="1">
        <f t="array" aca="1" ref="F333" ca="1">INDEX($S$2:$S$31, RANDBETWEEN(1, COUNTA($S$2:$S$31)))</f>
        <v>65000</v>
      </c>
      <c r="G333" cm="1">
        <f t="array" aca="1" ref="G333" ca="1">INDEX($S$2:$S$31, RANDBETWEEN(1, COUNTA($S$2:$S$31)))</f>
        <v>49000</v>
      </c>
      <c r="H333">
        <f t="shared" ca="1" si="49"/>
        <v>7</v>
      </c>
      <c r="I333">
        <f t="shared" ca="1" si="50"/>
        <v>49000</v>
      </c>
      <c r="J333" s="10" t="str">
        <f t="shared" ca="1" si="51"/>
        <v>Offline</v>
      </c>
      <c r="K333" s="10">
        <f t="shared" ca="1" si="52"/>
        <v>49000</v>
      </c>
      <c r="L333" s="10">
        <f t="shared" ca="1" si="53"/>
        <v>98000</v>
      </c>
      <c r="M333" s="12" t="str" cm="1">
        <f t="array" aca="1" ref="M333" ca="1">INDEX($R$33:$R$82, RANDBETWEEN(1, COUNTA($R$33:$R$82)))</f>
        <v>NV17</v>
      </c>
      <c r="N333">
        <f t="shared" ca="1" si="54"/>
        <v>15</v>
      </c>
    </row>
    <row r="334" spans="1:14" ht="16.8" x14ac:dyDescent="0.3">
      <c r="A334" s="7" t="str">
        <f t="shared" si="46"/>
        <v>S0333</v>
      </c>
      <c r="B334" s="8">
        <f t="shared" ca="1" si="47"/>
        <v>44567</v>
      </c>
      <c r="C334" s="15" t="str" cm="1">
        <f t="array" aca="1" ref="C334" ca="1">INDEX($Q$2:$Q$31, RANDBETWEEN(1, COUNTA($Q$2:$Q$31)))</f>
        <v>Mocha</v>
      </c>
      <c r="D334" s="10" t="str" cm="1">
        <f t="array" aca="1" ref="D334" ca="1">INDEX($R$2:$R$310, RANDBETWEEN(1, COUNTA($Q$2:$Q$310)))</f>
        <v>M</v>
      </c>
      <c r="E334">
        <f t="shared" ca="1" si="48"/>
        <v>1</v>
      </c>
      <c r="F334" cm="1">
        <f t="array" aca="1" ref="F334" ca="1">INDEX($S$2:$S$31, RANDBETWEEN(1, COUNTA($S$2:$S$31)))</f>
        <v>55000</v>
      </c>
      <c r="G334" cm="1">
        <f t="array" aca="1" ref="G334" ca="1">INDEX($S$2:$S$31, RANDBETWEEN(1, COUNTA($S$2:$S$31)))</f>
        <v>55000</v>
      </c>
      <c r="H334">
        <f t="shared" ca="1" si="49"/>
        <v>12</v>
      </c>
      <c r="I334">
        <f t="shared" ca="1" si="50"/>
        <v>48400</v>
      </c>
      <c r="J334" s="10" t="str">
        <f t="shared" ca="1" si="51"/>
        <v>Online</v>
      </c>
      <c r="K334" s="10">
        <f t="shared" ca="1" si="52"/>
        <v>48400</v>
      </c>
      <c r="L334" s="10">
        <f t="shared" ca="1" si="53"/>
        <v>48400</v>
      </c>
      <c r="M334" s="12" t="str" cm="1">
        <f t="array" aca="1" ref="M334" ca="1">INDEX($R$33:$R$82, RANDBETWEEN(1, COUNTA($R$33:$R$82)))</f>
        <v>NV30</v>
      </c>
      <c r="N334">
        <f t="shared" ca="1" si="54"/>
        <v>17</v>
      </c>
    </row>
    <row r="335" spans="1:14" ht="16.8" x14ac:dyDescent="0.3">
      <c r="A335" s="7" t="str">
        <f t="shared" si="46"/>
        <v>S0334</v>
      </c>
      <c r="B335" s="8">
        <f t="shared" ca="1" si="47"/>
        <v>44663</v>
      </c>
      <c r="C335" s="15" t="str" cm="1">
        <f t="array" aca="1" ref="C335" ca="1">INDEX($Q$2:$Q$31, RANDBETWEEN(1, COUNTA($Q$2:$Q$31)))</f>
        <v>Latte</v>
      </c>
      <c r="D335" s="10" t="str" cm="1">
        <f t="array" aca="1" ref="D335" ca="1">INDEX($R$2:$R$310, RANDBETWEEN(1, COUNTA($Q$2:$Q$310)))</f>
        <v>S</v>
      </c>
      <c r="E335">
        <f t="shared" ca="1" si="48"/>
        <v>4</v>
      </c>
      <c r="F335" cm="1">
        <f t="array" aca="1" ref="F335" ca="1">INDEX($S$2:$S$31, RANDBETWEEN(1, COUNTA($S$2:$S$31)))</f>
        <v>49000</v>
      </c>
      <c r="G335" cm="1">
        <f t="array" aca="1" ref="G335" ca="1">INDEX($S$2:$S$31, RANDBETWEEN(1, COUNTA($S$2:$S$31)))</f>
        <v>55000</v>
      </c>
      <c r="H335">
        <f t="shared" ca="1" si="49"/>
        <v>5</v>
      </c>
      <c r="I335">
        <f t="shared" ca="1" si="50"/>
        <v>55000</v>
      </c>
      <c r="J335" s="10" t="str">
        <f t="shared" ca="1" si="51"/>
        <v>Offline</v>
      </c>
      <c r="K335" s="10">
        <f t="shared" ca="1" si="52"/>
        <v>55000</v>
      </c>
      <c r="L335" s="10">
        <f t="shared" ca="1" si="53"/>
        <v>220000</v>
      </c>
      <c r="M335" s="12" t="str" cm="1">
        <f t="array" aca="1" ref="M335" ca="1">INDEX($R$33:$R$82, RANDBETWEEN(1, COUNTA($R$33:$R$82)))</f>
        <v>NV31</v>
      </c>
      <c r="N335">
        <f t="shared" ca="1" si="54"/>
        <v>46</v>
      </c>
    </row>
    <row r="336" spans="1:14" ht="16.8" x14ac:dyDescent="0.3">
      <c r="A336" s="7" t="str">
        <f t="shared" si="46"/>
        <v>S0335</v>
      </c>
      <c r="B336" s="8">
        <f t="shared" ca="1" si="47"/>
        <v>44366</v>
      </c>
      <c r="C336" s="15" t="str" cm="1">
        <f t="array" aca="1" ref="C336" ca="1">INDEX($Q$2:$Q$31, RANDBETWEEN(1, COUNTA($Q$2:$Q$31)))</f>
        <v>Mocha</v>
      </c>
      <c r="D336" s="10" t="str" cm="1">
        <f t="array" aca="1" ref="D336" ca="1">INDEX($R$2:$R$310, RANDBETWEEN(1, COUNTA($Q$2:$Q$310)))</f>
        <v>M</v>
      </c>
      <c r="E336">
        <f t="shared" ca="1" si="48"/>
        <v>5</v>
      </c>
      <c r="F336" cm="1">
        <f t="array" aca="1" ref="F336" ca="1">INDEX($S$2:$S$31, RANDBETWEEN(1, COUNTA($S$2:$S$31)))</f>
        <v>65000</v>
      </c>
      <c r="G336" cm="1">
        <f t="array" aca="1" ref="G336" ca="1">INDEX($S$2:$S$31, RANDBETWEEN(1, COUNTA($S$2:$S$31)))</f>
        <v>69000</v>
      </c>
      <c r="H336">
        <f t="shared" ca="1" si="49"/>
        <v>15</v>
      </c>
      <c r="I336">
        <f t="shared" ca="1" si="50"/>
        <v>55250</v>
      </c>
      <c r="J336" s="10" t="str">
        <f t="shared" ca="1" si="51"/>
        <v>Online</v>
      </c>
      <c r="K336" s="10">
        <f t="shared" ca="1" si="52"/>
        <v>55250</v>
      </c>
      <c r="L336" s="10">
        <f t="shared" ca="1" si="53"/>
        <v>276250</v>
      </c>
      <c r="M336" s="12" t="str" cm="1">
        <f t="array" aca="1" ref="M336" ca="1">INDEX($R$33:$R$82, RANDBETWEEN(1, COUNTA($R$33:$R$82)))</f>
        <v>NV41</v>
      </c>
      <c r="N336">
        <f t="shared" ca="1" si="54"/>
        <v>34</v>
      </c>
    </row>
    <row r="337" spans="1:14" ht="16.8" x14ac:dyDescent="0.3">
      <c r="A337" s="7" t="str">
        <f t="shared" si="46"/>
        <v>S0336</v>
      </c>
      <c r="B337" s="8">
        <f t="shared" ca="1" si="47"/>
        <v>44219</v>
      </c>
      <c r="C337" s="15" t="str" cm="1">
        <f t="array" aca="1" ref="C337" ca="1">INDEX($Q$2:$Q$31, RANDBETWEEN(1, COUNTA($Q$2:$Q$31)))</f>
        <v>Cappuccino</v>
      </c>
      <c r="D337" s="10" t="str" cm="1">
        <f t="array" aca="1" ref="D337" ca="1">INDEX($R$2:$R$310, RANDBETWEEN(1, COUNTA($Q$2:$Q$310)))</f>
        <v>L</v>
      </c>
      <c r="E337">
        <f t="shared" ca="1" si="48"/>
        <v>3</v>
      </c>
      <c r="F337" cm="1">
        <f t="array" aca="1" ref="F337" ca="1">INDEX($S$2:$S$31, RANDBETWEEN(1, COUNTA($S$2:$S$31)))</f>
        <v>65000</v>
      </c>
      <c r="G337" cm="1">
        <f t="array" aca="1" ref="G337" ca="1">INDEX($S$2:$S$31, RANDBETWEEN(1, COUNTA($S$2:$S$31)))</f>
        <v>35000</v>
      </c>
      <c r="H337">
        <f t="shared" ca="1" si="49"/>
        <v>12</v>
      </c>
      <c r="I337">
        <f t="shared" ca="1" si="50"/>
        <v>57200</v>
      </c>
      <c r="J337" s="10" t="str">
        <f t="shared" ca="1" si="51"/>
        <v>Online</v>
      </c>
      <c r="K337" s="10">
        <f t="shared" ca="1" si="52"/>
        <v>57200</v>
      </c>
      <c r="L337" s="10">
        <f t="shared" ca="1" si="53"/>
        <v>171600</v>
      </c>
      <c r="M337" s="12" t="str" cm="1">
        <f t="array" aca="1" ref="M337" ca="1">INDEX($R$33:$R$82, RANDBETWEEN(1, COUNTA($R$33:$R$82)))</f>
        <v>NV25</v>
      </c>
      <c r="N337">
        <f t="shared" ca="1" si="54"/>
        <v>37</v>
      </c>
    </row>
    <row r="338" spans="1:14" ht="16.8" x14ac:dyDescent="0.3">
      <c r="A338" s="7" t="str">
        <f t="shared" si="46"/>
        <v>S0337</v>
      </c>
      <c r="B338" s="8">
        <f t="shared" ca="1" si="47"/>
        <v>44795</v>
      </c>
      <c r="C338" s="15" t="str" cm="1">
        <f t="array" aca="1" ref="C338" ca="1">INDEX($Q$2:$Q$31, RANDBETWEEN(1, COUNTA($Q$2:$Q$31)))</f>
        <v>Cookies &amp; Cream</v>
      </c>
      <c r="D338" s="10" t="str" cm="1">
        <f t="array" aca="1" ref="D338" ca="1">INDEX($R$2:$R$310, RANDBETWEEN(1, COUNTA($Q$2:$Q$310)))</f>
        <v>S</v>
      </c>
      <c r="E338">
        <f t="shared" ca="1" si="48"/>
        <v>1</v>
      </c>
      <c r="F338" cm="1">
        <f t="array" aca="1" ref="F338" ca="1">INDEX($S$2:$S$31, RANDBETWEEN(1, COUNTA($S$2:$S$31)))</f>
        <v>59000</v>
      </c>
      <c r="G338" cm="1">
        <f t="array" aca="1" ref="G338" ca="1">INDEX($S$2:$S$31, RANDBETWEEN(1, COUNTA($S$2:$S$31)))</f>
        <v>65000</v>
      </c>
      <c r="H338">
        <f t="shared" ca="1" si="49"/>
        <v>5</v>
      </c>
      <c r="I338">
        <f t="shared" ca="1" si="50"/>
        <v>65000</v>
      </c>
      <c r="J338" s="10" t="str">
        <f t="shared" ca="1" si="51"/>
        <v>Offline</v>
      </c>
      <c r="K338" s="10">
        <f t="shared" ca="1" si="52"/>
        <v>65000</v>
      </c>
      <c r="L338" s="10">
        <f t="shared" ca="1" si="53"/>
        <v>65000</v>
      </c>
      <c r="M338" s="12" t="str" cm="1">
        <f t="array" aca="1" ref="M338" ca="1">INDEX($R$33:$R$82, RANDBETWEEN(1, COUNTA($R$33:$R$82)))</f>
        <v>NV5</v>
      </c>
      <c r="N338">
        <f t="shared" ca="1" si="54"/>
        <v>20</v>
      </c>
    </row>
    <row r="339" spans="1:14" ht="16.8" x14ac:dyDescent="0.3">
      <c r="A339" s="7" t="str">
        <f t="shared" si="46"/>
        <v>S0338</v>
      </c>
      <c r="B339" s="8">
        <f t="shared" ca="1" si="47"/>
        <v>44519</v>
      </c>
      <c r="C339" s="15" t="str" cm="1">
        <f t="array" aca="1" ref="C339" ca="1">INDEX($Q$2:$Q$31, RANDBETWEEN(1, COUNTA($Q$2:$Q$31)))</f>
        <v>Classic Phin Freeze</v>
      </c>
      <c r="D339" s="10" t="str" cm="1">
        <f t="array" aca="1" ref="D339" ca="1">INDEX($R$2:$R$310, RANDBETWEEN(1, COUNTA($Q$2:$Q$310)))</f>
        <v>L</v>
      </c>
      <c r="E339">
        <f t="shared" ca="1" si="48"/>
        <v>3</v>
      </c>
      <c r="F339" cm="1">
        <f t="array" aca="1" ref="F339" ca="1">INDEX($S$2:$S$31, RANDBETWEEN(1, COUNTA($S$2:$S$31)))</f>
        <v>55000</v>
      </c>
      <c r="G339" cm="1">
        <f t="array" aca="1" ref="G339" ca="1">INDEX($S$2:$S$31, RANDBETWEEN(1, COUNTA($S$2:$S$31)))</f>
        <v>35000</v>
      </c>
      <c r="H339">
        <f t="shared" ca="1" si="49"/>
        <v>5</v>
      </c>
      <c r="I339">
        <f t="shared" ca="1" si="50"/>
        <v>35000</v>
      </c>
      <c r="J339" s="10" t="str">
        <f t="shared" ca="1" si="51"/>
        <v>Offline</v>
      </c>
      <c r="K339" s="10">
        <f t="shared" ca="1" si="52"/>
        <v>35000</v>
      </c>
      <c r="L339" s="10">
        <f t="shared" ca="1" si="53"/>
        <v>105000</v>
      </c>
      <c r="M339" s="12" t="str" cm="1">
        <f t="array" aca="1" ref="M339" ca="1">INDEX($R$33:$R$82, RANDBETWEEN(1, COUNTA($R$33:$R$82)))</f>
        <v>NV13</v>
      </c>
      <c r="N339">
        <f t="shared" ca="1" si="54"/>
        <v>23</v>
      </c>
    </row>
    <row r="340" spans="1:14" ht="16.8" x14ac:dyDescent="0.3">
      <c r="A340" s="7" t="str">
        <f t="shared" si="46"/>
        <v>S0339</v>
      </c>
      <c r="B340" s="8">
        <f t="shared" ca="1" si="47"/>
        <v>45182</v>
      </c>
      <c r="C340" s="15" t="str" cm="1">
        <f t="array" aca="1" ref="C340" ca="1">INDEX($Q$2:$Q$31, RANDBETWEEN(1, COUNTA($Q$2:$Q$31)))</f>
        <v>Iced Black Coffee</v>
      </c>
      <c r="D340" s="10" t="str" cm="1">
        <f t="array" aca="1" ref="D340" ca="1">INDEX($R$2:$R$310, RANDBETWEEN(1, COUNTA($Q$2:$Q$310)))</f>
        <v>M</v>
      </c>
      <c r="E340">
        <f t="shared" ca="1" si="48"/>
        <v>4</v>
      </c>
      <c r="F340" cm="1">
        <f t="array" aca="1" ref="F340" ca="1">INDEX($S$2:$S$31, RANDBETWEEN(1, COUNTA($S$2:$S$31)))</f>
        <v>49000</v>
      </c>
      <c r="G340" cm="1">
        <f t="array" aca="1" ref="G340" ca="1">INDEX($S$2:$S$31, RANDBETWEEN(1, COUNTA($S$2:$S$31)))</f>
        <v>55000</v>
      </c>
      <c r="H340">
        <f t="shared" ca="1" si="49"/>
        <v>14</v>
      </c>
      <c r="I340">
        <f t="shared" ca="1" si="50"/>
        <v>42140</v>
      </c>
      <c r="J340" s="10" t="str">
        <f t="shared" ca="1" si="51"/>
        <v>Online</v>
      </c>
      <c r="K340" s="10">
        <f t="shared" ca="1" si="52"/>
        <v>42140</v>
      </c>
      <c r="L340" s="10">
        <f t="shared" ca="1" si="53"/>
        <v>168560</v>
      </c>
      <c r="M340" s="12" t="str" cm="1">
        <f t="array" aca="1" ref="M340" ca="1">INDEX($R$33:$R$82, RANDBETWEEN(1, COUNTA($R$33:$R$82)))</f>
        <v>NV20</v>
      </c>
      <c r="N340">
        <f t="shared" ca="1" si="54"/>
        <v>32</v>
      </c>
    </row>
    <row r="341" spans="1:14" ht="16.8" x14ac:dyDescent="0.3">
      <c r="A341" s="7" t="str">
        <f t="shared" si="46"/>
        <v>S0340</v>
      </c>
      <c r="B341" s="8">
        <f t="shared" ca="1" si="47"/>
        <v>44713</v>
      </c>
      <c r="C341" s="15" t="str" cm="1">
        <f t="array" aca="1" ref="C341" ca="1">INDEX($Q$2:$Q$31, RANDBETWEEN(1, COUNTA($Q$2:$Q$31)))</f>
        <v>Mocha</v>
      </c>
      <c r="D341" s="10" t="str" cm="1">
        <f t="array" aca="1" ref="D341" ca="1">INDEX($R$2:$R$310, RANDBETWEEN(1, COUNTA($Q$2:$Q$310)))</f>
        <v>S</v>
      </c>
      <c r="E341">
        <f t="shared" ca="1" si="48"/>
        <v>3</v>
      </c>
      <c r="F341" cm="1">
        <f t="array" aca="1" ref="F341" ca="1">INDEX($S$2:$S$31, RANDBETWEEN(1, COUNTA($S$2:$S$31)))</f>
        <v>55000</v>
      </c>
      <c r="G341" cm="1">
        <f t="array" aca="1" ref="G341" ca="1">INDEX($S$2:$S$31, RANDBETWEEN(1, COUNTA($S$2:$S$31)))</f>
        <v>45000</v>
      </c>
      <c r="H341">
        <f t="shared" ca="1" si="49"/>
        <v>7</v>
      </c>
      <c r="I341">
        <f t="shared" ca="1" si="50"/>
        <v>45000</v>
      </c>
      <c r="J341" s="10" t="str">
        <f t="shared" ca="1" si="51"/>
        <v>Offline</v>
      </c>
      <c r="K341" s="10">
        <f t="shared" ca="1" si="52"/>
        <v>45000</v>
      </c>
      <c r="L341" s="10">
        <f t="shared" ca="1" si="53"/>
        <v>135000</v>
      </c>
      <c r="M341" s="12" t="str" cm="1">
        <f t="array" aca="1" ref="M341" ca="1">INDEX($R$33:$R$82, RANDBETWEEN(1, COUNTA($R$33:$R$82)))</f>
        <v>NV32</v>
      </c>
      <c r="N341">
        <f t="shared" ca="1" si="54"/>
        <v>45</v>
      </c>
    </row>
    <row r="342" spans="1:14" ht="16.8" x14ac:dyDescent="0.3">
      <c r="A342" s="7" t="str">
        <f t="shared" si="46"/>
        <v>S0341</v>
      </c>
      <c r="B342" s="8">
        <f t="shared" ca="1" si="47"/>
        <v>44662</v>
      </c>
      <c r="C342" s="15" t="str" cm="1">
        <f t="array" aca="1" ref="C342" ca="1">INDEX($Q$2:$Q$31, RANDBETWEEN(1, COUNTA($Q$2:$Q$31)))</f>
        <v>Americano</v>
      </c>
      <c r="D342" s="10" t="str" cm="1">
        <f t="array" aca="1" ref="D342" ca="1">INDEX($R$2:$R$310, RANDBETWEEN(1, COUNTA($Q$2:$Q$310)))</f>
        <v>L</v>
      </c>
      <c r="E342">
        <f t="shared" ca="1" si="48"/>
        <v>2</v>
      </c>
      <c r="F342" cm="1">
        <f t="array" aca="1" ref="F342" ca="1">INDEX($S$2:$S$31, RANDBETWEEN(1, COUNTA($S$2:$S$31)))</f>
        <v>29000</v>
      </c>
      <c r="G342" cm="1">
        <f t="array" aca="1" ref="G342" ca="1">INDEX($S$2:$S$31, RANDBETWEEN(1, COUNTA($S$2:$S$31)))</f>
        <v>65000</v>
      </c>
      <c r="H342">
        <f t="shared" ca="1" si="49"/>
        <v>11</v>
      </c>
      <c r="I342">
        <f t="shared" ca="1" si="50"/>
        <v>65000</v>
      </c>
      <c r="J342" s="10" t="str">
        <f t="shared" ca="1" si="51"/>
        <v>Offline</v>
      </c>
      <c r="K342" s="10">
        <f t="shared" ca="1" si="52"/>
        <v>65000</v>
      </c>
      <c r="L342" s="10">
        <f t="shared" ca="1" si="53"/>
        <v>130000</v>
      </c>
      <c r="M342" s="12" t="str" cm="1">
        <f t="array" aca="1" ref="M342" ca="1">INDEX($R$33:$R$82, RANDBETWEEN(1, COUNTA($R$33:$R$82)))</f>
        <v>NV23</v>
      </c>
      <c r="N342">
        <f t="shared" ca="1" si="54"/>
        <v>50</v>
      </c>
    </row>
    <row r="343" spans="1:14" ht="16.8" x14ac:dyDescent="0.3">
      <c r="A343" s="7" t="str">
        <f t="shared" si="46"/>
        <v>S0342</v>
      </c>
      <c r="B343" s="8">
        <f t="shared" ca="1" si="47"/>
        <v>44696</v>
      </c>
      <c r="C343" s="15" t="str" cm="1">
        <f t="array" aca="1" ref="C343" ca="1">INDEX($Q$2:$Q$31, RANDBETWEEN(1, COUNTA($Q$2:$Q$31)))</f>
        <v>Latte</v>
      </c>
      <c r="D343" s="10" t="str" cm="1">
        <f t="array" aca="1" ref="D343" ca="1">INDEX($R$2:$R$310, RANDBETWEEN(1, COUNTA($Q$2:$Q$310)))</f>
        <v>M</v>
      </c>
      <c r="E343">
        <f t="shared" ca="1" si="48"/>
        <v>1</v>
      </c>
      <c r="F343" cm="1">
        <f t="array" aca="1" ref="F343" ca="1">INDEX($S$2:$S$31, RANDBETWEEN(1, COUNTA($S$2:$S$31)))</f>
        <v>39000</v>
      </c>
      <c r="G343" cm="1">
        <f t="array" aca="1" ref="G343" ca="1">INDEX($S$2:$S$31, RANDBETWEEN(1, COUNTA($S$2:$S$31)))</f>
        <v>59000</v>
      </c>
      <c r="H343">
        <f t="shared" ca="1" si="49"/>
        <v>10</v>
      </c>
      <c r="I343">
        <f t="shared" ca="1" si="50"/>
        <v>59000</v>
      </c>
      <c r="J343" s="10" t="str">
        <f t="shared" ca="1" si="51"/>
        <v>Offline</v>
      </c>
      <c r="K343" s="10">
        <f t="shared" ca="1" si="52"/>
        <v>59000</v>
      </c>
      <c r="L343" s="10">
        <f t="shared" ca="1" si="53"/>
        <v>59000</v>
      </c>
      <c r="M343" s="12" t="str" cm="1">
        <f t="array" aca="1" ref="M343" ca="1">INDEX($R$33:$R$82, RANDBETWEEN(1, COUNTA($R$33:$R$82)))</f>
        <v>NV39</v>
      </c>
      <c r="N343">
        <f t="shared" ca="1" si="54"/>
        <v>33</v>
      </c>
    </row>
    <row r="344" spans="1:14" ht="16.8" x14ac:dyDescent="0.3">
      <c r="A344" s="7" t="str">
        <f t="shared" si="46"/>
        <v>S0343</v>
      </c>
      <c r="B344" s="8">
        <f t="shared" ca="1" si="47"/>
        <v>45104</v>
      </c>
      <c r="C344" s="15" t="str" cm="1">
        <f t="array" aca="1" ref="C344" ca="1">INDEX($Q$2:$Q$31, RANDBETWEEN(1, COUNTA($Q$2:$Q$31)))</f>
        <v>Caramel Phin Freeze</v>
      </c>
      <c r="D344" s="10" t="str" cm="1">
        <f t="array" aca="1" ref="D344" ca="1">INDEX($R$2:$R$310, RANDBETWEEN(1, COUNTA($Q$2:$Q$310)))</f>
        <v>M</v>
      </c>
      <c r="E344">
        <f t="shared" ca="1" si="48"/>
        <v>3</v>
      </c>
      <c r="F344" cm="1">
        <f t="array" aca="1" ref="F344" ca="1">INDEX($S$2:$S$31, RANDBETWEEN(1, COUNTA($S$2:$S$31)))</f>
        <v>39000</v>
      </c>
      <c r="G344" cm="1">
        <f t="array" aca="1" ref="G344" ca="1">INDEX($S$2:$S$31, RANDBETWEEN(1, COUNTA($S$2:$S$31)))</f>
        <v>65000</v>
      </c>
      <c r="H344">
        <f t="shared" ca="1" si="49"/>
        <v>15</v>
      </c>
      <c r="I344">
        <f t="shared" ca="1" si="50"/>
        <v>65000</v>
      </c>
      <c r="J344" s="10" t="str">
        <f t="shared" ca="1" si="51"/>
        <v>Offline</v>
      </c>
      <c r="K344" s="10">
        <f t="shared" ca="1" si="52"/>
        <v>65000</v>
      </c>
      <c r="L344" s="10">
        <f t="shared" ca="1" si="53"/>
        <v>195000</v>
      </c>
      <c r="M344" s="12" t="str" cm="1">
        <f t="array" aca="1" ref="M344" ca="1">INDEX($R$33:$R$82, RANDBETWEEN(1, COUNTA($R$33:$R$82)))</f>
        <v>NV2</v>
      </c>
      <c r="N344">
        <f t="shared" ca="1" si="54"/>
        <v>37</v>
      </c>
    </row>
    <row r="345" spans="1:14" ht="16.8" x14ac:dyDescent="0.3">
      <c r="A345" s="7" t="str">
        <f t="shared" si="46"/>
        <v>S0344</v>
      </c>
      <c r="B345" s="8">
        <f t="shared" ca="1" si="47"/>
        <v>44370</v>
      </c>
      <c r="C345" s="15" t="str" cm="1">
        <f t="array" aca="1" ref="C345" ca="1">INDEX($Q$2:$Q$31, RANDBETWEEN(1, COUNTA($Q$2:$Q$31)))</f>
        <v>Mocha</v>
      </c>
      <c r="D345" s="10" t="str" cm="1">
        <f t="array" aca="1" ref="D345" ca="1">INDEX($R$2:$R$310, RANDBETWEEN(1, COUNTA($Q$2:$Q$310)))</f>
        <v>M</v>
      </c>
      <c r="E345">
        <f t="shared" ca="1" si="48"/>
        <v>3</v>
      </c>
      <c r="F345" cm="1">
        <f t="array" aca="1" ref="F345" ca="1">INDEX($S$2:$S$31, RANDBETWEEN(1, COUNTA($S$2:$S$31)))</f>
        <v>65000</v>
      </c>
      <c r="G345" cm="1">
        <f t="array" aca="1" ref="G345" ca="1">INDEX($S$2:$S$31, RANDBETWEEN(1, COUNTA($S$2:$S$31)))</f>
        <v>65000</v>
      </c>
      <c r="H345">
        <f t="shared" ca="1" si="49"/>
        <v>14</v>
      </c>
      <c r="I345">
        <f t="shared" ca="1" si="50"/>
        <v>65000</v>
      </c>
      <c r="J345" s="10" t="str">
        <f t="shared" ca="1" si="51"/>
        <v>Offline</v>
      </c>
      <c r="K345" s="10">
        <f t="shared" ca="1" si="52"/>
        <v>65000</v>
      </c>
      <c r="L345" s="10">
        <f t="shared" ca="1" si="53"/>
        <v>195000</v>
      </c>
      <c r="M345" s="12" t="str" cm="1">
        <f t="array" aca="1" ref="M345" ca="1">INDEX($R$33:$R$82, RANDBETWEEN(1, COUNTA($R$33:$R$82)))</f>
        <v>NV19</v>
      </c>
      <c r="N345">
        <f t="shared" ca="1" si="54"/>
        <v>22</v>
      </c>
    </row>
    <row r="346" spans="1:14" ht="16.8" x14ac:dyDescent="0.3">
      <c r="A346" s="7" t="str">
        <f t="shared" si="46"/>
        <v>S0345</v>
      </c>
      <c r="B346" s="8">
        <f t="shared" ca="1" si="47"/>
        <v>44469</v>
      </c>
      <c r="C346" s="15" t="str" cm="1">
        <f t="array" aca="1" ref="C346" ca="1">INDEX($Q$2:$Q$31, RANDBETWEEN(1, COUNTA($Q$2:$Q$31)))</f>
        <v>Caramel Phin Freeze</v>
      </c>
      <c r="D346" s="10" t="str" cm="1">
        <f t="array" aca="1" ref="D346" ca="1">INDEX($R$2:$R$310, RANDBETWEEN(1, COUNTA($Q$2:$Q$310)))</f>
        <v>M</v>
      </c>
      <c r="E346">
        <f t="shared" ca="1" si="48"/>
        <v>1</v>
      </c>
      <c r="F346" cm="1">
        <f t="array" aca="1" ref="F346" ca="1">INDEX($S$2:$S$31, RANDBETWEEN(1, COUNTA($S$2:$S$31)))</f>
        <v>65000</v>
      </c>
      <c r="G346" cm="1">
        <f t="array" aca="1" ref="G346" ca="1">INDEX($S$2:$S$31, RANDBETWEEN(1, COUNTA($S$2:$S$31)))</f>
        <v>69000</v>
      </c>
      <c r="H346">
        <f t="shared" ca="1" si="49"/>
        <v>11</v>
      </c>
      <c r="I346">
        <f t="shared" ca="1" si="50"/>
        <v>57850</v>
      </c>
      <c r="J346" s="10" t="str">
        <f t="shared" ca="1" si="51"/>
        <v>Online</v>
      </c>
      <c r="K346" s="10">
        <f t="shared" ca="1" si="52"/>
        <v>57850</v>
      </c>
      <c r="L346" s="10">
        <f t="shared" ca="1" si="53"/>
        <v>57850</v>
      </c>
      <c r="M346" s="12" t="str" cm="1">
        <f t="array" aca="1" ref="M346" ca="1">INDEX($R$33:$R$82, RANDBETWEEN(1, COUNTA($R$33:$R$82)))</f>
        <v>NV42</v>
      </c>
      <c r="N346">
        <f t="shared" ca="1" si="54"/>
        <v>24</v>
      </c>
    </row>
    <row r="347" spans="1:14" ht="16.8" x14ac:dyDescent="0.3">
      <c r="A347" s="7" t="str">
        <f t="shared" si="46"/>
        <v>S0346</v>
      </c>
      <c r="B347" s="8">
        <f t="shared" ca="1" si="47"/>
        <v>45127</v>
      </c>
      <c r="C347" s="15" t="str" cm="1">
        <f t="array" aca="1" ref="C347" ca="1">INDEX($Q$2:$Q$31, RANDBETWEEN(1, COUNTA($Q$2:$Q$31)))</f>
        <v>Mocha</v>
      </c>
      <c r="D347" s="10" t="str" cm="1">
        <f t="array" aca="1" ref="D347" ca="1">INDEX($R$2:$R$310, RANDBETWEEN(1, COUNTA($Q$2:$Q$310)))</f>
        <v>M</v>
      </c>
      <c r="E347">
        <f t="shared" ca="1" si="48"/>
        <v>3</v>
      </c>
      <c r="F347" cm="1">
        <f t="array" aca="1" ref="F347" ca="1">INDEX($S$2:$S$31, RANDBETWEEN(1, COUNTA($S$2:$S$31)))</f>
        <v>49000</v>
      </c>
      <c r="G347" cm="1">
        <f t="array" aca="1" ref="G347" ca="1">INDEX($S$2:$S$31, RANDBETWEEN(1, COUNTA($S$2:$S$31)))</f>
        <v>59000</v>
      </c>
      <c r="H347">
        <f t="shared" ca="1" si="49"/>
        <v>13</v>
      </c>
      <c r="I347">
        <f t="shared" ca="1" si="50"/>
        <v>42630</v>
      </c>
      <c r="J347" s="10" t="str">
        <f t="shared" ca="1" si="51"/>
        <v>Online</v>
      </c>
      <c r="K347" s="10">
        <f t="shared" ca="1" si="52"/>
        <v>42630</v>
      </c>
      <c r="L347" s="10">
        <f t="shared" ca="1" si="53"/>
        <v>127890</v>
      </c>
      <c r="M347" s="12" t="str" cm="1">
        <f t="array" aca="1" ref="M347" ca="1">INDEX($R$33:$R$82, RANDBETWEEN(1, COUNTA($R$33:$R$82)))</f>
        <v>NV33</v>
      </c>
      <c r="N347">
        <f t="shared" ca="1" si="54"/>
        <v>32</v>
      </c>
    </row>
    <row r="348" spans="1:14" ht="16.8" x14ac:dyDescent="0.3">
      <c r="A348" s="7" t="str">
        <f t="shared" si="46"/>
        <v>S0347</v>
      </c>
      <c r="B348" s="8">
        <f t="shared" ca="1" si="47"/>
        <v>44995</v>
      </c>
      <c r="C348" s="15" t="str" cm="1">
        <f t="array" aca="1" ref="C348" ca="1">INDEX($Q$2:$Q$31, RANDBETWEEN(1, COUNTA($Q$2:$Q$31)))</f>
        <v>Caramel Phin Freeze</v>
      </c>
      <c r="D348" s="10" t="str" cm="1">
        <f t="array" aca="1" ref="D348" ca="1">INDEX($R$2:$R$310, RANDBETWEEN(1, COUNTA($Q$2:$Q$310)))</f>
        <v>M</v>
      </c>
      <c r="E348">
        <f t="shared" ca="1" si="48"/>
        <v>1</v>
      </c>
      <c r="F348" cm="1">
        <f t="array" aca="1" ref="F348" ca="1">INDEX($S$2:$S$31, RANDBETWEEN(1, COUNTA($S$2:$S$31)))</f>
        <v>29000</v>
      </c>
      <c r="G348" cm="1">
        <f t="array" aca="1" ref="G348" ca="1">INDEX($S$2:$S$31, RANDBETWEEN(1, COUNTA($S$2:$S$31)))</f>
        <v>49000</v>
      </c>
      <c r="H348">
        <f t="shared" ca="1" si="49"/>
        <v>13</v>
      </c>
      <c r="I348">
        <f t="shared" ca="1" si="50"/>
        <v>49000</v>
      </c>
      <c r="J348" s="10" t="str">
        <f t="shared" ca="1" si="51"/>
        <v>Offline</v>
      </c>
      <c r="K348" s="10">
        <f t="shared" ca="1" si="52"/>
        <v>49000</v>
      </c>
      <c r="L348" s="10">
        <f t="shared" ca="1" si="53"/>
        <v>49000</v>
      </c>
      <c r="M348" s="12" t="str" cm="1">
        <f t="array" aca="1" ref="M348" ca="1">INDEX($R$33:$R$82, RANDBETWEEN(1, COUNTA($R$33:$R$82)))</f>
        <v>NV2</v>
      </c>
      <c r="N348">
        <f t="shared" ca="1" si="54"/>
        <v>23</v>
      </c>
    </row>
    <row r="349" spans="1:14" ht="16.8" x14ac:dyDescent="0.3">
      <c r="A349" s="7" t="str">
        <f t="shared" si="46"/>
        <v>S0348</v>
      </c>
      <c r="B349" s="8">
        <f t="shared" ca="1" si="47"/>
        <v>44832</v>
      </c>
      <c r="C349" s="15" t="str" cm="1">
        <f t="array" aca="1" ref="C349" ca="1">INDEX($Q$2:$Q$31, RANDBETWEEN(1, COUNTA($Q$2:$Q$31)))</f>
        <v>Latte</v>
      </c>
      <c r="D349" s="10" t="str" cm="1">
        <f t="array" aca="1" ref="D349" ca="1">INDEX($R$2:$R$310, RANDBETWEEN(1, COUNTA($Q$2:$Q$310)))</f>
        <v>S</v>
      </c>
      <c r="E349">
        <f t="shared" ca="1" si="48"/>
        <v>4</v>
      </c>
      <c r="F349" cm="1">
        <f t="array" aca="1" ref="F349" ca="1">INDEX($S$2:$S$31, RANDBETWEEN(1, COUNTA($S$2:$S$31)))</f>
        <v>35000</v>
      </c>
      <c r="G349" cm="1">
        <f t="array" aca="1" ref="G349" ca="1">INDEX($S$2:$S$31, RANDBETWEEN(1, COUNTA($S$2:$S$31)))</f>
        <v>55000</v>
      </c>
      <c r="H349">
        <f t="shared" ca="1" si="49"/>
        <v>9</v>
      </c>
      <c r="I349">
        <f t="shared" ca="1" si="50"/>
        <v>55000</v>
      </c>
      <c r="J349" s="10" t="str">
        <f t="shared" ca="1" si="51"/>
        <v>Offline</v>
      </c>
      <c r="K349" s="10">
        <f t="shared" ca="1" si="52"/>
        <v>55000</v>
      </c>
      <c r="L349" s="10">
        <f t="shared" ca="1" si="53"/>
        <v>220000</v>
      </c>
      <c r="M349" s="12" t="str" cm="1">
        <f t="array" aca="1" ref="M349" ca="1">INDEX($R$33:$R$82, RANDBETWEEN(1, COUNTA($R$33:$R$82)))</f>
        <v>NV5</v>
      </c>
      <c r="N349">
        <f t="shared" ca="1" si="54"/>
        <v>8</v>
      </c>
    </row>
    <row r="350" spans="1:14" ht="16.8" x14ac:dyDescent="0.3">
      <c r="A350" s="7" t="str">
        <f t="shared" si="46"/>
        <v>S0349</v>
      </c>
      <c r="B350" s="8">
        <f t="shared" ca="1" si="47"/>
        <v>44963</v>
      </c>
      <c r="C350" s="15" t="str" cm="1">
        <f t="array" aca="1" ref="C350" ca="1">INDEX($Q$2:$Q$31, RANDBETWEEN(1, COUNTA($Q$2:$Q$31)))</f>
        <v>Cookies &amp; Cream</v>
      </c>
      <c r="D350" s="10" t="str" cm="1">
        <f t="array" aca="1" ref="D350" ca="1">INDEX($R$2:$R$310, RANDBETWEEN(1, COUNTA($Q$2:$Q$310)))</f>
        <v>S</v>
      </c>
      <c r="E350">
        <f t="shared" ca="1" si="48"/>
        <v>3</v>
      </c>
      <c r="F350" cm="1">
        <f t="array" aca="1" ref="F350" ca="1">INDEX($S$2:$S$31, RANDBETWEEN(1, COUNTA($S$2:$S$31)))</f>
        <v>65000</v>
      </c>
      <c r="G350" cm="1">
        <f t="array" aca="1" ref="G350" ca="1">INDEX($S$2:$S$31, RANDBETWEEN(1, COUNTA($S$2:$S$31)))</f>
        <v>65000</v>
      </c>
      <c r="H350">
        <f t="shared" ca="1" si="49"/>
        <v>5</v>
      </c>
      <c r="I350">
        <f t="shared" ca="1" si="50"/>
        <v>65000</v>
      </c>
      <c r="J350" s="10" t="str">
        <f t="shared" ca="1" si="51"/>
        <v>Offline</v>
      </c>
      <c r="K350" s="10">
        <f t="shared" ca="1" si="52"/>
        <v>65000</v>
      </c>
      <c r="L350" s="10">
        <f t="shared" ca="1" si="53"/>
        <v>195000</v>
      </c>
      <c r="M350" s="12" t="str" cm="1">
        <f t="array" aca="1" ref="M350" ca="1">INDEX($R$33:$R$82, RANDBETWEEN(1, COUNTA($R$33:$R$82)))</f>
        <v>NV29</v>
      </c>
      <c r="N350">
        <f t="shared" ca="1" si="54"/>
        <v>50</v>
      </c>
    </row>
    <row r="351" spans="1:14" ht="16.8" x14ac:dyDescent="0.3">
      <c r="A351" s="7" t="str">
        <f t="shared" si="46"/>
        <v>S0350</v>
      </c>
      <c r="B351" s="8">
        <f t="shared" ca="1" si="47"/>
        <v>44334</v>
      </c>
      <c r="C351" s="15" t="str" cm="1">
        <f t="array" aca="1" ref="C351" ca="1">INDEX($Q$2:$Q$31, RANDBETWEEN(1, COUNTA($Q$2:$Q$31)))</f>
        <v>Iced Black Coffee</v>
      </c>
      <c r="D351" s="10" t="str" cm="1">
        <f t="array" aca="1" ref="D351" ca="1">INDEX($R$2:$R$310, RANDBETWEEN(1, COUNTA($Q$2:$Q$310)))</f>
        <v>L</v>
      </c>
      <c r="E351">
        <f t="shared" ca="1" si="48"/>
        <v>2</v>
      </c>
      <c r="F351" cm="1">
        <f t="array" aca="1" ref="F351" ca="1">INDEX($S$2:$S$31, RANDBETWEEN(1, COUNTA($S$2:$S$31)))</f>
        <v>59000</v>
      </c>
      <c r="G351" cm="1">
        <f t="array" aca="1" ref="G351" ca="1">INDEX($S$2:$S$31, RANDBETWEEN(1, COUNTA($S$2:$S$31)))</f>
        <v>69000</v>
      </c>
      <c r="H351">
        <f t="shared" ca="1" si="49"/>
        <v>6</v>
      </c>
      <c r="I351">
        <f t="shared" ca="1" si="50"/>
        <v>69000</v>
      </c>
      <c r="J351" s="10" t="str">
        <f t="shared" ca="1" si="51"/>
        <v>Offline</v>
      </c>
      <c r="K351" s="10">
        <f t="shared" ca="1" si="52"/>
        <v>69000</v>
      </c>
      <c r="L351" s="10">
        <f t="shared" ca="1" si="53"/>
        <v>138000</v>
      </c>
      <c r="M351" s="12" t="str" cm="1">
        <f t="array" aca="1" ref="M351" ca="1">INDEX($R$33:$R$82, RANDBETWEEN(1, COUNTA($R$33:$R$82)))</f>
        <v>NV22</v>
      </c>
      <c r="N351">
        <f t="shared" ca="1" si="54"/>
        <v>45</v>
      </c>
    </row>
    <row r="352" spans="1:14" ht="16.8" x14ac:dyDescent="0.3">
      <c r="A352" s="7" t="str">
        <f t="shared" si="46"/>
        <v>S0351</v>
      </c>
      <c r="B352" s="8">
        <f t="shared" ca="1" si="47"/>
        <v>44519</v>
      </c>
      <c r="C352" s="15" t="str" cm="1">
        <f t="array" aca="1" ref="C352" ca="1">INDEX($Q$2:$Q$31, RANDBETWEEN(1, COUNTA($Q$2:$Q$31)))</f>
        <v>Latte</v>
      </c>
      <c r="D352" s="10" t="str" cm="1">
        <f t="array" aca="1" ref="D352" ca="1">INDEX($R$2:$R$310, RANDBETWEEN(1, COUNTA($Q$2:$Q$310)))</f>
        <v>M</v>
      </c>
      <c r="E352">
        <f t="shared" ca="1" si="48"/>
        <v>3</v>
      </c>
      <c r="F352" cm="1">
        <f t="array" aca="1" ref="F352" ca="1">INDEX($S$2:$S$31, RANDBETWEEN(1, COUNTA($S$2:$S$31)))</f>
        <v>49000</v>
      </c>
      <c r="G352" cm="1">
        <f t="array" aca="1" ref="G352" ca="1">INDEX($S$2:$S$31, RANDBETWEEN(1, COUNTA($S$2:$S$31)))</f>
        <v>39000</v>
      </c>
      <c r="H352">
        <f t="shared" ca="1" si="49"/>
        <v>9</v>
      </c>
      <c r="I352">
        <f t="shared" ca="1" si="50"/>
        <v>44590</v>
      </c>
      <c r="J352" s="10" t="str">
        <f t="shared" ca="1" si="51"/>
        <v>Online</v>
      </c>
      <c r="K352" s="10">
        <f t="shared" ca="1" si="52"/>
        <v>44590</v>
      </c>
      <c r="L352" s="10">
        <f t="shared" ca="1" si="53"/>
        <v>133770</v>
      </c>
      <c r="M352" s="12" t="str" cm="1">
        <f t="array" aca="1" ref="M352" ca="1">INDEX($R$33:$R$82, RANDBETWEEN(1, COUNTA($R$33:$R$82)))</f>
        <v>NV25</v>
      </c>
      <c r="N352">
        <f t="shared" ca="1" si="54"/>
        <v>49</v>
      </c>
    </row>
    <row r="353" spans="1:14" ht="16.8" x14ac:dyDescent="0.3">
      <c r="A353" s="7" t="str">
        <f t="shared" si="46"/>
        <v>S0352</v>
      </c>
      <c r="B353" s="8">
        <f t="shared" ca="1" si="47"/>
        <v>44431</v>
      </c>
      <c r="C353" s="15" t="str" cm="1">
        <f t="array" aca="1" ref="C353" ca="1">INDEX($Q$2:$Q$31, RANDBETWEEN(1, COUNTA($Q$2:$Q$31)))</f>
        <v>Cookies &amp; Cream</v>
      </c>
      <c r="D353" s="10" t="str" cm="1">
        <f t="array" aca="1" ref="D353" ca="1">INDEX($R$2:$R$310, RANDBETWEEN(1, COUNTA($Q$2:$Q$310)))</f>
        <v>M</v>
      </c>
      <c r="E353">
        <f t="shared" ca="1" si="48"/>
        <v>2</v>
      </c>
      <c r="F353" cm="1">
        <f t="array" aca="1" ref="F353" ca="1">INDEX($S$2:$S$31, RANDBETWEEN(1, COUNTA($S$2:$S$31)))</f>
        <v>35000</v>
      </c>
      <c r="G353" cm="1">
        <f t="array" aca="1" ref="G353" ca="1">INDEX($S$2:$S$31, RANDBETWEEN(1, COUNTA($S$2:$S$31)))</f>
        <v>49000</v>
      </c>
      <c r="H353">
        <f t="shared" ca="1" si="49"/>
        <v>15</v>
      </c>
      <c r="I353">
        <f t="shared" ca="1" si="50"/>
        <v>29750</v>
      </c>
      <c r="J353" s="10" t="str">
        <f t="shared" ca="1" si="51"/>
        <v>Online</v>
      </c>
      <c r="K353" s="10">
        <f t="shared" ca="1" si="52"/>
        <v>29750</v>
      </c>
      <c r="L353" s="10">
        <f t="shared" ca="1" si="53"/>
        <v>59500</v>
      </c>
      <c r="M353" s="12" t="str" cm="1">
        <f t="array" aca="1" ref="M353" ca="1">INDEX($R$33:$R$82, RANDBETWEEN(1, COUNTA($R$33:$R$82)))</f>
        <v>NV23</v>
      </c>
      <c r="N353">
        <f t="shared" ca="1" si="54"/>
        <v>44</v>
      </c>
    </row>
    <row r="354" spans="1:14" ht="16.8" x14ac:dyDescent="0.3">
      <c r="A354" s="7" t="str">
        <f t="shared" si="46"/>
        <v>S0353</v>
      </c>
      <c r="B354" s="8">
        <f t="shared" ca="1" si="47"/>
        <v>44268</v>
      </c>
      <c r="C354" s="15" t="str" cm="1">
        <f t="array" aca="1" ref="C354" ca="1">INDEX($Q$2:$Q$31, RANDBETWEEN(1, COUNTA($Q$2:$Q$31)))</f>
        <v xml:space="preserve">Green Tea Freeze </v>
      </c>
      <c r="D354" s="10" t="str" cm="1">
        <f t="array" aca="1" ref="D354" ca="1">INDEX($R$2:$R$310, RANDBETWEEN(1, COUNTA($Q$2:$Q$310)))</f>
        <v>M</v>
      </c>
      <c r="E354">
        <f t="shared" ca="1" si="48"/>
        <v>3</v>
      </c>
      <c r="F354" cm="1">
        <f t="array" aca="1" ref="F354" ca="1">INDEX($S$2:$S$31, RANDBETWEEN(1, COUNTA($S$2:$S$31)))</f>
        <v>65000</v>
      </c>
      <c r="G354" cm="1">
        <f t="array" aca="1" ref="G354" ca="1">INDEX($S$2:$S$31, RANDBETWEEN(1, COUNTA($S$2:$S$31)))</f>
        <v>69000</v>
      </c>
      <c r="H354">
        <f t="shared" ca="1" si="49"/>
        <v>12</v>
      </c>
      <c r="I354">
        <f t="shared" ca="1" si="50"/>
        <v>57200</v>
      </c>
      <c r="J354" s="10" t="str">
        <f t="shared" ca="1" si="51"/>
        <v>Online</v>
      </c>
      <c r="K354" s="10">
        <f t="shared" ca="1" si="52"/>
        <v>57200</v>
      </c>
      <c r="L354" s="10">
        <f t="shared" ca="1" si="53"/>
        <v>171600</v>
      </c>
      <c r="M354" s="12" t="str" cm="1">
        <f t="array" aca="1" ref="M354" ca="1">INDEX($R$33:$R$82, RANDBETWEEN(1, COUNTA($R$33:$R$82)))</f>
        <v>NV9</v>
      </c>
      <c r="N354">
        <f t="shared" ca="1" si="54"/>
        <v>11</v>
      </c>
    </row>
    <row r="355" spans="1:14" ht="16.8" x14ac:dyDescent="0.3">
      <c r="A355" s="7" t="str">
        <f t="shared" si="46"/>
        <v>S0354</v>
      </c>
      <c r="B355" s="8">
        <f t="shared" ca="1" si="47"/>
        <v>44451</v>
      </c>
      <c r="C355" s="15" t="str" cm="1">
        <f t="array" aca="1" ref="C355" ca="1">INDEX($Q$2:$Q$31, RANDBETWEEN(1, COUNTA($Q$2:$Q$31)))</f>
        <v>Cappuccino</v>
      </c>
      <c r="D355" s="10" t="str" cm="1">
        <f t="array" aca="1" ref="D355" ca="1">INDEX($R$2:$R$310, RANDBETWEEN(1, COUNTA($Q$2:$Q$310)))</f>
        <v>S</v>
      </c>
      <c r="E355">
        <f t="shared" ca="1" si="48"/>
        <v>3</v>
      </c>
      <c r="F355" cm="1">
        <f t="array" aca="1" ref="F355" ca="1">INDEX($S$2:$S$31, RANDBETWEEN(1, COUNTA($S$2:$S$31)))</f>
        <v>59000</v>
      </c>
      <c r="G355" cm="1">
        <f t="array" aca="1" ref="G355" ca="1">INDEX($S$2:$S$31, RANDBETWEEN(1, COUNTA($S$2:$S$31)))</f>
        <v>45000</v>
      </c>
      <c r="H355">
        <f t="shared" ca="1" si="49"/>
        <v>12</v>
      </c>
      <c r="I355">
        <f t="shared" ca="1" si="50"/>
        <v>51920</v>
      </c>
      <c r="J355" s="10" t="str">
        <f t="shared" ca="1" si="51"/>
        <v>Online</v>
      </c>
      <c r="K355" s="10">
        <f t="shared" ca="1" si="52"/>
        <v>51920</v>
      </c>
      <c r="L355" s="10">
        <f t="shared" ca="1" si="53"/>
        <v>155760</v>
      </c>
      <c r="M355" s="12" t="str" cm="1">
        <f t="array" aca="1" ref="M355" ca="1">INDEX($R$33:$R$82, RANDBETWEEN(1, COUNTA($R$33:$R$82)))</f>
        <v>NV37</v>
      </c>
      <c r="N355">
        <f t="shared" ca="1" si="54"/>
        <v>26</v>
      </c>
    </row>
    <row r="356" spans="1:14" ht="16.8" x14ac:dyDescent="0.3">
      <c r="A356" s="7" t="str">
        <f t="shared" si="46"/>
        <v>S0355</v>
      </c>
      <c r="B356" s="8">
        <f t="shared" ca="1" si="47"/>
        <v>45069</v>
      </c>
      <c r="C356" s="15" t="str" cm="1">
        <f t="array" aca="1" ref="C356" ca="1">INDEX($Q$2:$Q$31, RANDBETWEEN(1, COUNTA($Q$2:$Q$31)))</f>
        <v>Classic Phin Freeze</v>
      </c>
      <c r="D356" s="10" t="str" cm="1">
        <f t="array" aca="1" ref="D356" ca="1">INDEX($R$2:$R$310, RANDBETWEEN(1, COUNTA($Q$2:$Q$310)))</f>
        <v>S</v>
      </c>
      <c r="E356">
        <f t="shared" ca="1" si="48"/>
        <v>1</v>
      </c>
      <c r="F356" cm="1">
        <f t="array" aca="1" ref="F356" ca="1">INDEX($S$2:$S$31, RANDBETWEEN(1, COUNTA($S$2:$S$31)))</f>
        <v>59000</v>
      </c>
      <c r="G356" cm="1">
        <f t="array" aca="1" ref="G356" ca="1">INDEX($S$2:$S$31, RANDBETWEEN(1, COUNTA($S$2:$S$31)))</f>
        <v>75000</v>
      </c>
      <c r="H356">
        <f t="shared" ca="1" si="49"/>
        <v>9</v>
      </c>
      <c r="I356">
        <f t="shared" ca="1" si="50"/>
        <v>53690</v>
      </c>
      <c r="J356" s="10" t="str">
        <f t="shared" ca="1" si="51"/>
        <v>Online</v>
      </c>
      <c r="K356" s="10">
        <f t="shared" ca="1" si="52"/>
        <v>53690</v>
      </c>
      <c r="L356" s="10">
        <f t="shared" ca="1" si="53"/>
        <v>53690</v>
      </c>
      <c r="M356" s="12" t="str" cm="1">
        <f t="array" aca="1" ref="M356" ca="1">INDEX($R$33:$R$82, RANDBETWEEN(1, COUNTA($R$33:$R$82)))</f>
        <v>NV4</v>
      </c>
      <c r="N356">
        <f t="shared" ca="1" si="54"/>
        <v>15</v>
      </c>
    </row>
    <row r="357" spans="1:14" ht="16.8" x14ac:dyDescent="0.3">
      <c r="A357" s="7" t="str">
        <f t="shared" si="46"/>
        <v>S0356</v>
      </c>
      <c r="B357" s="8">
        <f t="shared" ca="1" si="47"/>
        <v>45152</v>
      </c>
      <c r="C357" s="15" t="str" cm="1">
        <f t="array" aca="1" ref="C357" ca="1">INDEX($Q$2:$Q$31, RANDBETWEEN(1, COUNTA($Q$2:$Q$31)))</f>
        <v xml:space="preserve">Chocolate Freeze </v>
      </c>
      <c r="D357" s="10" t="str" cm="1">
        <f t="array" aca="1" ref="D357" ca="1">INDEX($R$2:$R$310, RANDBETWEEN(1, COUNTA($Q$2:$Q$310)))</f>
        <v>L</v>
      </c>
      <c r="E357">
        <f t="shared" ca="1" si="48"/>
        <v>3</v>
      </c>
      <c r="F357" cm="1">
        <f t="array" aca="1" ref="F357" ca="1">INDEX($S$2:$S$31, RANDBETWEEN(1, COUNTA($S$2:$S$31)))</f>
        <v>65000</v>
      </c>
      <c r="G357" cm="1">
        <f t="array" aca="1" ref="G357" ca="1">INDEX($S$2:$S$31, RANDBETWEEN(1, COUNTA($S$2:$S$31)))</f>
        <v>59000</v>
      </c>
      <c r="H357">
        <f t="shared" ca="1" si="49"/>
        <v>15</v>
      </c>
      <c r="I357">
        <f t="shared" ca="1" si="50"/>
        <v>55250</v>
      </c>
      <c r="J357" s="10" t="str">
        <f t="shared" ca="1" si="51"/>
        <v>Online</v>
      </c>
      <c r="K357" s="10">
        <f t="shared" ca="1" si="52"/>
        <v>55250</v>
      </c>
      <c r="L357" s="10">
        <f t="shared" ca="1" si="53"/>
        <v>165750</v>
      </c>
      <c r="M357" s="12" t="str" cm="1">
        <f t="array" aca="1" ref="M357" ca="1">INDEX($R$33:$R$82, RANDBETWEEN(1, COUNTA($R$33:$R$82)))</f>
        <v>NV16</v>
      </c>
      <c r="N357">
        <f t="shared" ca="1" si="54"/>
        <v>2</v>
      </c>
    </row>
    <row r="358" spans="1:14" ht="16.8" x14ac:dyDescent="0.3">
      <c r="A358" s="7" t="str">
        <f t="shared" si="46"/>
        <v>S0357</v>
      </c>
      <c r="B358" s="8">
        <f t="shared" ca="1" si="47"/>
        <v>45036</v>
      </c>
      <c r="C358" s="15" t="str" cm="1">
        <f t="array" aca="1" ref="C358" ca="1">INDEX($Q$2:$Q$31, RANDBETWEEN(1, COUNTA($Q$2:$Q$31)))</f>
        <v xml:space="preserve">Chocolate Freeze </v>
      </c>
      <c r="D358" s="10" t="str" cm="1">
        <f t="array" aca="1" ref="D358" ca="1">INDEX($R$2:$R$310, RANDBETWEEN(1, COUNTA($Q$2:$Q$310)))</f>
        <v>L</v>
      </c>
      <c r="E358">
        <f t="shared" ca="1" si="48"/>
        <v>5</v>
      </c>
      <c r="F358" cm="1">
        <f t="array" aca="1" ref="F358" ca="1">INDEX($S$2:$S$31, RANDBETWEEN(1, COUNTA($S$2:$S$31)))</f>
        <v>65000</v>
      </c>
      <c r="G358" cm="1">
        <f t="array" aca="1" ref="G358" ca="1">INDEX($S$2:$S$31, RANDBETWEEN(1, COUNTA($S$2:$S$31)))</f>
        <v>65000</v>
      </c>
      <c r="H358">
        <f t="shared" ca="1" si="49"/>
        <v>9</v>
      </c>
      <c r="I358">
        <f t="shared" ca="1" si="50"/>
        <v>65000</v>
      </c>
      <c r="J358" s="10" t="str">
        <f t="shared" ca="1" si="51"/>
        <v>Offline</v>
      </c>
      <c r="K358" s="10">
        <f t="shared" ca="1" si="52"/>
        <v>65000</v>
      </c>
      <c r="L358" s="10">
        <f t="shared" ca="1" si="53"/>
        <v>325000</v>
      </c>
      <c r="M358" s="12" t="str" cm="1">
        <f t="array" aca="1" ref="M358" ca="1">INDEX($R$33:$R$82, RANDBETWEEN(1, COUNTA($R$33:$R$82)))</f>
        <v>NV24</v>
      </c>
      <c r="N358">
        <f t="shared" ca="1" si="54"/>
        <v>47</v>
      </c>
    </row>
    <row r="359" spans="1:14" ht="16.8" x14ac:dyDescent="0.3">
      <c r="A359" s="7" t="str">
        <f t="shared" si="46"/>
        <v>S0358</v>
      </c>
      <c r="B359" s="8">
        <f t="shared" ca="1" si="47"/>
        <v>44968</v>
      </c>
      <c r="C359" s="15" t="str" cm="1">
        <f t="array" aca="1" ref="C359" ca="1">INDEX($Q$2:$Q$31, RANDBETWEEN(1, COUNTA($Q$2:$Q$31)))</f>
        <v>Cappuccino</v>
      </c>
      <c r="D359" s="10" t="str" cm="1">
        <f t="array" aca="1" ref="D359" ca="1">INDEX($R$2:$R$310, RANDBETWEEN(1, COUNTA($Q$2:$Q$310)))</f>
        <v>L</v>
      </c>
      <c r="E359">
        <f t="shared" ca="1" si="48"/>
        <v>2</v>
      </c>
      <c r="F359" cm="1">
        <f t="array" aca="1" ref="F359" ca="1">INDEX($S$2:$S$31, RANDBETWEEN(1, COUNTA($S$2:$S$31)))</f>
        <v>75000</v>
      </c>
      <c r="G359" cm="1">
        <f t="array" aca="1" ref="G359" ca="1">INDEX($S$2:$S$31, RANDBETWEEN(1, COUNTA($S$2:$S$31)))</f>
        <v>65000</v>
      </c>
      <c r="H359">
        <f t="shared" ca="1" si="49"/>
        <v>10</v>
      </c>
      <c r="I359">
        <f t="shared" ca="1" si="50"/>
        <v>65000</v>
      </c>
      <c r="J359" s="10" t="str">
        <f t="shared" ca="1" si="51"/>
        <v>Offline</v>
      </c>
      <c r="K359" s="10">
        <f t="shared" ca="1" si="52"/>
        <v>65000</v>
      </c>
      <c r="L359" s="10">
        <f t="shared" ca="1" si="53"/>
        <v>130000</v>
      </c>
      <c r="M359" s="12" t="str" cm="1">
        <f t="array" aca="1" ref="M359" ca="1">INDEX($R$33:$R$82, RANDBETWEEN(1, COUNTA($R$33:$R$82)))</f>
        <v>NV45</v>
      </c>
      <c r="N359">
        <f t="shared" ca="1" si="54"/>
        <v>25</v>
      </c>
    </row>
    <row r="360" spans="1:14" ht="16.8" x14ac:dyDescent="0.3">
      <c r="A360" s="7" t="str">
        <f t="shared" si="46"/>
        <v>S0359</v>
      </c>
      <c r="B360" s="8">
        <f t="shared" ca="1" si="47"/>
        <v>44570</v>
      </c>
      <c r="C360" s="15" t="str" cm="1">
        <f t="array" aca="1" ref="C360" ca="1">INDEX($Q$2:$Q$31, RANDBETWEEN(1, COUNTA($Q$2:$Q$31)))</f>
        <v>Cookies &amp; Cream</v>
      </c>
      <c r="D360" s="10" t="str" cm="1">
        <f t="array" aca="1" ref="D360" ca="1">INDEX($R$2:$R$310, RANDBETWEEN(1, COUNTA($Q$2:$Q$310)))</f>
        <v>S</v>
      </c>
      <c r="E360">
        <f t="shared" ca="1" si="48"/>
        <v>5</v>
      </c>
      <c r="F360" cm="1">
        <f t="array" aca="1" ref="F360" ca="1">INDEX($S$2:$S$31, RANDBETWEEN(1, COUNTA($S$2:$S$31)))</f>
        <v>59000</v>
      </c>
      <c r="G360" cm="1">
        <f t="array" aca="1" ref="G360" ca="1">INDEX($S$2:$S$31, RANDBETWEEN(1, COUNTA($S$2:$S$31)))</f>
        <v>59000</v>
      </c>
      <c r="H360">
        <f t="shared" ca="1" si="49"/>
        <v>15</v>
      </c>
      <c r="I360">
        <f t="shared" ca="1" si="50"/>
        <v>59000</v>
      </c>
      <c r="J360" s="10" t="str">
        <f t="shared" ca="1" si="51"/>
        <v>Offline</v>
      </c>
      <c r="K360" s="10">
        <f t="shared" ca="1" si="52"/>
        <v>59000</v>
      </c>
      <c r="L360" s="10">
        <f t="shared" ca="1" si="53"/>
        <v>295000</v>
      </c>
      <c r="M360" s="12" t="str" cm="1">
        <f t="array" aca="1" ref="M360" ca="1">INDEX($R$33:$R$82, RANDBETWEEN(1, COUNTA($R$33:$R$82)))</f>
        <v>NV29</v>
      </c>
      <c r="N360">
        <f t="shared" ca="1" si="54"/>
        <v>13</v>
      </c>
    </row>
    <row r="361" spans="1:14" ht="16.8" x14ac:dyDescent="0.3">
      <c r="A361" s="7" t="str">
        <f t="shared" si="46"/>
        <v>S0360</v>
      </c>
      <c r="B361" s="8">
        <f t="shared" ca="1" si="47"/>
        <v>44525</v>
      </c>
      <c r="C361" s="15" t="str" cm="1">
        <f t="array" aca="1" ref="C361" ca="1">INDEX($Q$2:$Q$31, RANDBETWEEN(1, COUNTA($Q$2:$Q$31)))</f>
        <v>Mocha</v>
      </c>
      <c r="D361" s="10" t="str" cm="1">
        <f t="array" aca="1" ref="D361" ca="1">INDEX($R$2:$R$310, RANDBETWEEN(1, COUNTA($Q$2:$Q$310)))</f>
        <v>S</v>
      </c>
      <c r="E361">
        <f t="shared" ca="1" si="48"/>
        <v>2</v>
      </c>
      <c r="F361" cm="1">
        <f t="array" aca="1" ref="F361" ca="1">INDEX($S$2:$S$31, RANDBETWEEN(1, COUNTA($S$2:$S$31)))</f>
        <v>65000</v>
      </c>
      <c r="G361" cm="1">
        <f t="array" aca="1" ref="G361" ca="1">INDEX($S$2:$S$31, RANDBETWEEN(1, COUNTA($S$2:$S$31)))</f>
        <v>59000</v>
      </c>
      <c r="H361">
        <f t="shared" ca="1" si="49"/>
        <v>13</v>
      </c>
      <c r="I361">
        <f t="shared" ca="1" si="50"/>
        <v>56550</v>
      </c>
      <c r="J361" s="10" t="str">
        <f t="shared" ca="1" si="51"/>
        <v>Online</v>
      </c>
      <c r="K361" s="10">
        <f t="shared" ca="1" si="52"/>
        <v>56550</v>
      </c>
      <c r="L361" s="10">
        <f t="shared" ca="1" si="53"/>
        <v>113100</v>
      </c>
      <c r="M361" s="12" t="str" cm="1">
        <f t="array" aca="1" ref="M361" ca="1">INDEX($R$33:$R$82, RANDBETWEEN(1, COUNTA($R$33:$R$82)))</f>
        <v>NV2</v>
      </c>
      <c r="N361">
        <f t="shared" ca="1" si="54"/>
        <v>36</v>
      </c>
    </row>
    <row r="362" spans="1:14" ht="16.8" x14ac:dyDescent="0.3">
      <c r="A362" s="7" t="str">
        <f t="shared" si="46"/>
        <v>S0361</v>
      </c>
      <c r="B362" s="8">
        <f t="shared" ca="1" si="47"/>
        <v>45001</v>
      </c>
      <c r="C362" s="15" t="str" cm="1">
        <f t="array" aca="1" ref="C362" ca="1">INDEX($Q$2:$Q$31, RANDBETWEEN(1, COUNTA($Q$2:$Q$31)))</f>
        <v>Latte</v>
      </c>
      <c r="D362" s="10" t="str" cm="1">
        <f t="array" aca="1" ref="D362" ca="1">INDEX($R$2:$R$310, RANDBETWEEN(1, COUNTA($Q$2:$Q$310)))</f>
        <v>S</v>
      </c>
      <c r="E362">
        <f t="shared" ca="1" si="48"/>
        <v>2</v>
      </c>
      <c r="F362" cm="1">
        <f t="array" aca="1" ref="F362" ca="1">INDEX($S$2:$S$31, RANDBETWEEN(1, COUNTA($S$2:$S$31)))</f>
        <v>59000</v>
      </c>
      <c r="G362" cm="1">
        <f t="array" aca="1" ref="G362" ca="1">INDEX($S$2:$S$31, RANDBETWEEN(1, COUNTA($S$2:$S$31)))</f>
        <v>55000</v>
      </c>
      <c r="H362">
        <f t="shared" ca="1" si="49"/>
        <v>8</v>
      </c>
      <c r="I362">
        <f t="shared" ca="1" si="50"/>
        <v>54280</v>
      </c>
      <c r="J362" s="10" t="str">
        <f t="shared" ca="1" si="51"/>
        <v>Online</v>
      </c>
      <c r="K362" s="10">
        <f t="shared" ca="1" si="52"/>
        <v>54280</v>
      </c>
      <c r="L362" s="10">
        <f t="shared" ca="1" si="53"/>
        <v>108560</v>
      </c>
      <c r="M362" s="12" t="str" cm="1">
        <f t="array" aca="1" ref="M362" ca="1">INDEX($R$33:$R$82, RANDBETWEEN(1, COUNTA($R$33:$R$82)))</f>
        <v>NV31</v>
      </c>
      <c r="N362">
        <f t="shared" ca="1" si="54"/>
        <v>11</v>
      </c>
    </row>
    <row r="363" spans="1:14" ht="16.8" x14ac:dyDescent="0.3">
      <c r="A363" s="7" t="str">
        <f t="shared" si="46"/>
        <v>S0362</v>
      </c>
      <c r="B363" s="8">
        <f t="shared" ca="1" si="47"/>
        <v>44794</v>
      </c>
      <c r="C363" s="15" t="str" cm="1">
        <f t="array" aca="1" ref="C363" ca="1">INDEX($Q$2:$Q$31, RANDBETWEEN(1, COUNTA($Q$2:$Q$31)))</f>
        <v>Americano</v>
      </c>
      <c r="D363" s="10" t="str" cm="1">
        <f t="array" aca="1" ref="D363" ca="1">INDEX($R$2:$R$310, RANDBETWEEN(1, COUNTA($Q$2:$Q$310)))</f>
        <v>S</v>
      </c>
      <c r="E363">
        <f t="shared" ca="1" si="48"/>
        <v>1</v>
      </c>
      <c r="F363" cm="1">
        <f t="array" aca="1" ref="F363" ca="1">INDEX($S$2:$S$31, RANDBETWEEN(1, COUNTA($S$2:$S$31)))</f>
        <v>49000</v>
      </c>
      <c r="G363" cm="1">
        <f t="array" aca="1" ref="G363" ca="1">INDEX($S$2:$S$31, RANDBETWEEN(1, COUNTA($S$2:$S$31)))</f>
        <v>65000</v>
      </c>
      <c r="H363">
        <f t="shared" ca="1" si="49"/>
        <v>9</v>
      </c>
      <c r="I363">
        <f t="shared" ca="1" si="50"/>
        <v>65000</v>
      </c>
      <c r="J363" s="10" t="str">
        <f t="shared" ca="1" si="51"/>
        <v>Offline</v>
      </c>
      <c r="K363" s="10">
        <f t="shared" ca="1" si="52"/>
        <v>65000</v>
      </c>
      <c r="L363" s="10">
        <f t="shared" ca="1" si="53"/>
        <v>65000</v>
      </c>
      <c r="M363" s="12" t="str" cm="1">
        <f t="array" aca="1" ref="M363" ca="1">INDEX($R$33:$R$82, RANDBETWEEN(1, COUNTA($R$33:$R$82)))</f>
        <v>NV16</v>
      </c>
      <c r="N363">
        <f t="shared" ca="1" si="54"/>
        <v>17</v>
      </c>
    </row>
    <row r="364" spans="1:14" ht="16.8" x14ac:dyDescent="0.3">
      <c r="A364" s="7" t="str">
        <f t="shared" si="46"/>
        <v>S0363</v>
      </c>
      <c r="B364" s="8">
        <f t="shared" ca="1" si="47"/>
        <v>44924</v>
      </c>
      <c r="C364" s="15" t="str" cm="1">
        <f t="array" aca="1" ref="C364" ca="1">INDEX($Q$2:$Q$31, RANDBETWEEN(1, COUNTA($Q$2:$Q$31)))</f>
        <v xml:space="preserve">Green Tea Freeze </v>
      </c>
      <c r="D364" s="10" t="str" cm="1">
        <f t="array" aca="1" ref="D364" ca="1">INDEX($R$2:$R$310, RANDBETWEEN(1, COUNTA($Q$2:$Q$310)))</f>
        <v>M</v>
      </c>
      <c r="E364">
        <f t="shared" ca="1" si="48"/>
        <v>4</v>
      </c>
      <c r="F364" cm="1">
        <f t="array" aca="1" ref="F364" ca="1">INDEX($S$2:$S$31, RANDBETWEEN(1, COUNTA($S$2:$S$31)))</f>
        <v>69000</v>
      </c>
      <c r="G364" cm="1">
        <f t="array" aca="1" ref="G364" ca="1">INDEX($S$2:$S$31, RANDBETWEEN(1, COUNTA($S$2:$S$31)))</f>
        <v>35000</v>
      </c>
      <c r="H364">
        <f t="shared" ca="1" si="49"/>
        <v>8</v>
      </c>
      <c r="I364">
        <f t="shared" ca="1" si="50"/>
        <v>63480</v>
      </c>
      <c r="J364" s="10" t="str">
        <f t="shared" ca="1" si="51"/>
        <v>Online</v>
      </c>
      <c r="K364" s="10">
        <f t="shared" ca="1" si="52"/>
        <v>63480</v>
      </c>
      <c r="L364" s="10">
        <f t="shared" ca="1" si="53"/>
        <v>253920</v>
      </c>
      <c r="M364" s="12" t="str" cm="1">
        <f t="array" aca="1" ref="M364" ca="1">INDEX($R$33:$R$82, RANDBETWEEN(1, COUNTA($R$33:$R$82)))</f>
        <v>NV43</v>
      </c>
      <c r="N364">
        <f t="shared" ca="1" si="54"/>
        <v>44</v>
      </c>
    </row>
    <row r="365" spans="1:14" ht="16.8" x14ac:dyDescent="0.3">
      <c r="A365" s="7" t="str">
        <f t="shared" si="46"/>
        <v>S0364</v>
      </c>
      <c r="B365" s="8">
        <f t="shared" ca="1" si="47"/>
        <v>44783</v>
      </c>
      <c r="C365" s="15" t="str" cm="1">
        <f t="array" aca="1" ref="C365" ca="1">INDEX($Q$2:$Q$31, RANDBETWEEN(1, COUNTA($Q$2:$Q$31)))</f>
        <v>Iced Black Coffee</v>
      </c>
      <c r="D365" s="10" t="str" cm="1">
        <f t="array" aca="1" ref="D365" ca="1">INDEX($R$2:$R$310, RANDBETWEEN(1, COUNTA($Q$2:$Q$310)))</f>
        <v>M</v>
      </c>
      <c r="E365">
        <f t="shared" ca="1" si="48"/>
        <v>3</v>
      </c>
      <c r="F365" cm="1">
        <f t="array" aca="1" ref="F365" ca="1">INDEX($S$2:$S$31, RANDBETWEEN(1, COUNTA($S$2:$S$31)))</f>
        <v>45000</v>
      </c>
      <c r="G365" cm="1">
        <f t="array" aca="1" ref="G365" ca="1">INDEX($S$2:$S$31, RANDBETWEEN(1, COUNTA($S$2:$S$31)))</f>
        <v>49000</v>
      </c>
      <c r="H365">
        <f t="shared" ca="1" si="49"/>
        <v>8</v>
      </c>
      <c r="I365">
        <f t="shared" ca="1" si="50"/>
        <v>49000</v>
      </c>
      <c r="J365" s="10" t="str">
        <f t="shared" ca="1" si="51"/>
        <v>Offline</v>
      </c>
      <c r="K365" s="10">
        <f t="shared" ca="1" si="52"/>
        <v>49000</v>
      </c>
      <c r="L365" s="10">
        <f t="shared" ca="1" si="53"/>
        <v>147000</v>
      </c>
      <c r="M365" s="12" t="str" cm="1">
        <f t="array" aca="1" ref="M365" ca="1">INDEX($R$33:$R$82, RANDBETWEEN(1, COUNTA($R$33:$R$82)))</f>
        <v>NV22</v>
      </c>
      <c r="N365">
        <f t="shared" ca="1" si="54"/>
        <v>27</v>
      </c>
    </row>
    <row r="366" spans="1:14" ht="16.8" x14ac:dyDescent="0.3">
      <c r="A366" s="7" t="str">
        <f t="shared" si="46"/>
        <v>S0365</v>
      </c>
      <c r="B366" s="8">
        <f t="shared" ca="1" si="47"/>
        <v>45112</v>
      </c>
      <c r="C366" s="15" t="str" cm="1">
        <f t="array" aca="1" ref="C366" ca="1">INDEX($Q$2:$Q$31, RANDBETWEEN(1, COUNTA($Q$2:$Q$31)))</f>
        <v xml:space="preserve">Green Tea Freeze </v>
      </c>
      <c r="D366" s="10" t="str" cm="1">
        <f t="array" aca="1" ref="D366" ca="1">INDEX($R$2:$R$310, RANDBETWEEN(1, COUNTA($Q$2:$Q$310)))</f>
        <v>M</v>
      </c>
      <c r="E366">
        <f t="shared" ca="1" si="48"/>
        <v>3</v>
      </c>
      <c r="F366" cm="1">
        <f t="array" aca="1" ref="F366" ca="1">INDEX($S$2:$S$31, RANDBETWEEN(1, COUNTA($S$2:$S$31)))</f>
        <v>59000</v>
      </c>
      <c r="G366" cm="1">
        <f t="array" aca="1" ref="G366" ca="1">INDEX($S$2:$S$31, RANDBETWEEN(1, COUNTA($S$2:$S$31)))</f>
        <v>59000</v>
      </c>
      <c r="H366">
        <f t="shared" ca="1" si="49"/>
        <v>9</v>
      </c>
      <c r="I366">
        <f t="shared" ca="1" si="50"/>
        <v>53690</v>
      </c>
      <c r="J366" s="10" t="str">
        <f t="shared" ca="1" si="51"/>
        <v>Online</v>
      </c>
      <c r="K366" s="10">
        <f t="shared" ca="1" si="52"/>
        <v>53690</v>
      </c>
      <c r="L366" s="10">
        <f t="shared" ca="1" si="53"/>
        <v>161070</v>
      </c>
      <c r="M366" s="12" t="str" cm="1">
        <f t="array" aca="1" ref="M366" ca="1">INDEX($R$33:$R$82, RANDBETWEEN(1, COUNTA($R$33:$R$82)))</f>
        <v>NV32</v>
      </c>
      <c r="N366">
        <f t="shared" ca="1" si="54"/>
        <v>25</v>
      </c>
    </row>
    <row r="367" spans="1:14" ht="16.8" x14ac:dyDescent="0.3">
      <c r="A367" s="7" t="str">
        <f t="shared" si="46"/>
        <v>S0366</v>
      </c>
      <c r="B367" s="8">
        <f t="shared" ca="1" si="47"/>
        <v>45009</v>
      </c>
      <c r="C367" s="15" t="str" cm="1">
        <f t="array" aca="1" ref="C367" ca="1">INDEX($Q$2:$Q$31, RANDBETWEEN(1, COUNTA($Q$2:$Q$31)))</f>
        <v xml:space="preserve">Green Tea Freeze </v>
      </c>
      <c r="D367" s="10" t="str" cm="1">
        <f t="array" aca="1" ref="D367" ca="1">INDEX($R$2:$R$310, RANDBETWEEN(1, COUNTA($Q$2:$Q$310)))</f>
        <v>M</v>
      </c>
      <c r="E367">
        <f t="shared" ca="1" si="48"/>
        <v>3</v>
      </c>
      <c r="F367" cm="1">
        <f t="array" aca="1" ref="F367" ca="1">INDEX($S$2:$S$31, RANDBETWEEN(1, COUNTA($S$2:$S$31)))</f>
        <v>49000</v>
      </c>
      <c r="G367" cm="1">
        <f t="array" aca="1" ref="G367" ca="1">INDEX($S$2:$S$31, RANDBETWEEN(1, COUNTA($S$2:$S$31)))</f>
        <v>65000</v>
      </c>
      <c r="H367">
        <f t="shared" ca="1" si="49"/>
        <v>15</v>
      </c>
      <c r="I367">
        <f t="shared" ca="1" si="50"/>
        <v>65000</v>
      </c>
      <c r="J367" s="10" t="str">
        <f t="shared" ca="1" si="51"/>
        <v>Offline</v>
      </c>
      <c r="K367" s="10">
        <f t="shared" ca="1" si="52"/>
        <v>65000</v>
      </c>
      <c r="L367" s="10">
        <f t="shared" ca="1" si="53"/>
        <v>195000</v>
      </c>
      <c r="M367" s="12" t="str" cm="1">
        <f t="array" aca="1" ref="M367" ca="1">INDEX($R$33:$R$82, RANDBETWEEN(1, COUNTA($R$33:$R$82)))</f>
        <v>NV23</v>
      </c>
      <c r="N367">
        <f t="shared" ca="1" si="54"/>
        <v>41</v>
      </c>
    </row>
    <row r="368" spans="1:14" ht="16.8" x14ac:dyDescent="0.3">
      <c r="A368" s="7" t="str">
        <f t="shared" si="46"/>
        <v>S0367</v>
      </c>
      <c r="B368" s="8">
        <f t="shared" ca="1" si="47"/>
        <v>45023</v>
      </c>
      <c r="C368" s="15" t="str" cm="1">
        <f t="array" aca="1" ref="C368" ca="1">INDEX($Q$2:$Q$31, RANDBETWEEN(1, COUNTA($Q$2:$Q$31)))</f>
        <v>Americano</v>
      </c>
      <c r="D368" s="10" t="str" cm="1">
        <f t="array" aca="1" ref="D368" ca="1">INDEX($R$2:$R$310, RANDBETWEEN(1, COUNTA($Q$2:$Q$310)))</f>
        <v>L</v>
      </c>
      <c r="E368">
        <f t="shared" ca="1" si="48"/>
        <v>1</v>
      </c>
      <c r="F368" cm="1">
        <f t="array" aca="1" ref="F368" ca="1">INDEX($S$2:$S$31, RANDBETWEEN(1, COUNTA($S$2:$S$31)))</f>
        <v>55000</v>
      </c>
      <c r="G368" cm="1">
        <f t="array" aca="1" ref="G368" ca="1">INDEX($S$2:$S$31, RANDBETWEEN(1, COUNTA($S$2:$S$31)))</f>
        <v>29000</v>
      </c>
      <c r="H368">
        <f t="shared" ca="1" si="49"/>
        <v>8</v>
      </c>
      <c r="I368">
        <f t="shared" ca="1" si="50"/>
        <v>29000</v>
      </c>
      <c r="J368" s="10" t="str">
        <f t="shared" ca="1" si="51"/>
        <v>Offline</v>
      </c>
      <c r="K368" s="10">
        <f t="shared" ca="1" si="52"/>
        <v>29000</v>
      </c>
      <c r="L368" s="10">
        <f t="shared" ca="1" si="53"/>
        <v>29000</v>
      </c>
      <c r="M368" s="12" t="str" cm="1">
        <f t="array" aca="1" ref="M368" ca="1">INDEX($R$33:$R$82, RANDBETWEEN(1, COUNTA($R$33:$R$82)))</f>
        <v>NV5</v>
      </c>
      <c r="N368">
        <f t="shared" ca="1" si="54"/>
        <v>9</v>
      </c>
    </row>
    <row r="369" spans="1:14" ht="16.8" x14ac:dyDescent="0.3">
      <c r="A369" s="7" t="str">
        <f t="shared" si="46"/>
        <v>S0368</v>
      </c>
      <c r="B369" s="8">
        <f t="shared" ca="1" si="47"/>
        <v>45079</v>
      </c>
      <c r="C369" s="15" t="str" cm="1">
        <f t="array" aca="1" ref="C369" ca="1">INDEX($Q$2:$Q$31, RANDBETWEEN(1, COUNTA($Q$2:$Q$31)))</f>
        <v>Latte</v>
      </c>
      <c r="D369" s="10" t="str" cm="1">
        <f t="array" aca="1" ref="D369" ca="1">INDEX($R$2:$R$310, RANDBETWEEN(1, COUNTA($Q$2:$Q$310)))</f>
        <v>M</v>
      </c>
      <c r="E369">
        <f t="shared" ca="1" si="48"/>
        <v>2</v>
      </c>
      <c r="F369" cm="1">
        <f t="array" aca="1" ref="F369" ca="1">INDEX($S$2:$S$31, RANDBETWEEN(1, COUNTA($S$2:$S$31)))</f>
        <v>65000</v>
      </c>
      <c r="G369" cm="1">
        <f t="array" aca="1" ref="G369" ca="1">INDEX($S$2:$S$31, RANDBETWEEN(1, COUNTA($S$2:$S$31)))</f>
        <v>65000</v>
      </c>
      <c r="H369">
        <f t="shared" ca="1" si="49"/>
        <v>12</v>
      </c>
      <c r="I369">
        <f t="shared" ca="1" si="50"/>
        <v>65000</v>
      </c>
      <c r="J369" s="10" t="str">
        <f t="shared" ca="1" si="51"/>
        <v>Offline</v>
      </c>
      <c r="K369" s="10">
        <f t="shared" ca="1" si="52"/>
        <v>65000</v>
      </c>
      <c r="L369" s="10">
        <f t="shared" ca="1" si="53"/>
        <v>130000</v>
      </c>
      <c r="M369" s="12" t="str" cm="1">
        <f t="array" aca="1" ref="M369" ca="1">INDEX($R$33:$R$82, RANDBETWEEN(1, COUNTA($R$33:$R$82)))</f>
        <v>NV7</v>
      </c>
      <c r="N369">
        <f t="shared" ca="1" si="54"/>
        <v>48</v>
      </c>
    </row>
    <row r="370" spans="1:14" ht="16.8" x14ac:dyDescent="0.3">
      <c r="A370" s="7" t="str">
        <f t="shared" si="46"/>
        <v>S0369</v>
      </c>
      <c r="B370" s="8">
        <f t="shared" ca="1" si="47"/>
        <v>44237</v>
      </c>
      <c r="C370" s="15" t="str" cm="1">
        <f t="array" aca="1" ref="C370" ca="1">INDEX($Q$2:$Q$31, RANDBETWEEN(1, COUNTA($Q$2:$Q$31)))</f>
        <v xml:space="preserve">Green Tea Freeze </v>
      </c>
      <c r="D370" s="10" t="str" cm="1">
        <f t="array" aca="1" ref="D370" ca="1">INDEX($R$2:$R$310, RANDBETWEEN(1, COUNTA($Q$2:$Q$310)))</f>
        <v>S</v>
      </c>
      <c r="E370">
        <f t="shared" ca="1" si="48"/>
        <v>2</v>
      </c>
      <c r="F370" cm="1">
        <f t="array" aca="1" ref="F370" ca="1">INDEX($S$2:$S$31, RANDBETWEEN(1, COUNTA($S$2:$S$31)))</f>
        <v>59000</v>
      </c>
      <c r="G370" cm="1">
        <f t="array" aca="1" ref="G370" ca="1">INDEX($S$2:$S$31, RANDBETWEEN(1, COUNTA($S$2:$S$31)))</f>
        <v>59000</v>
      </c>
      <c r="H370">
        <f t="shared" ca="1" si="49"/>
        <v>10</v>
      </c>
      <c r="I370">
        <f t="shared" ca="1" si="50"/>
        <v>59000</v>
      </c>
      <c r="J370" s="10" t="str">
        <f t="shared" ca="1" si="51"/>
        <v>Offline</v>
      </c>
      <c r="K370" s="10">
        <f t="shared" ca="1" si="52"/>
        <v>59000</v>
      </c>
      <c r="L370" s="10">
        <f t="shared" ca="1" si="53"/>
        <v>118000</v>
      </c>
      <c r="M370" s="12" t="str" cm="1">
        <f t="array" aca="1" ref="M370" ca="1">INDEX($R$33:$R$82, RANDBETWEEN(1, COUNTA($R$33:$R$82)))</f>
        <v>NV47</v>
      </c>
      <c r="N370">
        <f t="shared" ca="1" si="54"/>
        <v>8</v>
      </c>
    </row>
    <row r="371" spans="1:14" ht="16.8" x14ac:dyDescent="0.3">
      <c r="A371" s="7" t="str">
        <f t="shared" si="46"/>
        <v>S0370</v>
      </c>
      <c r="B371" s="8">
        <f t="shared" ca="1" si="47"/>
        <v>44542</v>
      </c>
      <c r="C371" s="15" t="str" cm="1">
        <f t="array" aca="1" ref="C371" ca="1">INDEX($Q$2:$Q$31, RANDBETWEEN(1, COUNTA($Q$2:$Q$31)))</f>
        <v>Classic Phin Freeze</v>
      </c>
      <c r="D371" s="10" t="str" cm="1">
        <f t="array" aca="1" ref="D371" ca="1">INDEX($R$2:$R$310, RANDBETWEEN(1, COUNTA($Q$2:$Q$310)))</f>
        <v>M</v>
      </c>
      <c r="E371">
        <f t="shared" ca="1" si="48"/>
        <v>5</v>
      </c>
      <c r="F371" cm="1">
        <f t="array" aca="1" ref="F371" ca="1">INDEX($S$2:$S$31, RANDBETWEEN(1, COUNTA($S$2:$S$31)))</f>
        <v>59000</v>
      </c>
      <c r="G371" cm="1">
        <f t="array" aca="1" ref="G371" ca="1">INDEX($S$2:$S$31, RANDBETWEEN(1, COUNTA($S$2:$S$31)))</f>
        <v>35000</v>
      </c>
      <c r="H371">
        <f t="shared" ca="1" si="49"/>
        <v>14</v>
      </c>
      <c r="I371">
        <f t="shared" ca="1" si="50"/>
        <v>50740</v>
      </c>
      <c r="J371" s="10" t="str">
        <f t="shared" ca="1" si="51"/>
        <v>Online</v>
      </c>
      <c r="K371" s="10">
        <f t="shared" ca="1" si="52"/>
        <v>50740</v>
      </c>
      <c r="L371" s="10">
        <f t="shared" ca="1" si="53"/>
        <v>253700</v>
      </c>
      <c r="M371" s="12" t="str" cm="1">
        <f t="array" aca="1" ref="M371" ca="1">INDEX($R$33:$R$82, RANDBETWEEN(1, COUNTA($R$33:$R$82)))</f>
        <v>NV49</v>
      </c>
      <c r="N371">
        <f t="shared" ca="1" si="54"/>
        <v>16</v>
      </c>
    </row>
    <row r="372" spans="1:14" ht="16.8" x14ac:dyDescent="0.3">
      <c r="A372" s="7" t="str">
        <f t="shared" si="46"/>
        <v>S0371</v>
      </c>
      <c r="B372" s="8">
        <f t="shared" ca="1" si="47"/>
        <v>44594</v>
      </c>
      <c r="C372" s="15" t="str" cm="1">
        <f t="array" aca="1" ref="C372" ca="1">INDEX($Q$2:$Q$31, RANDBETWEEN(1, COUNTA($Q$2:$Q$31)))</f>
        <v xml:space="preserve">Green Tea Freeze </v>
      </c>
      <c r="D372" s="10" t="str" cm="1">
        <f t="array" aca="1" ref="D372" ca="1">INDEX($R$2:$R$310, RANDBETWEEN(1, COUNTA($Q$2:$Q$310)))</f>
        <v>M</v>
      </c>
      <c r="E372">
        <f t="shared" ca="1" si="48"/>
        <v>2</v>
      </c>
      <c r="F372" cm="1">
        <f t="array" aca="1" ref="F372" ca="1">INDEX($S$2:$S$31, RANDBETWEEN(1, COUNTA($S$2:$S$31)))</f>
        <v>29000</v>
      </c>
      <c r="G372" cm="1">
        <f t="array" aca="1" ref="G372" ca="1">INDEX($S$2:$S$31, RANDBETWEEN(1, COUNTA($S$2:$S$31)))</f>
        <v>45000</v>
      </c>
      <c r="H372">
        <f t="shared" ca="1" si="49"/>
        <v>12</v>
      </c>
      <c r="I372">
        <f t="shared" ca="1" si="50"/>
        <v>25520</v>
      </c>
      <c r="J372" s="10" t="str">
        <f t="shared" ca="1" si="51"/>
        <v>Online</v>
      </c>
      <c r="K372" s="10">
        <f t="shared" ca="1" si="52"/>
        <v>25520</v>
      </c>
      <c r="L372" s="10">
        <f t="shared" ca="1" si="53"/>
        <v>51040</v>
      </c>
      <c r="M372" s="12" t="str" cm="1">
        <f t="array" aca="1" ref="M372" ca="1">INDEX($R$33:$R$82, RANDBETWEEN(1, COUNTA($R$33:$R$82)))</f>
        <v>NV23</v>
      </c>
      <c r="N372">
        <f t="shared" ca="1" si="54"/>
        <v>35</v>
      </c>
    </row>
    <row r="373" spans="1:14" ht="16.8" x14ac:dyDescent="0.3">
      <c r="A373" s="7" t="str">
        <f t="shared" si="46"/>
        <v>S0372</v>
      </c>
      <c r="B373" s="8">
        <f t="shared" ca="1" si="47"/>
        <v>44197</v>
      </c>
      <c r="C373" s="15" t="str" cm="1">
        <f t="array" aca="1" ref="C373" ca="1">INDEX($Q$2:$Q$31, RANDBETWEEN(1, COUNTA($Q$2:$Q$31)))</f>
        <v>Iced Black Coffee</v>
      </c>
      <c r="D373" s="10" t="str" cm="1">
        <f t="array" aca="1" ref="D373" ca="1">INDEX($R$2:$R$310, RANDBETWEEN(1, COUNTA($Q$2:$Q$310)))</f>
        <v>L</v>
      </c>
      <c r="E373">
        <f t="shared" ca="1" si="48"/>
        <v>5</v>
      </c>
      <c r="F373" cm="1">
        <f t="array" aca="1" ref="F373" ca="1">INDEX($S$2:$S$31, RANDBETWEEN(1, COUNTA($S$2:$S$31)))</f>
        <v>69000</v>
      </c>
      <c r="G373" cm="1">
        <f t="array" aca="1" ref="G373" ca="1">INDEX($S$2:$S$31, RANDBETWEEN(1, COUNTA($S$2:$S$31)))</f>
        <v>55000</v>
      </c>
      <c r="H373">
        <f t="shared" ca="1" si="49"/>
        <v>15</v>
      </c>
      <c r="I373">
        <f t="shared" ca="1" si="50"/>
        <v>55000</v>
      </c>
      <c r="J373" s="10" t="str">
        <f t="shared" ca="1" si="51"/>
        <v>Offline</v>
      </c>
      <c r="K373" s="10">
        <f t="shared" ca="1" si="52"/>
        <v>55000</v>
      </c>
      <c r="L373" s="10">
        <f t="shared" ca="1" si="53"/>
        <v>275000</v>
      </c>
      <c r="M373" s="12" t="str" cm="1">
        <f t="array" aca="1" ref="M373" ca="1">INDEX($R$33:$R$82, RANDBETWEEN(1, COUNTA($R$33:$R$82)))</f>
        <v>NV34</v>
      </c>
      <c r="N373">
        <f t="shared" ca="1" si="54"/>
        <v>5</v>
      </c>
    </row>
    <row r="374" spans="1:14" ht="16.8" x14ac:dyDescent="0.3">
      <c r="A374" s="7" t="str">
        <f t="shared" si="46"/>
        <v>S0373</v>
      </c>
      <c r="B374" s="8">
        <f t="shared" ca="1" si="47"/>
        <v>45235</v>
      </c>
      <c r="C374" s="15" t="str" cm="1">
        <f t="array" aca="1" ref="C374" ca="1">INDEX($Q$2:$Q$31, RANDBETWEEN(1, COUNTA($Q$2:$Q$31)))</f>
        <v>Caramel Phin Freeze</v>
      </c>
      <c r="D374" s="10" t="str" cm="1">
        <f t="array" aca="1" ref="D374" ca="1">INDEX($R$2:$R$310, RANDBETWEEN(1, COUNTA($Q$2:$Q$310)))</f>
        <v>M</v>
      </c>
      <c r="E374">
        <f t="shared" ca="1" si="48"/>
        <v>1</v>
      </c>
      <c r="F374" cm="1">
        <f t="array" aca="1" ref="F374" ca="1">INDEX($S$2:$S$31, RANDBETWEEN(1, COUNTA($S$2:$S$31)))</f>
        <v>75000</v>
      </c>
      <c r="G374" cm="1">
        <f t="array" aca="1" ref="G374" ca="1">INDEX($S$2:$S$31, RANDBETWEEN(1, COUNTA($S$2:$S$31)))</f>
        <v>35000</v>
      </c>
      <c r="H374">
        <f t="shared" ca="1" si="49"/>
        <v>14</v>
      </c>
      <c r="I374">
        <f t="shared" ca="1" si="50"/>
        <v>64500</v>
      </c>
      <c r="J374" s="10" t="str">
        <f t="shared" ca="1" si="51"/>
        <v>Online</v>
      </c>
      <c r="K374" s="10">
        <f t="shared" ca="1" si="52"/>
        <v>64500</v>
      </c>
      <c r="L374" s="10">
        <f t="shared" ca="1" si="53"/>
        <v>64500</v>
      </c>
      <c r="M374" s="12" t="str" cm="1">
        <f t="array" aca="1" ref="M374" ca="1">INDEX($R$33:$R$82, RANDBETWEEN(1, COUNTA($R$33:$R$82)))</f>
        <v>NV29</v>
      </c>
      <c r="N374">
        <f t="shared" ca="1" si="54"/>
        <v>36</v>
      </c>
    </row>
    <row r="375" spans="1:14" ht="16.8" x14ac:dyDescent="0.3">
      <c r="A375" s="7" t="str">
        <f t="shared" si="46"/>
        <v>S0374</v>
      </c>
      <c r="B375" s="8">
        <f t="shared" ca="1" si="47"/>
        <v>44912</v>
      </c>
      <c r="C375" s="15" t="str" cm="1">
        <f t="array" aca="1" ref="C375" ca="1">INDEX($Q$2:$Q$31, RANDBETWEEN(1, COUNTA($Q$2:$Q$31)))</f>
        <v>Cookies &amp; Cream</v>
      </c>
      <c r="D375" s="10" t="str" cm="1">
        <f t="array" aca="1" ref="D375" ca="1">INDEX($R$2:$R$310, RANDBETWEEN(1, COUNTA($Q$2:$Q$310)))</f>
        <v>S</v>
      </c>
      <c r="E375">
        <f t="shared" ca="1" si="48"/>
        <v>2</v>
      </c>
      <c r="F375" cm="1">
        <f t="array" aca="1" ref="F375" ca="1">INDEX($S$2:$S$31, RANDBETWEEN(1, COUNTA($S$2:$S$31)))</f>
        <v>75000</v>
      </c>
      <c r="G375" cm="1">
        <f t="array" aca="1" ref="G375" ca="1">INDEX($S$2:$S$31, RANDBETWEEN(1, COUNTA($S$2:$S$31)))</f>
        <v>65000</v>
      </c>
      <c r="H375">
        <f t="shared" ca="1" si="49"/>
        <v>15</v>
      </c>
      <c r="I375">
        <f t="shared" ca="1" si="50"/>
        <v>65000</v>
      </c>
      <c r="J375" s="10" t="str">
        <f t="shared" ca="1" si="51"/>
        <v>Offline</v>
      </c>
      <c r="K375" s="10">
        <f t="shared" ca="1" si="52"/>
        <v>65000</v>
      </c>
      <c r="L375" s="10">
        <f t="shared" ca="1" si="53"/>
        <v>130000</v>
      </c>
      <c r="M375" s="12" t="str" cm="1">
        <f t="array" aca="1" ref="M375" ca="1">INDEX($R$33:$R$82, RANDBETWEEN(1, COUNTA($R$33:$R$82)))</f>
        <v>NV4</v>
      </c>
      <c r="N375">
        <f t="shared" ca="1" si="54"/>
        <v>32</v>
      </c>
    </row>
    <row r="376" spans="1:14" ht="16.8" x14ac:dyDescent="0.3">
      <c r="A376" s="7" t="str">
        <f t="shared" si="46"/>
        <v>S0375</v>
      </c>
      <c r="B376" s="8">
        <f t="shared" ca="1" si="47"/>
        <v>45056</v>
      </c>
      <c r="C376" s="15" t="str" cm="1">
        <f t="array" aca="1" ref="C376" ca="1">INDEX($Q$2:$Q$31, RANDBETWEEN(1, COUNTA($Q$2:$Q$31)))</f>
        <v>Latte</v>
      </c>
      <c r="D376" s="10" t="str" cm="1">
        <f t="array" aca="1" ref="D376" ca="1">INDEX($R$2:$R$310, RANDBETWEEN(1, COUNTA($Q$2:$Q$310)))</f>
        <v>M</v>
      </c>
      <c r="E376">
        <f t="shared" ca="1" si="48"/>
        <v>3</v>
      </c>
      <c r="F376" cm="1">
        <f t="array" aca="1" ref="F376" ca="1">INDEX($S$2:$S$31, RANDBETWEEN(1, COUNTA($S$2:$S$31)))</f>
        <v>49000</v>
      </c>
      <c r="G376" cm="1">
        <f t="array" aca="1" ref="G376" ca="1">INDEX($S$2:$S$31, RANDBETWEEN(1, COUNTA($S$2:$S$31)))</f>
        <v>49000</v>
      </c>
      <c r="H376">
        <f t="shared" ca="1" si="49"/>
        <v>5</v>
      </c>
      <c r="I376">
        <f t="shared" ca="1" si="50"/>
        <v>46550</v>
      </c>
      <c r="J376" s="10" t="str">
        <f t="shared" ca="1" si="51"/>
        <v>Online</v>
      </c>
      <c r="K376" s="10">
        <f t="shared" ca="1" si="52"/>
        <v>46550</v>
      </c>
      <c r="L376" s="10">
        <f t="shared" ca="1" si="53"/>
        <v>139650</v>
      </c>
      <c r="M376" s="12" t="str" cm="1">
        <f t="array" aca="1" ref="M376" ca="1">INDEX($R$33:$R$82, RANDBETWEEN(1, COUNTA($R$33:$R$82)))</f>
        <v>NV3</v>
      </c>
      <c r="N376">
        <f t="shared" ca="1" si="54"/>
        <v>32</v>
      </c>
    </row>
    <row r="377" spans="1:14" ht="16.8" x14ac:dyDescent="0.3">
      <c r="A377" s="7" t="str">
        <f t="shared" si="46"/>
        <v>S0376</v>
      </c>
      <c r="B377" s="8">
        <f t="shared" ca="1" si="47"/>
        <v>45225</v>
      </c>
      <c r="C377" s="15" t="str" cm="1">
        <f t="array" aca="1" ref="C377" ca="1">INDEX($Q$2:$Q$31, RANDBETWEEN(1, COUNTA($Q$2:$Q$31)))</f>
        <v>Cappuccino</v>
      </c>
      <c r="D377" s="10" t="str" cm="1">
        <f t="array" aca="1" ref="D377" ca="1">INDEX($R$2:$R$310, RANDBETWEEN(1, COUNTA($Q$2:$Q$310)))</f>
        <v>S</v>
      </c>
      <c r="E377">
        <f t="shared" ca="1" si="48"/>
        <v>1</v>
      </c>
      <c r="F377" cm="1">
        <f t="array" aca="1" ref="F377" ca="1">INDEX($S$2:$S$31, RANDBETWEEN(1, COUNTA($S$2:$S$31)))</f>
        <v>65000</v>
      </c>
      <c r="G377" cm="1">
        <f t="array" aca="1" ref="G377" ca="1">INDEX($S$2:$S$31, RANDBETWEEN(1, COUNTA($S$2:$S$31)))</f>
        <v>59000</v>
      </c>
      <c r="H377">
        <f t="shared" ca="1" si="49"/>
        <v>9</v>
      </c>
      <c r="I377">
        <f t="shared" ca="1" si="50"/>
        <v>59000</v>
      </c>
      <c r="J377" s="10" t="str">
        <f t="shared" ca="1" si="51"/>
        <v>Offline</v>
      </c>
      <c r="K377" s="10">
        <f t="shared" ca="1" si="52"/>
        <v>59000</v>
      </c>
      <c r="L377" s="10">
        <f t="shared" ca="1" si="53"/>
        <v>59000</v>
      </c>
      <c r="M377" s="12" t="str" cm="1">
        <f t="array" aca="1" ref="M377" ca="1">INDEX($R$33:$R$82, RANDBETWEEN(1, COUNTA($R$33:$R$82)))</f>
        <v>NV41</v>
      </c>
      <c r="N377">
        <f t="shared" ca="1" si="54"/>
        <v>42</v>
      </c>
    </row>
    <row r="378" spans="1:14" ht="16.8" x14ac:dyDescent="0.3">
      <c r="A378" s="7" t="str">
        <f t="shared" si="46"/>
        <v>S0377</v>
      </c>
      <c r="B378" s="8">
        <f t="shared" ca="1" si="47"/>
        <v>44558</v>
      </c>
      <c r="C378" s="15" t="str" cm="1">
        <f t="array" aca="1" ref="C378" ca="1">INDEX($Q$2:$Q$31, RANDBETWEEN(1, COUNTA($Q$2:$Q$31)))</f>
        <v>Americano</v>
      </c>
      <c r="D378" s="10" t="str" cm="1">
        <f t="array" aca="1" ref="D378" ca="1">INDEX($R$2:$R$310, RANDBETWEEN(1, COUNTA($Q$2:$Q$310)))</f>
        <v>M</v>
      </c>
      <c r="E378">
        <f t="shared" ca="1" si="48"/>
        <v>2</v>
      </c>
      <c r="F378" cm="1">
        <f t="array" aca="1" ref="F378" ca="1">INDEX($S$2:$S$31, RANDBETWEEN(1, COUNTA($S$2:$S$31)))</f>
        <v>75000</v>
      </c>
      <c r="G378" cm="1">
        <f t="array" aca="1" ref="G378" ca="1">INDEX($S$2:$S$31, RANDBETWEEN(1, COUNTA($S$2:$S$31)))</f>
        <v>65000</v>
      </c>
      <c r="H378">
        <f t="shared" ca="1" si="49"/>
        <v>5</v>
      </c>
      <c r="I378">
        <f t="shared" ca="1" si="50"/>
        <v>65000</v>
      </c>
      <c r="J378" s="10" t="str">
        <f t="shared" ca="1" si="51"/>
        <v>Offline</v>
      </c>
      <c r="K378" s="10">
        <f t="shared" ca="1" si="52"/>
        <v>65000</v>
      </c>
      <c r="L378" s="10">
        <f t="shared" ca="1" si="53"/>
        <v>130000</v>
      </c>
      <c r="M378" s="12" t="str" cm="1">
        <f t="array" aca="1" ref="M378" ca="1">INDEX($R$33:$R$82, RANDBETWEEN(1, COUNTA($R$33:$R$82)))</f>
        <v>NV32</v>
      </c>
      <c r="N378">
        <f t="shared" ca="1" si="54"/>
        <v>12</v>
      </c>
    </row>
    <row r="379" spans="1:14" ht="16.8" x14ac:dyDescent="0.3">
      <c r="A379" s="7" t="str">
        <f t="shared" si="46"/>
        <v>S0378</v>
      </c>
      <c r="B379" s="8">
        <f t="shared" ca="1" si="47"/>
        <v>44439</v>
      </c>
      <c r="C379" s="15" t="str" cm="1">
        <f t="array" aca="1" ref="C379" ca="1">INDEX($Q$2:$Q$31, RANDBETWEEN(1, COUNTA($Q$2:$Q$31)))</f>
        <v>Cookies &amp; Cream</v>
      </c>
      <c r="D379" s="10" t="str" cm="1">
        <f t="array" aca="1" ref="D379" ca="1">INDEX($R$2:$R$310, RANDBETWEEN(1, COUNTA($Q$2:$Q$310)))</f>
        <v>S</v>
      </c>
      <c r="E379">
        <f t="shared" ca="1" si="48"/>
        <v>5</v>
      </c>
      <c r="F379" cm="1">
        <f t="array" aca="1" ref="F379" ca="1">INDEX($S$2:$S$31, RANDBETWEEN(1, COUNTA($S$2:$S$31)))</f>
        <v>65000</v>
      </c>
      <c r="G379" cm="1">
        <f t="array" aca="1" ref="G379" ca="1">INDEX($S$2:$S$31, RANDBETWEEN(1, COUNTA($S$2:$S$31)))</f>
        <v>59000</v>
      </c>
      <c r="H379">
        <f t="shared" ca="1" si="49"/>
        <v>13</v>
      </c>
      <c r="I379">
        <f t="shared" ca="1" si="50"/>
        <v>59000</v>
      </c>
      <c r="J379" s="10" t="str">
        <f t="shared" ca="1" si="51"/>
        <v>Offline</v>
      </c>
      <c r="K379" s="10">
        <f t="shared" ca="1" si="52"/>
        <v>59000</v>
      </c>
      <c r="L379" s="10">
        <f t="shared" ca="1" si="53"/>
        <v>295000</v>
      </c>
      <c r="M379" s="12" t="str" cm="1">
        <f t="array" aca="1" ref="M379" ca="1">INDEX($R$33:$R$82, RANDBETWEEN(1, COUNTA($R$33:$R$82)))</f>
        <v>NV34</v>
      </c>
      <c r="N379">
        <f t="shared" ca="1" si="54"/>
        <v>33</v>
      </c>
    </row>
    <row r="380" spans="1:14" ht="16.8" x14ac:dyDescent="0.3">
      <c r="A380" s="7" t="str">
        <f t="shared" si="46"/>
        <v>S0379</v>
      </c>
      <c r="B380" s="8">
        <f t="shared" ca="1" si="47"/>
        <v>44998</v>
      </c>
      <c r="C380" s="15" t="str" cm="1">
        <f t="array" aca="1" ref="C380" ca="1">INDEX($Q$2:$Q$31, RANDBETWEEN(1, COUNTA($Q$2:$Q$31)))</f>
        <v>Mocha</v>
      </c>
      <c r="D380" s="10" t="str" cm="1">
        <f t="array" aca="1" ref="D380" ca="1">INDEX($R$2:$R$310, RANDBETWEEN(1, COUNTA($Q$2:$Q$310)))</f>
        <v>M</v>
      </c>
      <c r="E380">
        <f t="shared" ca="1" si="48"/>
        <v>1</v>
      </c>
      <c r="F380" cm="1">
        <f t="array" aca="1" ref="F380" ca="1">INDEX($S$2:$S$31, RANDBETWEEN(1, COUNTA($S$2:$S$31)))</f>
        <v>69000</v>
      </c>
      <c r="G380" cm="1">
        <f t="array" aca="1" ref="G380" ca="1">INDEX($S$2:$S$31, RANDBETWEEN(1, COUNTA($S$2:$S$31)))</f>
        <v>39000</v>
      </c>
      <c r="H380">
        <f t="shared" ca="1" si="49"/>
        <v>5</v>
      </c>
      <c r="I380">
        <f t="shared" ca="1" si="50"/>
        <v>39000</v>
      </c>
      <c r="J380" s="10" t="str">
        <f t="shared" ca="1" si="51"/>
        <v>Offline</v>
      </c>
      <c r="K380" s="10">
        <f t="shared" ca="1" si="52"/>
        <v>39000</v>
      </c>
      <c r="L380" s="10">
        <f t="shared" ca="1" si="53"/>
        <v>39000</v>
      </c>
      <c r="M380" s="12" t="str" cm="1">
        <f t="array" aca="1" ref="M380" ca="1">INDEX($R$33:$R$82, RANDBETWEEN(1, COUNTA($R$33:$R$82)))</f>
        <v>NV15</v>
      </c>
      <c r="N380">
        <f t="shared" ca="1" si="54"/>
        <v>36</v>
      </c>
    </row>
    <row r="381" spans="1:14" ht="16.8" x14ac:dyDescent="0.3">
      <c r="A381" s="7" t="str">
        <f t="shared" si="46"/>
        <v>S0380</v>
      </c>
      <c r="B381" s="8">
        <f t="shared" ca="1" si="47"/>
        <v>45042</v>
      </c>
      <c r="C381" s="15" t="str" cm="1">
        <f t="array" aca="1" ref="C381" ca="1">INDEX($Q$2:$Q$31, RANDBETWEEN(1, COUNTA($Q$2:$Q$31)))</f>
        <v>Cookies &amp; Cream</v>
      </c>
      <c r="D381" s="10" t="str" cm="1">
        <f t="array" aca="1" ref="D381" ca="1">INDEX($R$2:$R$310, RANDBETWEEN(1, COUNTA($Q$2:$Q$310)))</f>
        <v>L</v>
      </c>
      <c r="E381">
        <f t="shared" ca="1" si="48"/>
        <v>4</v>
      </c>
      <c r="F381" cm="1">
        <f t="array" aca="1" ref="F381" ca="1">INDEX($S$2:$S$31, RANDBETWEEN(1, COUNTA($S$2:$S$31)))</f>
        <v>29000</v>
      </c>
      <c r="G381" cm="1">
        <f t="array" aca="1" ref="G381" ca="1">INDEX($S$2:$S$31, RANDBETWEEN(1, COUNTA($S$2:$S$31)))</f>
        <v>59000</v>
      </c>
      <c r="H381">
        <f t="shared" ca="1" si="49"/>
        <v>7</v>
      </c>
      <c r="I381">
        <f t="shared" ca="1" si="50"/>
        <v>26970</v>
      </c>
      <c r="J381" s="10" t="str">
        <f t="shared" ca="1" si="51"/>
        <v>Online</v>
      </c>
      <c r="K381" s="10">
        <f t="shared" ca="1" si="52"/>
        <v>26970</v>
      </c>
      <c r="L381" s="10">
        <f t="shared" ca="1" si="53"/>
        <v>107880</v>
      </c>
      <c r="M381" s="12" t="str" cm="1">
        <f t="array" aca="1" ref="M381" ca="1">INDEX($R$33:$R$82, RANDBETWEEN(1, COUNTA($R$33:$R$82)))</f>
        <v>NV30</v>
      </c>
      <c r="N381">
        <f t="shared" ca="1" si="54"/>
        <v>39</v>
      </c>
    </row>
    <row r="382" spans="1:14" ht="16.8" x14ac:dyDescent="0.3">
      <c r="A382" s="7" t="str">
        <f t="shared" si="46"/>
        <v>S0381</v>
      </c>
      <c r="B382" s="8">
        <f t="shared" ca="1" si="47"/>
        <v>44242</v>
      </c>
      <c r="C382" s="15" t="str" cm="1">
        <f t="array" aca="1" ref="C382" ca="1">INDEX($Q$2:$Q$31, RANDBETWEEN(1, COUNTA($Q$2:$Q$31)))</f>
        <v>Caramel Phin Freeze</v>
      </c>
      <c r="D382" s="10" t="str" cm="1">
        <f t="array" aca="1" ref="D382" ca="1">INDEX($R$2:$R$310, RANDBETWEEN(1, COUNTA($Q$2:$Q$310)))</f>
        <v>M</v>
      </c>
      <c r="E382">
        <f t="shared" ca="1" si="48"/>
        <v>2</v>
      </c>
      <c r="F382" cm="1">
        <f t="array" aca="1" ref="F382" ca="1">INDEX($S$2:$S$31, RANDBETWEEN(1, COUNTA($S$2:$S$31)))</f>
        <v>45000</v>
      </c>
      <c r="G382" cm="1">
        <f t="array" aca="1" ref="G382" ca="1">INDEX($S$2:$S$31, RANDBETWEEN(1, COUNTA($S$2:$S$31)))</f>
        <v>59000</v>
      </c>
      <c r="H382">
        <f t="shared" ca="1" si="49"/>
        <v>7</v>
      </c>
      <c r="I382">
        <f t="shared" ca="1" si="50"/>
        <v>41850</v>
      </c>
      <c r="J382" s="10" t="str">
        <f t="shared" ca="1" si="51"/>
        <v>Online</v>
      </c>
      <c r="K382" s="10">
        <f t="shared" ca="1" si="52"/>
        <v>41850</v>
      </c>
      <c r="L382" s="10">
        <f t="shared" ca="1" si="53"/>
        <v>83700</v>
      </c>
      <c r="M382" s="12" t="str" cm="1">
        <f t="array" aca="1" ref="M382" ca="1">INDEX($R$33:$R$82, RANDBETWEEN(1, COUNTA($R$33:$R$82)))</f>
        <v>NV36</v>
      </c>
      <c r="N382">
        <f t="shared" ca="1" si="54"/>
        <v>19</v>
      </c>
    </row>
    <row r="383" spans="1:14" ht="16.8" x14ac:dyDescent="0.3">
      <c r="A383" s="7" t="str">
        <f t="shared" ref="A383:A446" si="55">"S"&amp;TEXT(ROW()-1,"0000")</f>
        <v>S0382</v>
      </c>
      <c r="B383" s="8">
        <f t="shared" ref="B383:B446" ca="1" si="56">DATE(2021,1,1) + RANDBETWEEN(0,1095)</f>
        <v>44920</v>
      </c>
      <c r="C383" s="15" t="str" cm="1">
        <f t="array" aca="1" ref="C383" ca="1">INDEX($Q$2:$Q$31, RANDBETWEEN(1, COUNTA($Q$2:$Q$31)))</f>
        <v>Latte</v>
      </c>
      <c r="D383" s="10" t="str" cm="1">
        <f t="array" aca="1" ref="D383" ca="1">INDEX($R$2:$R$310, RANDBETWEEN(1, COUNTA($Q$2:$Q$310)))</f>
        <v>M</v>
      </c>
      <c r="E383">
        <f t="shared" ref="E383:E446" ca="1" si="57">RANDBETWEEN(1,5)</f>
        <v>5</v>
      </c>
      <c r="F383" cm="1">
        <f t="array" aca="1" ref="F383" ca="1">INDEX($S$2:$S$31, RANDBETWEEN(1, COUNTA($S$2:$S$31)))</f>
        <v>39000</v>
      </c>
      <c r="G383" cm="1">
        <f t="array" aca="1" ref="G383" ca="1">INDEX($S$2:$S$31, RANDBETWEEN(1, COUNTA($S$2:$S$31)))</f>
        <v>69000</v>
      </c>
      <c r="H383">
        <f t="shared" ca="1" si="49"/>
        <v>15</v>
      </c>
      <c r="I383">
        <f t="shared" ca="1" si="50"/>
        <v>33150</v>
      </c>
      <c r="J383" s="10" t="str">
        <f t="shared" ca="1" si="51"/>
        <v>Online</v>
      </c>
      <c r="K383" s="10">
        <f t="shared" ca="1" si="52"/>
        <v>33150</v>
      </c>
      <c r="L383" s="10">
        <f t="shared" ca="1" si="53"/>
        <v>165750</v>
      </c>
      <c r="M383" s="12" t="str" cm="1">
        <f t="array" aca="1" ref="M383" ca="1">INDEX($R$33:$R$82, RANDBETWEEN(1, COUNTA($R$33:$R$82)))</f>
        <v>NV3</v>
      </c>
      <c r="N383">
        <f t="shared" ca="1" si="54"/>
        <v>4</v>
      </c>
    </row>
    <row r="384" spans="1:14" ht="16.8" x14ac:dyDescent="0.3">
      <c r="A384" s="7" t="str">
        <f t="shared" si="55"/>
        <v>S0383</v>
      </c>
      <c r="B384" s="8">
        <f t="shared" ca="1" si="56"/>
        <v>45080</v>
      </c>
      <c r="C384" s="15" t="str" cm="1">
        <f t="array" aca="1" ref="C384" ca="1">INDEX($Q$2:$Q$31, RANDBETWEEN(1, COUNTA($Q$2:$Q$31)))</f>
        <v>Cappuccino</v>
      </c>
      <c r="D384" s="10" t="str" cm="1">
        <f t="array" aca="1" ref="D384" ca="1">INDEX($R$2:$R$310, RANDBETWEEN(1, COUNTA($Q$2:$Q$310)))</f>
        <v>S</v>
      </c>
      <c r="E384">
        <f t="shared" ca="1" si="57"/>
        <v>4</v>
      </c>
      <c r="F384" cm="1">
        <f t="array" aca="1" ref="F384" ca="1">INDEX($S$2:$S$31, RANDBETWEEN(1, COUNTA($S$2:$S$31)))</f>
        <v>49000</v>
      </c>
      <c r="G384" cm="1">
        <f t="array" aca="1" ref="G384" ca="1">INDEX($S$2:$S$31, RANDBETWEEN(1, COUNTA($S$2:$S$31)))</f>
        <v>39000</v>
      </c>
      <c r="H384">
        <f t="shared" ca="1" si="49"/>
        <v>8</v>
      </c>
      <c r="I384">
        <f t="shared" ca="1" si="50"/>
        <v>39000</v>
      </c>
      <c r="J384" s="10" t="str">
        <f t="shared" ca="1" si="51"/>
        <v>Offline</v>
      </c>
      <c r="K384" s="10">
        <f t="shared" ca="1" si="52"/>
        <v>39000</v>
      </c>
      <c r="L384" s="10">
        <f t="shared" ca="1" si="53"/>
        <v>156000</v>
      </c>
      <c r="M384" s="12" t="str" cm="1">
        <f t="array" aca="1" ref="M384" ca="1">INDEX($R$33:$R$82, RANDBETWEEN(1, COUNTA($R$33:$R$82)))</f>
        <v>NV34</v>
      </c>
      <c r="N384">
        <f t="shared" ca="1" si="54"/>
        <v>35</v>
      </c>
    </row>
    <row r="385" spans="1:14" ht="16.8" x14ac:dyDescent="0.3">
      <c r="A385" s="7" t="str">
        <f t="shared" si="55"/>
        <v>S0384</v>
      </c>
      <c r="B385" s="8">
        <f t="shared" ca="1" si="56"/>
        <v>44395</v>
      </c>
      <c r="C385" s="15" t="str" cm="1">
        <f t="array" aca="1" ref="C385" ca="1">INDEX($Q$2:$Q$31, RANDBETWEEN(1, COUNTA($Q$2:$Q$31)))</f>
        <v>Caramel Phin Freeze</v>
      </c>
      <c r="D385" s="10" t="str" cm="1">
        <f t="array" aca="1" ref="D385" ca="1">INDEX($R$2:$R$310, RANDBETWEEN(1, COUNTA($Q$2:$Q$310)))</f>
        <v>L</v>
      </c>
      <c r="E385">
        <f t="shared" ca="1" si="57"/>
        <v>1</v>
      </c>
      <c r="F385" cm="1">
        <f t="array" aca="1" ref="F385" ca="1">INDEX($S$2:$S$31, RANDBETWEEN(1, COUNTA($S$2:$S$31)))</f>
        <v>59000</v>
      </c>
      <c r="G385" cm="1">
        <f t="array" aca="1" ref="G385" ca="1">INDEX($S$2:$S$31, RANDBETWEEN(1, COUNTA($S$2:$S$31)))</f>
        <v>69000</v>
      </c>
      <c r="H385">
        <f t="shared" ca="1" si="49"/>
        <v>9</v>
      </c>
      <c r="I385">
        <f t="shared" ca="1" si="50"/>
        <v>53690</v>
      </c>
      <c r="J385" s="10" t="str">
        <f t="shared" ca="1" si="51"/>
        <v>Online</v>
      </c>
      <c r="K385" s="10">
        <f t="shared" ca="1" si="52"/>
        <v>53690</v>
      </c>
      <c r="L385" s="10">
        <f t="shared" ca="1" si="53"/>
        <v>53690</v>
      </c>
      <c r="M385" s="12" t="str" cm="1">
        <f t="array" aca="1" ref="M385" ca="1">INDEX($R$33:$R$82, RANDBETWEEN(1, COUNTA($R$33:$R$82)))</f>
        <v>NV4</v>
      </c>
      <c r="N385">
        <f t="shared" ca="1" si="54"/>
        <v>37</v>
      </c>
    </row>
    <row r="386" spans="1:14" ht="16.8" x14ac:dyDescent="0.3">
      <c r="A386" s="7" t="str">
        <f t="shared" si="55"/>
        <v>S0385</v>
      </c>
      <c r="B386" s="8">
        <f t="shared" ca="1" si="56"/>
        <v>44911</v>
      </c>
      <c r="C386" s="15" t="str" cm="1">
        <f t="array" aca="1" ref="C386" ca="1">INDEX($Q$2:$Q$31, RANDBETWEEN(1, COUNTA($Q$2:$Q$31)))</f>
        <v>Classic Phin Freeze</v>
      </c>
      <c r="D386" s="10" t="str" cm="1">
        <f t="array" aca="1" ref="D386" ca="1">INDEX($R$2:$R$310, RANDBETWEEN(1, COUNTA($Q$2:$Q$310)))</f>
        <v>L</v>
      </c>
      <c r="E386">
        <f t="shared" ca="1" si="57"/>
        <v>4</v>
      </c>
      <c r="F386" cm="1">
        <f t="array" aca="1" ref="F386" ca="1">INDEX($S$2:$S$31, RANDBETWEEN(1, COUNTA($S$2:$S$31)))</f>
        <v>69000</v>
      </c>
      <c r="G386" cm="1">
        <f t="array" aca="1" ref="G386" ca="1">INDEX($S$2:$S$31, RANDBETWEEN(1, COUNTA($S$2:$S$31)))</f>
        <v>49000</v>
      </c>
      <c r="H386">
        <f t="shared" ca="1" si="49"/>
        <v>14</v>
      </c>
      <c r="I386">
        <f t="shared" ca="1" si="50"/>
        <v>49000</v>
      </c>
      <c r="J386" s="10" t="str">
        <f t="shared" ca="1" si="51"/>
        <v>Offline</v>
      </c>
      <c r="K386" s="10">
        <f t="shared" ca="1" si="52"/>
        <v>49000</v>
      </c>
      <c r="L386" s="10">
        <f t="shared" ca="1" si="53"/>
        <v>196000</v>
      </c>
      <c r="M386" s="12" t="str" cm="1">
        <f t="array" aca="1" ref="M386" ca="1">INDEX($R$33:$R$82, RANDBETWEEN(1, COUNTA($R$33:$R$82)))</f>
        <v>NV33</v>
      </c>
      <c r="N386">
        <f t="shared" ca="1" si="54"/>
        <v>36</v>
      </c>
    </row>
    <row r="387" spans="1:14" ht="16.8" x14ac:dyDescent="0.3">
      <c r="A387" s="7" t="str">
        <f t="shared" si="55"/>
        <v>S0386</v>
      </c>
      <c r="B387" s="8">
        <f t="shared" ca="1" si="56"/>
        <v>44775</v>
      </c>
      <c r="C387" s="15" t="str" cm="1">
        <f t="array" aca="1" ref="C387" ca="1">INDEX($Q$2:$Q$31, RANDBETWEEN(1, COUNTA($Q$2:$Q$31)))</f>
        <v>Caramel Phin Freeze</v>
      </c>
      <c r="D387" s="10" t="str" cm="1">
        <f t="array" aca="1" ref="D387" ca="1">INDEX($R$2:$R$310, RANDBETWEEN(1, COUNTA($Q$2:$Q$310)))</f>
        <v>L</v>
      </c>
      <c r="E387">
        <f t="shared" ca="1" si="57"/>
        <v>4</v>
      </c>
      <c r="F387" cm="1">
        <f t="array" aca="1" ref="F387" ca="1">INDEX($S$2:$S$31, RANDBETWEEN(1, COUNTA($S$2:$S$31)))</f>
        <v>75000</v>
      </c>
      <c r="G387" cm="1">
        <f t="array" aca="1" ref="G387" ca="1">INDEX($S$2:$S$31, RANDBETWEEN(1, COUNTA($S$2:$S$31)))</f>
        <v>39000</v>
      </c>
      <c r="H387">
        <f t="shared" ref="H387:H450" ca="1" si="58">RANDBETWEEN(5,15)</f>
        <v>8</v>
      </c>
      <c r="I387">
        <f t="shared" ref="I387:I450" ca="1" si="59">IF(J387="Online", F387*(1-H387/100), G387)</f>
        <v>39000</v>
      </c>
      <c r="J387" s="10" t="str">
        <f t="shared" ref="J387:J450" ca="1" si="60">IF(RANDBETWEEN(1,2)=1,"Online","Offline")</f>
        <v>Offline</v>
      </c>
      <c r="K387" s="10">
        <f t="shared" ref="K387:K450" ca="1" si="61">I387</f>
        <v>39000</v>
      </c>
      <c r="L387" s="10">
        <f t="shared" ref="L387:L450" ca="1" si="62">E387*K387</f>
        <v>156000</v>
      </c>
      <c r="M387" s="12" t="str" cm="1">
        <f t="array" aca="1" ref="M387" ca="1">INDEX($R$33:$R$82, RANDBETWEEN(1, COUNTA($R$33:$R$82)))</f>
        <v>NV17</v>
      </c>
      <c r="N387">
        <f t="shared" ref="N387:N450" ca="1" si="63" xml:space="preserve"> RANDBETWEEN(2,51)</f>
        <v>33</v>
      </c>
    </row>
    <row r="388" spans="1:14" ht="16.8" x14ac:dyDescent="0.3">
      <c r="A388" s="7" t="str">
        <f t="shared" si="55"/>
        <v>S0387</v>
      </c>
      <c r="B388" s="8">
        <f t="shared" ca="1" si="56"/>
        <v>44738</v>
      </c>
      <c r="C388" s="15" t="str" cm="1">
        <f t="array" aca="1" ref="C388" ca="1">INDEX($Q$2:$Q$31, RANDBETWEEN(1, COUNTA($Q$2:$Q$31)))</f>
        <v xml:space="preserve">Green Tea Freeze </v>
      </c>
      <c r="D388" s="10" t="str" cm="1">
        <f t="array" aca="1" ref="D388" ca="1">INDEX($R$2:$R$310, RANDBETWEEN(1, COUNTA($Q$2:$Q$310)))</f>
        <v>S</v>
      </c>
      <c r="E388">
        <f t="shared" ca="1" si="57"/>
        <v>4</v>
      </c>
      <c r="F388" cm="1">
        <f t="array" aca="1" ref="F388" ca="1">INDEX($S$2:$S$31, RANDBETWEEN(1, COUNTA($S$2:$S$31)))</f>
        <v>55000</v>
      </c>
      <c r="G388" cm="1">
        <f t="array" aca="1" ref="G388" ca="1">INDEX($S$2:$S$31, RANDBETWEEN(1, COUNTA($S$2:$S$31)))</f>
        <v>65000</v>
      </c>
      <c r="H388">
        <f t="shared" ca="1" si="58"/>
        <v>12</v>
      </c>
      <c r="I388">
        <f t="shared" ca="1" si="59"/>
        <v>65000</v>
      </c>
      <c r="J388" s="10" t="str">
        <f t="shared" ca="1" si="60"/>
        <v>Offline</v>
      </c>
      <c r="K388" s="10">
        <f t="shared" ca="1" si="61"/>
        <v>65000</v>
      </c>
      <c r="L388" s="10">
        <f t="shared" ca="1" si="62"/>
        <v>260000</v>
      </c>
      <c r="M388" s="12" t="str" cm="1">
        <f t="array" aca="1" ref="M388" ca="1">INDEX($R$33:$R$82, RANDBETWEEN(1, COUNTA($R$33:$R$82)))</f>
        <v>NV14</v>
      </c>
      <c r="N388">
        <f t="shared" ca="1" si="63"/>
        <v>49</v>
      </c>
    </row>
    <row r="389" spans="1:14" ht="16.8" x14ac:dyDescent="0.3">
      <c r="A389" s="7" t="str">
        <f t="shared" si="55"/>
        <v>S0388</v>
      </c>
      <c r="B389" s="8">
        <f t="shared" ca="1" si="56"/>
        <v>45090</v>
      </c>
      <c r="C389" s="15" t="str" cm="1">
        <f t="array" aca="1" ref="C389" ca="1">INDEX($Q$2:$Q$31, RANDBETWEEN(1, COUNTA($Q$2:$Q$31)))</f>
        <v>Iced Black Coffee</v>
      </c>
      <c r="D389" s="10" t="str" cm="1">
        <f t="array" aca="1" ref="D389" ca="1">INDEX($R$2:$R$310, RANDBETWEEN(1, COUNTA($Q$2:$Q$310)))</f>
        <v>S</v>
      </c>
      <c r="E389">
        <f t="shared" ca="1" si="57"/>
        <v>1</v>
      </c>
      <c r="F389" cm="1">
        <f t="array" aca="1" ref="F389" ca="1">INDEX($S$2:$S$31, RANDBETWEEN(1, COUNTA($S$2:$S$31)))</f>
        <v>49000</v>
      </c>
      <c r="G389" cm="1">
        <f t="array" aca="1" ref="G389" ca="1">INDEX($S$2:$S$31, RANDBETWEEN(1, COUNTA($S$2:$S$31)))</f>
        <v>65000</v>
      </c>
      <c r="H389">
        <f t="shared" ca="1" si="58"/>
        <v>9</v>
      </c>
      <c r="I389">
        <f t="shared" ca="1" si="59"/>
        <v>65000</v>
      </c>
      <c r="J389" s="10" t="str">
        <f t="shared" ca="1" si="60"/>
        <v>Offline</v>
      </c>
      <c r="K389" s="10">
        <f t="shared" ca="1" si="61"/>
        <v>65000</v>
      </c>
      <c r="L389" s="10">
        <f t="shared" ca="1" si="62"/>
        <v>65000</v>
      </c>
      <c r="M389" s="12" t="str" cm="1">
        <f t="array" aca="1" ref="M389" ca="1">INDEX($R$33:$R$82, RANDBETWEEN(1, COUNTA($R$33:$R$82)))</f>
        <v>NV43</v>
      </c>
      <c r="N389">
        <f t="shared" ca="1" si="63"/>
        <v>31</v>
      </c>
    </row>
    <row r="390" spans="1:14" ht="16.8" x14ac:dyDescent="0.3">
      <c r="A390" s="7" t="str">
        <f t="shared" si="55"/>
        <v>S0389</v>
      </c>
      <c r="B390" s="8">
        <f t="shared" ca="1" si="56"/>
        <v>45024</v>
      </c>
      <c r="C390" s="15" t="str" cm="1">
        <f t="array" aca="1" ref="C390" ca="1">INDEX($Q$2:$Q$31, RANDBETWEEN(1, COUNTA($Q$2:$Q$31)))</f>
        <v>Americano</v>
      </c>
      <c r="D390" s="10" t="str" cm="1">
        <f t="array" aca="1" ref="D390" ca="1">INDEX($R$2:$R$310, RANDBETWEEN(1, COUNTA($Q$2:$Q$310)))</f>
        <v>M</v>
      </c>
      <c r="E390">
        <f t="shared" ca="1" si="57"/>
        <v>5</v>
      </c>
      <c r="F390" cm="1">
        <f t="array" aca="1" ref="F390" ca="1">INDEX($S$2:$S$31, RANDBETWEEN(1, COUNTA($S$2:$S$31)))</f>
        <v>69000</v>
      </c>
      <c r="G390" cm="1">
        <f t="array" aca="1" ref="G390" ca="1">INDEX($S$2:$S$31, RANDBETWEEN(1, COUNTA($S$2:$S$31)))</f>
        <v>65000</v>
      </c>
      <c r="H390">
        <f t="shared" ca="1" si="58"/>
        <v>15</v>
      </c>
      <c r="I390">
        <f t="shared" ca="1" si="59"/>
        <v>58650</v>
      </c>
      <c r="J390" s="10" t="str">
        <f t="shared" ca="1" si="60"/>
        <v>Online</v>
      </c>
      <c r="K390" s="10">
        <f t="shared" ca="1" si="61"/>
        <v>58650</v>
      </c>
      <c r="L390" s="10">
        <f t="shared" ca="1" si="62"/>
        <v>293250</v>
      </c>
      <c r="M390" s="12" t="str" cm="1">
        <f t="array" aca="1" ref="M390" ca="1">INDEX($R$33:$R$82, RANDBETWEEN(1, COUNTA($R$33:$R$82)))</f>
        <v>NV24</v>
      </c>
      <c r="N390">
        <f t="shared" ca="1" si="63"/>
        <v>7</v>
      </c>
    </row>
    <row r="391" spans="1:14" ht="16.8" x14ac:dyDescent="0.3">
      <c r="A391" s="7" t="str">
        <f t="shared" si="55"/>
        <v>S0390</v>
      </c>
      <c r="B391" s="8">
        <f t="shared" ca="1" si="56"/>
        <v>44600</v>
      </c>
      <c r="C391" s="15" t="str" cm="1">
        <f t="array" aca="1" ref="C391" ca="1">INDEX($Q$2:$Q$31, RANDBETWEEN(1, COUNTA($Q$2:$Q$31)))</f>
        <v>Cappuccino</v>
      </c>
      <c r="D391" s="10" t="str" cm="1">
        <f t="array" aca="1" ref="D391" ca="1">INDEX($R$2:$R$310, RANDBETWEEN(1, COUNTA($Q$2:$Q$310)))</f>
        <v>M</v>
      </c>
      <c r="E391">
        <f t="shared" ca="1" si="57"/>
        <v>4</v>
      </c>
      <c r="F391" cm="1">
        <f t="array" aca="1" ref="F391" ca="1">INDEX($S$2:$S$31, RANDBETWEEN(1, COUNTA($S$2:$S$31)))</f>
        <v>49000</v>
      </c>
      <c r="G391" cm="1">
        <f t="array" aca="1" ref="G391" ca="1">INDEX($S$2:$S$31, RANDBETWEEN(1, COUNTA($S$2:$S$31)))</f>
        <v>59000</v>
      </c>
      <c r="H391">
        <f t="shared" ca="1" si="58"/>
        <v>15</v>
      </c>
      <c r="I391">
        <f t="shared" ca="1" si="59"/>
        <v>41650</v>
      </c>
      <c r="J391" s="10" t="str">
        <f t="shared" ca="1" si="60"/>
        <v>Online</v>
      </c>
      <c r="K391" s="10">
        <f t="shared" ca="1" si="61"/>
        <v>41650</v>
      </c>
      <c r="L391" s="10">
        <f t="shared" ca="1" si="62"/>
        <v>166600</v>
      </c>
      <c r="M391" s="12" t="str" cm="1">
        <f t="array" aca="1" ref="M391" ca="1">INDEX($R$33:$R$82, RANDBETWEEN(1, COUNTA($R$33:$R$82)))</f>
        <v>NV5</v>
      </c>
      <c r="N391">
        <f t="shared" ca="1" si="63"/>
        <v>18</v>
      </c>
    </row>
    <row r="392" spans="1:14" ht="16.8" x14ac:dyDescent="0.3">
      <c r="A392" s="7" t="str">
        <f t="shared" si="55"/>
        <v>S0391</v>
      </c>
      <c r="B392" s="8">
        <f t="shared" ca="1" si="56"/>
        <v>45061</v>
      </c>
      <c r="C392" s="15" t="str" cm="1">
        <f t="array" aca="1" ref="C392" ca="1">INDEX($Q$2:$Q$31, RANDBETWEEN(1, COUNTA($Q$2:$Q$31)))</f>
        <v>Americano</v>
      </c>
      <c r="D392" s="10" t="str" cm="1">
        <f t="array" aca="1" ref="D392" ca="1">INDEX($R$2:$R$310, RANDBETWEEN(1, COUNTA($Q$2:$Q$310)))</f>
        <v>L</v>
      </c>
      <c r="E392">
        <f t="shared" ca="1" si="57"/>
        <v>5</v>
      </c>
      <c r="F392" cm="1">
        <f t="array" aca="1" ref="F392" ca="1">INDEX($S$2:$S$31, RANDBETWEEN(1, COUNTA($S$2:$S$31)))</f>
        <v>65000</v>
      </c>
      <c r="G392" cm="1">
        <f t="array" aca="1" ref="G392" ca="1">INDEX($S$2:$S$31, RANDBETWEEN(1, COUNTA($S$2:$S$31)))</f>
        <v>69000</v>
      </c>
      <c r="H392">
        <f t="shared" ca="1" si="58"/>
        <v>14</v>
      </c>
      <c r="I392">
        <f t="shared" ca="1" si="59"/>
        <v>55900</v>
      </c>
      <c r="J392" s="10" t="str">
        <f t="shared" ca="1" si="60"/>
        <v>Online</v>
      </c>
      <c r="K392" s="10">
        <f t="shared" ca="1" si="61"/>
        <v>55900</v>
      </c>
      <c r="L392" s="10">
        <f t="shared" ca="1" si="62"/>
        <v>279500</v>
      </c>
      <c r="M392" s="12" t="str" cm="1">
        <f t="array" aca="1" ref="M392" ca="1">INDEX($R$33:$R$82, RANDBETWEEN(1, COUNTA($R$33:$R$82)))</f>
        <v>NV34</v>
      </c>
      <c r="N392">
        <f t="shared" ca="1" si="63"/>
        <v>14</v>
      </c>
    </row>
    <row r="393" spans="1:14" ht="16.8" x14ac:dyDescent="0.3">
      <c r="A393" s="7" t="str">
        <f t="shared" si="55"/>
        <v>S0392</v>
      </c>
      <c r="B393" s="8">
        <f t="shared" ca="1" si="56"/>
        <v>44396</v>
      </c>
      <c r="C393" s="15" t="str" cm="1">
        <f t="array" aca="1" ref="C393" ca="1">INDEX($Q$2:$Q$31, RANDBETWEEN(1, COUNTA($Q$2:$Q$31)))</f>
        <v>Caramel Phin Freeze</v>
      </c>
      <c r="D393" s="10" t="str" cm="1">
        <f t="array" aca="1" ref="D393" ca="1">INDEX($R$2:$R$310, RANDBETWEEN(1, COUNTA($Q$2:$Q$310)))</f>
        <v>M</v>
      </c>
      <c r="E393">
        <f t="shared" ca="1" si="57"/>
        <v>4</v>
      </c>
      <c r="F393" cm="1">
        <f t="array" aca="1" ref="F393" ca="1">INDEX($S$2:$S$31, RANDBETWEEN(1, COUNTA($S$2:$S$31)))</f>
        <v>45000</v>
      </c>
      <c r="G393" cm="1">
        <f t="array" aca="1" ref="G393" ca="1">INDEX($S$2:$S$31, RANDBETWEEN(1, COUNTA($S$2:$S$31)))</f>
        <v>59000</v>
      </c>
      <c r="H393">
        <f t="shared" ca="1" si="58"/>
        <v>7</v>
      </c>
      <c r="I393">
        <f t="shared" ca="1" si="59"/>
        <v>59000</v>
      </c>
      <c r="J393" s="10" t="str">
        <f t="shared" ca="1" si="60"/>
        <v>Offline</v>
      </c>
      <c r="K393" s="10">
        <f t="shared" ca="1" si="61"/>
        <v>59000</v>
      </c>
      <c r="L393" s="10">
        <f t="shared" ca="1" si="62"/>
        <v>236000</v>
      </c>
      <c r="M393" s="12" t="str" cm="1">
        <f t="array" aca="1" ref="M393" ca="1">INDEX($R$33:$R$82, RANDBETWEEN(1, COUNTA($R$33:$R$82)))</f>
        <v>NV17</v>
      </c>
      <c r="N393">
        <f t="shared" ca="1" si="63"/>
        <v>14</v>
      </c>
    </row>
    <row r="394" spans="1:14" ht="16.8" x14ac:dyDescent="0.3">
      <c r="A394" s="7" t="str">
        <f t="shared" si="55"/>
        <v>S0393</v>
      </c>
      <c r="B394" s="8">
        <f t="shared" ca="1" si="56"/>
        <v>45190</v>
      </c>
      <c r="C394" s="15" t="str" cm="1">
        <f t="array" aca="1" ref="C394" ca="1">INDEX($Q$2:$Q$31, RANDBETWEEN(1, COUNTA($Q$2:$Q$31)))</f>
        <v>Americano</v>
      </c>
      <c r="D394" s="10" t="str" cm="1">
        <f t="array" aca="1" ref="D394" ca="1">INDEX($R$2:$R$310, RANDBETWEEN(1, COUNTA($Q$2:$Q$310)))</f>
        <v>S</v>
      </c>
      <c r="E394">
        <f t="shared" ca="1" si="57"/>
        <v>1</v>
      </c>
      <c r="F394" cm="1">
        <f t="array" aca="1" ref="F394" ca="1">INDEX($S$2:$S$31, RANDBETWEEN(1, COUNTA($S$2:$S$31)))</f>
        <v>75000</v>
      </c>
      <c r="G394" cm="1">
        <f t="array" aca="1" ref="G394" ca="1">INDEX($S$2:$S$31, RANDBETWEEN(1, COUNTA($S$2:$S$31)))</f>
        <v>35000</v>
      </c>
      <c r="H394">
        <f t="shared" ca="1" si="58"/>
        <v>8</v>
      </c>
      <c r="I394">
        <f t="shared" ca="1" si="59"/>
        <v>35000</v>
      </c>
      <c r="J394" s="10" t="str">
        <f t="shared" ca="1" si="60"/>
        <v>Offline</v>
      </c>
      <c r="K394" s="10">
        <f t="shared" ca="1" si="61"/>
        <v>35000</v>
      </c>
      <c r="L394" s="10">
        <f t="shared" ca="1" si="62"/>
        <v>35000</v>
      </c>
      <c r="M394" s="12" t="str" cm="1">
        <f t="array" aca="1" ref="M394" ca="1">INDEX($R$33:$R$82, RANDBETWEEN(1, COUNTA($R$33:$R$82)))</f>
        <v>NV8</v>
      </c>
      <c r="N394">
        <f t="shared" ca="1" si="63"/>
        <v>49</v>
      </c>
    </row>
    <row r="395" spans="1:14" ht="16.8" x14ac:dyDescent="0.3">
      <c r="A395" s="7" t="str">
        <f t="shared" si="55"/>
        <v>S0394</v>
      </c>
      <c r="B395" s="8">
        <f t="shared" ca="1" si="56"/>
        <v>45005</v>
      </c>
      <c r="C395" s="15" t="str" cm="1">
        <f t="array" aca="1" ref="C395" ca="1">INDEX($Q$2:$Q$31, RANDBETWEEN(1, COUNTA($Q$2:$Q$31)))</f>
        <v>Caramel Phin Freeze</v>
      </c>
      <c r="D395" s="10" t="str" cm="1">
        <f t="array" aca="1" ref="D395" ca="1">INDEX($R$2:$R$310, RANDBETWEEN(1, COUNTA($Q$2:$Q$310)))</f>
        <v>L</v>
      </c>
      <c r="E395">
        <f t="shared" ca="1" si="57"/>
        <v>3</v>
      </c>
      <c r="F395" cm="1">
        <f t="array" aca="1" ref="F395" ca="1">INDEX($S$2:$S$31, RANDBETWEEN(1, COUNTA($S$2:$S$31)))</f>
        <v>59000</v>
      </c>
      <c r="G395" cm="1">
        <f t="array" aca="1" ref="G395" ca="1">INDEX($S$2:$S$31, RANDBETWEEN(1, COUNTA($S$2:$S$31)))</f>
        <v>59000</v>
      </c>
      <c r="H395">
        <f t="shared" ca="1" si="58"/>
        <v>10</v>
      </c>
      <c r="I395">
        <f t="shared" ca="1" si="59"/>
        <v>59000</v>
      </c>
      <c r="J395" s="10" t="str">
        <f t="shared" ca="1" si="60"/>
        <v>Offline</v>
      </c>
      <c r="K395" s="10">
        <f t="shared" ca="1" si="61"/>
        <v>59000</v>
      </c>
      <c r="L395" s="10">
        <f t="shared" ca="1" si="62"/>
        <v>177000</v>
      </c>
      <c r="M395" s="12" t="str" cm="1">
        <f t="array" aca="1" ref="M395" ca="1">INDEX($R$33:$R$82, RANDBETWEEN(1, COUNTA($R$33:$R$82)))</f>
        <v>NV49</v>
      </c>
      <c r="N395">
        <f t="shared" ca="1" si="63"/>
        <v>2</v>
      </c>
    </row>
    <row r="396" spans="1:14" ht="16.8" x14ac:dyDescent="0.3">
      <c r="A396" s="7" t="str">
        <f t="shared" si="55"/>
        <v>S0395</v>
      </c>
      <c r="B396" s="8">
        <f t="shared" ca="1" si="56"/>
        <v>44325</v>
      </c>
      <c r="C396" s="15" t="str" cm="1">
        <f t="array" aca="1" ref="C396" ca="1">INDEX($Q$2:$Q$31, RANDBETWEEN(1, COUNTA($Q$2:$Q$31)))</f>
        <v>Latte</v>
      </c>
      <c r="D396" s="10" t="str" cm="1">
        <f t="array" aca="1" ref="D396" ca="1">INDEX($R$2:$R$310, RANDBETWEEN(1, COUNTA($Q$2:$Q$310)))</f>
        <v>L</v>
      </c>
      <c r="E396">
        <f t="shared" ca="1" si="57"/>
        <v>3</v>
      </c>
      <c r="F396" cm="1">
        <f t="array" aca="1" ref="F396" ca="1">INDEX($S$2:$S$31, RANDBETWEEN(1, COUNTA($S$2:$S$31)))</f>
        <v>65000</v>
      </c>
      <c r="G396" cm="1">
        <f t="array" aca="1" ref="G396" ca="1">INDEX($S$2:$S$31, RANDBETWEEN(1, COUNTA($S$2:$S$31)))</f>
        <v>49000</v>
      </c>
      <c r="H396">
        <f t="shared" ca="1" si="58"/>
        <v>12</v>
      </c>
      <c r="I396">
        <f t="shared" ca="1" si="59"/>
        <v>49000</v>
      </c>
      <c r="J396" s="10" t="str">
        <f t="shared" ca="1" si="60"/>
        <v>Offline</v>
      </c>
      <c r="K396" s="10">
        <f t="shared" ca="1" si="61"/>
        <v>49000</v>
      </c>
      <c r="L396" s="10">
        <f t="shared" ca="1" si="62"/>
        <v>147000</v>
      </c>
      <c r="M396" s="12" t="str" cm="1">
        <f t="array" aca="1" ref="M396" ca="1">INDEX($R$33:$R$82, RANDBETWEEN(1, COUNTA($R$33:$R$82)))</f>
        <v>NV38</v>
      </c>
      <c r="N396">
        <f t="shared" ca="1" si="63"/>
        <v>19</v>
      </c>
    </row>
    <row r="397" spans="1:14" ht="16.8" x14ac:dyDescent="0.3">
      <c r="A397" s="7" t="str">
        <f t="shared" si="55"/>
        <v>S0396</v>
      </c>
      <c r="B397" s="8">
        <f t="shared" ca="1" si="56"/>
        <v>44647</v>
      </c>
      <c r="C397" s="15" t="str" cm="1">
        <f t="array" aca="1" ref="C397" ca="1">INDEX($Q$2:$Q$31, RANDBETWEEN(1, COUNTA($Q$2:$Q$31)))</f>
        <v>Latte</v>
      </c>
      <c r="D397" s="10" t="str" cm="1">
        <f t="array" aca="1" ref="D397" ca="1">INDEX($R$2:$R$310, RANDBETWEEN(1, COUNTA($Q$2:$Q$310)))</f>
        <v>S</v>
      </c>
      <c r="E397">
        <f t="shared" ca="1" si="57"/>
        <v>3</v>
      </c>
      <c r="F397" cm="1">
        <f t="array" aca="1" ref="F397" ca="1">INDEX($S$2:$S$31, RANDBETWEEN(1, COUNTA($S$2:$S$31)))</f>
        <v>65000</v>
      </c>
      <c r="G397" cm="1">
        <f t="array" aca="1" ref="G397" ca="1">INDEX($S$2:$S$31, RANDBETWEEN(1, COUNTA($S$2:$S$31)))</f>
        <v>65000</v>
      </c>
      <c r="H397">
        <f t="shared" ca="1" si="58"/>
        <v>15</v>
      </c>
      <c r="I397">
        <f t="shared" ca="1" si="59"/>
        <v>55250</v>
      </c>
      <c r="J397" s="10" t="str">
        <f t="shared" ca="1" si="60"/>
        <v>Online</v>
      </c>
      <c r="K397" s="10">
        <f t="shared" ca="1" si="61"/>
        <v>55250</v>
      </c>
      <c r="L397" s="10">
        <f t="shared" ca="1" si="62"/>
        <v>165750</v>
      </c>
      <c r="M397" s="12" t="str" cm="1">
        <f t="array" aca="1" ref="M397" ca="1">INDEX($R$33:$R$82, RANDBETWEEN(1, COUNTA($R$33:$R$82)))</f>
        <v>NV37</v>
      </c>
      <c r="N397">
        <f t="shared" ca="1" si="63"/>
        <v>29</v>
      </c>
    </row>
    <row r="398" spans="1:14" ht="16.8" x14ac:dyDescent="0.3">
      <c r="A398" s="7" t="str">
        <f t="shared" si="55"/>
        <v>S0397</v>
      </c>
      <c r="B398" s="8">
        <f t="shared" ca="1" si="56"/>
        <v>44742</v>
      </c>
      <c r="C398" s="15" t="str" cm="1">
        <f t="array" aca="1" ref="C398" ca="1">INDEX($Q$2:$Q$31, RANDBETWEEN(1, COUNTA($Q$2:$Q$31)))</f>
        <v xml:space="preserve">Chocolate Freeze </v>
      </c>
      <c r="D398" s="10" t="str" cm="1">
        <f t="array" aca="1" ref="D398" ca="1">INDEX($R$2:$R$310, RANDBETWEEN(1, COUNTA($Q$2:$Q$310)))</f>
        <v>M</v>
      </c>
      <c r="E398">
        <f t="shared" ca="1" si="57"/>
        <v>5</v>
      </c>
      <c r="F398" cm="1">
        <f t="array" aca="1" ref="F398" ca="1">INDEX($S$2:$S$31, RANDBETWEEN(1, COUNTA($S$2:$S$31)))</f>
        <v>55000</v>
      </c>
      <c r="G398" cm="1">
        <f t="array" aca="1" ref="G398" ca="1">INDEX($S$2:$S$31, RANDBETWEEN(1, COUNTA($S$2:$S$31)))</f>
        <v>35000</v>
      </c>
      <c r="H398">
        <f t="shared" ca="1" si="58"/>
        <v>12</v>
      </c>
      <c r="I398">
        <f t="shared" ca="1" si="59"/>
        <v>35000</v>
      </c>
      <c r="J398" s="10" t="str">
        <f t="shared" ca="1" si="60"/>
        <v>Offline</v>
      </c>
      <c r="K398" s="10">
        <f t="shared" ca="1" si="61"/>
        <v>35000</v>
      </c>
      <c r="L398" s="10">
        <f t="shared" ca="1" si="62"/>
        <v>175000</v>
      </c>
      <c r="M398" s="12" t="str" cm="1">
        <f t="array" aca="1" ref="M398" ca="1">INDEX($R$33:$R$82, RANDBETWEEN(1, COUNTA($R$33:$R$82)))</f>
        <v>NV6</v>
      </c>
      <c r="N398">
        <f t="shared" ca="1" si="63"/>
        <v>24</v>
      </c>
    </row>
    <row r="399" spans="1:14" ht="16.8" x14ac:dyDescent="0.3">
      <c r="A399" s="7" t="str">
        <f t="shared" si="55"/>
        <v>S0398</v>
      </c>
      <c r="B399" s="8">
        <f t="shared" ca="1" si="56"/>
        <v>45206</v>
      </c>
      <c r="C399" s="15" t="str" cm="1">
        <f t="array" aca="1" ref="C399" ca="1">INDEX($Q$2:$Q$31, RANDBETWEEN(1, COUNTA($Q$2:$Q$31)))</f>
        <v xml:space="preserve">Green Tea Freeze </v>
      </c>
      <c r="D399" s="10" t="str" cm="1">
        <f t="array" aca="1" ref="D399" ca="1">INDEX($R$2:$R$310, RANDBETWEEN(1, COUNTA($Q$2:$Q$310)))</f>
        <v>L</v>
      </c>
      <c r="E399">
        <f t="shared" ca="1" si="57"/>
        <v>2</v>
      </c>
      <c r="F399" cm="1">
        <f t="array" aca="1" ref="F399" ca="1">INDEX($S$2:$S$31, RANDBETWEEN(1, COUNTA($S$2:$S$31)))</f>
        <v>39000</v>
      </c>
      <c r="G399" cm="1">
        <f t="array" aca="1" ref="G399" ca="1">INDEX($S$2:$S$31, RANDBETWEEN(1, COUNTA($S$2:$S$31)))</f>
        <v>75000</v>
      </c>
      <c r="H399">
        <f t="shared" ca="1" si="58"/>
        <v>13</v>
      </c>
      <c r="I399">
        <f t="shared" ca="1" si="59"/>
        <v>75000</v>
      </c>
      <c r="J399" s="10" t="str">
        <f t="shared" ca="1" si="60"/>
        <v>Offline</v>
      </c>
      <c r="K399" s="10">
        <f t="shared" ca="1" si="61"/>
        <v>75000</v>
      </c>
      <c r="L399" s="10">
        <f t="shared" ca="1" si="62"/>
        <v>150000</v>
      </c>
      <c r="M399" s="12" t="str" cm="1">
        <f t="array" aca="1" ref="M399" ca="1">INDEX($R$33:$R$82, RANDBETWEEN(1, COUNTA($R$33:$R$82)))</f>
        <v>NV49</v>
      </c>
      <c r="N399">
        <f t="shared" ca="1" si="63"/>
        <v>8</v>
      </c>
    </row>
    <row r="400" spans="1:14" ht="16.8" x14ac:dyDescent="0.3">
      <c r="A400" s="7" t="str">
        <f t="shared" si="55"/>
        <v>S0399</v>
      </c>
      <c r="B400" s="8">
        <f t="shared" ca="1" si="56"/>
        <v>44381</v>
      </c>
      <c r="C400" s="15" t="str" cm="1">
        <f t="array" aca="1" ref="C400" ca="1">INDEX($Q$2:$Q$31, RANDBETWEEN(1, COUNTA($Q$2:$Q$31)))</f>
        <v>Iced Black Coffee</v>
      </c>
      <c r="D400" s="10" t="str" cm="1">
        <f t="array" aca="1" ref="D400" ca="1">INDEX($R$2:$R$310, RANDBETWEEN(1, COUNTA($Q$2:$Q$310)))</f>
        <v>S</v>
      </c>
      <c r="E400">
        <f t="shared" ca="1" si="57"/>
        <v>3</v>
      </c>
      <c r="F400" cm="1">
        <f t="array" aca="1" ref="F400" ca="1">INDEX($S$2:$S$31, RANDBETWEEN(1, COUNTA($S$2:$S$31)))</f>
        <v>69000</v>
      </c>
      <c r="G400" cm="1">
        <f t="array" aca="1" ref="G400" ca="1">INDEX($S$2:$S$31, RANDBETWEEN(1, COUNTA($S$2:$S$31)))</f>
        <v>49000</v>
      </c>
      <c r="H400">
        <f t="shared" ca="1" si="58"/>
        <v>9</v>
      </c>
      <c r="I400">
        <f t="shared" ca="1" si="59"/>
        <v>62790</v>
      </c>
      <c r="J400" s="10" t="str">
        <f t="shared" ca="1" si="60"/>
        <v>Online</v>
      </c>
      <c r="K400" s="10">
        <f t="shared" ca="1" si="61"/>
        <v>62790</v>
      </c>
      <c r="L400" s="10">
        <f t="shared" ca="1" si="62"/>
        <v>188370</v>
      </c>
      <c r="M400" s="12" t="str" cm="1">
        <f t="array" aca="1" ref="M400" ca="1">INDEX($R$33:$R$82, RANDBETWEEN(1, COUNTA($R$33:$R$82)))</f>
        <v>NV45</v>
      </c>
      <c r="N400">
        <f t="shared" ca="1" si="63"/>
        <v>38</v>
      </c>
    </row>
    <row r="401" spans="1:14" ht="16.8" x14ac:dyDescent="0.3">
      <c r="A401" s="7" t="str">
        <f t="shared" si="55"/>
        <v>S0400</v>
      </c>
      <c r="B401" s="8">
        <f t="shared" ca="1" si="56"/>
        <v>45161</v>
      </c>
      <c r="C401" s="15" t="str" cm="1">
        <f t="array" aca="1" ref="C401" ca="1">INDEX($Q$2:$Q$31, RANDBETWEEN(1, COUNTA($Q$2:$Q$31)))</f>
        <v>Mocha</v>
      </c>
      <c r="D401" s="10" t="str" cm="1">
        <f t="array" aca="1" ref="D401" ca="1">INDEX($R$2:$R$310, RANDBETWEEN(1, COUNTA($Q$2:$Q$310)))</f>
        <v>M</v>
      </c>
      <c r="E401">
        <f t="shared" ca="1" si="57"/>
        <v>5</v>
      </c>
      <c r="F401" cm="1">
        <f t="array" aca="1" ref="F401" ca="1">INDEX($S$2:$S$31, RANDBETWEEN(1, COUNTA($S$2:$S$31)))</f>
        <v>35000</v>
      </c>
      <c r="G401" cm="1">
        <f t="array" aca="1" ref="G401" ca="1">INDEX($S$2:$S$31, RANDBETWEEN(1, COUNTA($S$2:$S$31)))</f>
        <v>49000</v>
      </c>
      <c r="H401">
        <f t="shared" ca="1" si="58"/>
        <v>8</v>
      </c>
      <c r="I401">
        <f t="shared" ca="1" si="59"/>
        <v>49000</v>
      </c>
      <c r="J401" s="10" t="str">
        <f t="shared" ca="1" si="60"/>
        <v>Offline</v>
      </c>
      <c r="K401" s="10">
        <f t="shared" ca="1" si="61"/>
        <v>49000</v>
      </c>
      <c r="L401" s="10">
        <f t="shared" ca="1" si="62"/>
        <v>245000</v>
      </c>
      <c r="M401" s="12" t="str" cm="1">
        <f t="array" aca="1" ref="M401" ca="1">INDEX($R$33:$R$82, RANDBETWEEN(1, COUNTA($R$33:$R$82)))</f>
        <v>NV23</v>
      </c>
      <c r="N401">
        <f t="shared" ca="1" si="63"/>
        <v>38</v>
      </c>
    </row>
    <row r="402" spans="1:14" ht="16.8" x14ac:dyDescent="0.3">
      <c r="A402" s="7" t="str">
        <f t="shared" si="55"/>
        <v>S0401</v>
      </c>
      <c r="B402" s="8">
        <f t="shared" ca="1" si="56"/>
        <v>45255</v>
      </c>
      <c r="C402" s="15" t="str" cm="1">
        <f t="array" aca="1" ref="C402" ca="1">INDEX($Q$2:$Q$31, RANDBETWEEN(1, COUNTA($Q$2:$Q$31)))</f>
        <v>Iced Black Coffee</v>
      </c>
      <c r="D402" s="10" t="str" cm="1">
        <f t="array" aca="1" ref="D402" ca="1">INDEX($R$2:$R$310, RANDBETWEEN(1, COUNTA($Q$2:$Q$310)))</f>
        <v>M</v>
      </c>
      <c r="E402">
        <f t="shared" ca="1" si="57"/>
        <v>5</v>
      </c>
      <c r="F402" cm="1">
        <f t="array" aca="1" ref="F402" ca="1">INDEX($S$2:$S$31, RANDBETWEEN(1, COUNTA($S$2:$S$31)))</f>
        <v>55000</v>
      </c>
      <c r="G402" cm="1">
        <f t="array" aca="1" ref="G402" ca="1">INDEX($S$2:$S$31, RANDBETWEEN(1, COUNTA($S$2:$S$31)))</f>
        <v>55000</v>
      </c>
      <c r="H402">
        <f t="shared" ca="1" si="58"/>
        <v>10</v>
      </c>
      <c r="I402">
        <f t="shared" ca="1" si="59"/>
        <v>49500</v>
      </c>
      <c r="J402" s="10" t="str">
        <f t="shared" ca="1" si="60"/>
        <v>Online</v>
      </c>
      <c r="K402" s="10">
        <f t="shared" ca="1" si="61"/>
        <v>49500</v>
      </c>
      <c r="L402" s="10">
        <f t="shared" ca="1" si="62"/>
        <v>247500</v>
      </c>
      <c r="M402" s="12" t="str" cm="1">
        <f t="array" aca="1" ref="M402" ca="1">INDEX($R$33:$R$82, RANDBETWEEN(1, COUNTA($R$33:$R$82)))</f>
        <v>NV33</v>
      </c>
      <c r="N402">
        <f t="shared" ca="1" si="63"/>
        <v>17</v>
      </c>
    </row>
    <row r="403" spans="1:14" ht="16.8" x14ac:dyDescent="0.3">
      <c r="A403" s="7" t="str">
        <f t="shared" si="55"/>
        <v>S0402</v>
      </c>
      <c r="B403" s="8">
        <f t="shared" ca="1" si="56"/>
        <v>45114</v>
      </c>
      <c r="C403" s="15" t="str" cm="1">
        <f t="array" aca="1" ref="C403" ca="1">INDEX($Q$2:$Q$31, RANDBETWEEN(1, COUNTA($Q$2:$Q$31)))</f>
        <v>Cappuccino</v>
      </c>
      <c r="D403" s="10" t="str" cm="1">
        <f t="array" aca="1" ref="D403" ca="1">INDEX($R$2:$R$310, RANDBETWEEN(1, COUNTA($Q$2:$Q$310)))</f>
        <v>L</v>
      </c>
      <c r="E403">
        <f t="shared" ca="1" si="57"/>
        <v>4</v>
      </c>
      <c r="F403" cm="1">
        <f t="array" aca="1" ref="F403" ca="1">INDEX($S$2:$S$31, RANDBETWEEN(1, COUNTA($S$2:$S$31)))</f>
        <v>49000</v>
      </c>
      <c r="G403" cm="1">
        <f t="array" aca="1" ref="G403" ca="1">INDEX($S$2:$S$31, RANDBETWEEN(1, COUNTA($S$2:$S$31)))</f>
        <v>59000</v>
      </c>
      <c r="H403">
        <f t="shared" ca="1" si="58"/>
        <v>13</v>
      </c>
      <c r="I403">
        <f t="shared" ca="1" si="59"/>
        <v>42630</v>
      </c>
      <c r="J403" s="10" t="str">
        <f t="shared" ca="1" si="60"/>
        <v>Online</v>
      </c>
      <c r="K403" s="10">
        <f t="shared" ca="1" si="61"/>
        <v>42630</v>
      </c>
      <c r="L403" s="10">
        <f t="shared" ca="1" si="62"/>
        <v>170520</v>
      </c>
      <c r="M403" s="12" t="str" cm="1">
        <f t="array" aca="1" ref="M403" ca="1">INDEX($R$33:$R$82, RANDBETWEEN(1, COUNTA($R$33:$R$82)))</f>
        <v>NV21</v>
      </c>
      <c r="N403">
        <f t="shared" ca="1" si="63"/>
        <v>39</v>
      </c>
    </row>
    <row r="404" spans="1:14" ht="16.8" x14ac:dyDescent="0.3">
      <c r="A404" s="7" t="str">
        <f t="shared" si="55"/>
        <v>S0403</v>
      </c>
      <c r="B404" s="8">
        <f t="shared" ca="1" si="56"/>
        <v>44853</v>
      </c>
      <c r="C404" s="15" t="str" cm="1">
        <f t="array" aca="1" ref="C404" ca="1">INDEX($Q$2:$Q$31, RANDBETWEEN(1, COUNTA($Q$2:$Q$31)))</f>
        <v>Americano</v>
      </c>
      <c r="D404" s="10" t="str" cm="1">
        <f t="array" aca="1" ref="D404" ca="1">INDEX($R$2:$R$310, RANDBETWEEN(1, COUNTA($Q$2:$Q$310)))</f>
        <v>S</v>
      </c>
      <c r="E404">
        <f t="shared" ca="1" si="57"/>
        <v>4</v>
      </c>
      <c r="F404" cm="1">
        <f t="array" aca="1" ref="F404" ca="1">INDEX($S$2:$S$31, RANDBETWEEN(1, COUNTA($S$2:$S$31)))</f>
        <v>49000</v>
      </c>
      <c r="G404" cm="1">
        <f t="array" aca="1" ref="G404" ca="1">INDEX($S$2:$S$31, RANDBETWEEN(1, COUNTA($S$2:$S$31)))</f>
        <v>65000</v>
      </c>
      <c r="H404">
        <f t="shared" ca="1" si="58"/>
        <v>13</v>
      </c>
      <c r="I404">
        <f t="shared" ca="1" si="59"/>
        <v>65000</v>
      </c>
      <c r="J404" s="10" t="str">
        <f t="shared" ca="1" si="60"/>
        <v>Offline</v>
      </c>
      <c r="K404" s="10">
        <f t="shared" ca="1" si="61"/>
        <v>65000</v>
      </c>
      <c r="L404" s="10">
        <f t="shared" ca="1" si="62"/>
        <v>260000</v>
      </c>
      <c r="M404" s="12" t="str" cm="1">
        <f t="array" aca="1" ref="M404" ca="1">INDEX($R$33:$R$82, RANDBETWEEN(1, COUNTA($R$33:$R$82)))</f>
        <v>NV30</v>
      </c>
      <c r="N404">
        <f t="shared" ca="1" si="63"/>
        <v>38</v>
      </c>
    </row>
    <row r="405" spans="1:14" ht="16.8" x14ac:dyDescent="0.3">
      <c r="A405" s="7" t="str">
        <f t="shared" si="55"/>
        <v>S0404</v>
      </c>
      <c r="B405" s="8">
        <f t="shared" ca="1" si="56"/>
        <v>44836</v>
      </c>
      <c r="C405" s="15" t="str" cm="1">
        <f t="array" aca="1" ref="C405" ca="1">INDEX($Q$2:$Q$31, RANDBETWEEN(1, COUNTA($Q$2:$Q$31)))</f>
        <v xml:space="preserve">Green Tea Freeze </v>
      </c>
      <c r="D405" s="10" t="str" cm="1">
        <f t="array" aca="1" ref="D405" ca="1">INDEX($R$2:$R$310, RANDBETWEEN(1, COUNTA($Q$2:$Q$310)))</f>
        <v>M</v>
      </c>
      <c r="E405">
        <f t="shared" ca="1" si="57"/>
        <v>1</v>
      </c>
      <c r="F405" cm="1">
        <f t="array" aca="1" ref="F405" ca="1">INDEX($S$2:$S$31, RANDBETWEEN(1, COUNTA($S$2:$S$31)))</f>
        <v>39000</v>
      </c>
      <c r="G405" cm="1">
        <f t="array" aca="1" ref="G405" ca="1">INDEX($S$2:$S$31, RANDBETWEEN(1, COUNTA($S$2:$S$31)))</f>
        <v>29000</v>
      </c>
      <c r="H405">
        <f t="shared" ca="1" si="58"/>
        <v>12</v>
      </c>
      <c r="I405">
        <f t="shared" ca="1" si="59"/>
        <v>29000</v>
      </c>
      <c r="J405" s="10" t="str">
        <f t="shared" ca="1" si="60"/>
        <v>Offline</v>
      </c>
      <c r="K405" s="10">
        <f t="shared" ca="1" si="61"/>
        <v>29000</v>
      </c>
      <c r="L405" s="10">
        <f t="shared" ca="1" si="62"/>
        <v>29000</v>
      </c>
      <c r="M405" s="12" t="str" cm="1">
        <f t="array" aca="1" ref="M405" ca="1">INDEX($R$33:$R$82, RANDBETWEEN(1, COUNTA($R$33:$R$82)))</f>
        <v>NV44</v>
      </c>
      <c r="N405">
        <f t="shared" ca="1" si="63"/>
        <v>41</v>
      </c>
    </row>
    <row r="406" spans="1:14" ht="16.8" x14ac:dyDescent="0.3">
      <c r="A406" s="7" t="str">
        <f t="shared" si="55"/>
        <v>S0405</v>
      </c>
      <c r="B406" s="8">
        <f t="shared" ca="1" si="56"/>
        <v>44597</v>
      </c>
      <c r="C406" s="15" t="str" cm="1">
        <f t="array" aca="1" ref="C406" ca="1">INDEX($Q$2:$Q$31, RANDBETWEEN(1, COUNTA($Q$2:$Q$31)))</f>
        <v xml:space="preserve">Chocolate Freeze </v>
      </c>
      <c r="D406" s="10" t="str" cm="1">
        <f t="array" aca="1" ref="D406" ca="1">INDEX($R$2:$R$310, RANDBETWEEN(1, COUNTA($Q$2:$Q$310)))</f>
        <v>M</v>
      </c>
      <c r="E406">
        <f t="shared" ca="1" si="57"/>
        <v>5</v>
      </c>
      <c r="F406" cm="1">
        <f t="array" aca="1" ref="F406" ca="1">INDEX($S$2:$S$31, RANDBETWEEN(1, COUNTA($S$2:$S$31)))</f>
        <v>65000</v>
      </c>
      <c r="G406" cm="1">
        <f t="array" aca="1" ref="G406" ca="1">INDEX($S$2:$S$31, RANDBETWEEN(1, COUNTA($S$2:$S$31)))</f>
        <v>49000</v>
      </c>
      <c r="H406">
        <f t="shared" ca="1" si="58"/>
        <v>12</v>
      </c>
      <c r="I406">
        <f t="shared" ca="1" si="59"/>
        <v>57200</v>
      </c>
      <c r="J406" s="10" t="str">
        <f t="shared" ca="1" si="60"/>
        <v>Online</v>
      </c>
      <c r="K406" s="10">
        <f t="shared" ca="1" si="61"/>
        <v>57200</v>
      </c>
      <c r="L406" s="10">
        <f t="shared" ca="1" si="62"/>
        <v>286000</v>
      </c>
      <c r="M406" s="12" t="str" cm="1">
        <f t="array" aca="1" ref="M406" ca="1">INDEX($R$33:$R$82, RANDBETWEEN(1, COUNTA($R$33:$R$82)))</f>
        <v>NV44</v>
      </c>
      <c r="N406">
        <f t="shared" ca="1" si="63"/>
        <v>9</v>
      </c>
    </row>
    <row r="407" spans="1:14" ht="16.8" x14ac:dyDescent="0.3">
      <c r="A407" s="7" t="str">
        <f t="shared" si="55"/>
        <v>S0406</v>
      </c>
      <c r="B407" s="8">
        <f t="shared" ca="1" si="56"/>
        <v>44773</v>
      </c>
      <c r="C407" s="15" t="str" cm="1">
        <f t="array" aca="1" ref="C407" ca="1">INDEX($Q$2:$Q$31, RANDBETWEEN(1, COUNTA($Q$2:$Q$31)))</f>
        <v>Mocha</v>
      </c>
      <c r="D407" s="10" t="str" cm="1">
        <f t="array" aca="1" ref="D407" ca="1">INDEX($R$2:$R$310, RANDBETWEEN(1, COUNTA($Q$2:$Q$310)))</f>
        <v>L</v>
      </c>
      <c r="E407">
        <f t="shared" ca="1" si="57"/>
        <v>1</v>
      </c>
      <c r="F407" cm="1">
        <f t="array" aca="1" ref="F407" ca="1">INDEX($S$2:$S$31, RANDBETWEEN(1, COUNTA($S$2:$S$31)))</f>
        <v>65000</v>
      </c>
      <c r="G407" cm="1">
        <f t="array" aca="1" ref="G407" ca="1">INDEX($S$2:$S$31, RANDBETWEEN(1, COUNTA($S$2:$S$31)))</f>
        <v>59000</v>
      </c>
      <c r="H407">
        <f t="shared" ca="1" si="58"/>
        <v>10</v>
      </c>
      <c r="I407">
        <f t="shared" ca="1" si="59"/>
        <v>59000</v>
      </c>
      <c r="J407" s="10" t="str">
        <f t="shared" ca="1" si="60"/>
        <v>Offline</v>
      </c>
      <c r="K407" s="10">
        <f t="shared" ca="1" si="61"/>
        <v>59000</v>
      </c>
      <c r="L407" s="10">
        <f t="shared" ca="1" si="62"/>
        <v>59000</v>
      </c>
      <c r="M407" s="12" t="str" cm="1">
        <f t="array" aca="1" ref="M407" ca="1">INDEX($R$33:$R$82, RANDBETWEEN(1, COUNTA($R$33:$R$82)))</f>
        <v>NV34</v>
      </c>
      <c r="N407">
        <f t="shared" ca="1" si="63"/>
        <v>41</v>
      </c>
    </row>
    <row r="408" spans="1:14" ht="16.8" x14ac:dyDescent="0.3">
      <c r="A408" s="7" t="str">
        <f t="shared" si="55"/>
        <v>S0407</v>
      </c>
      <c r="B408" s="8">
        <f t="shared" ca="1" si="56"/>
        <v>44878</v>
      </c>
      <c r="C408" s="15" t="str" cm="1">
        <f t="array" aca="1" ref="C408" ca="1">INDEX($Q$2:$Q$31, RANDBETWEEN(1, COUNTA($Q$2:$Q$31)))</f>
        <v>Americano</v>
      </c>
      <c r="D408" s="10" t="str" cm="1">
        <f t="array" aca="1" ref="D408" ca="1">INDEX($R$2:$R$310, RANDBETWEEN(1, COUNTA($Q$2:$Q$310)))</f>
        <v>S</v>
      </c>
      <c r="E408">
        <f t="shared" ca="1" si="57"/>
        <v>1</v>
      </c>
      <c r="F408" cm="1">
        <f t="array" aca="1" ref="F408" ca="1">INDEX($S$2:$S$31, RANDBETWEEN(1, COUNTA($S$2:$S$31)))</f>
        <v>59000</v>
      </c>
      <c r="G408" cm="1">
        <f t="array" aca="1" ref="G408" ca="1">INDEX($S$2:$S$31, RANDBETWEEN(1, COUNTA($S$2:$S$31)))</f>
        <v>65000</v>
      </c>
      <c r="H408">
        <f t="shared" ca="1" si="58"/>
        <v>10</v>
      </c>
      <c r="I408">
        <f t="shared" ca="1" si="59"/>
        <v>65000</v>
      </c>
      <c r="J408" s="10" t="str">
        <f t="shared" ca="1" si="60"/>
        <v>Offline</v>
      </c>
      <c r="K408" s="10">
        <f t="shared" ca="1" si="61"/>
        <v>65000</v>
      </c>
      <c r="L408" s="10">
        <f t="shared" ca="1" si="62"/>
        <v>65000</v>
      </c>
      <c r="M408" s="12" t="str" cm="1">
        <f t="array" aca="1" ref="M408" ca="1">INDEX($R$33:$R$82, RANDBETWEEN(1, COUNTA($R$33:$R$82)))</f>
        <v>NV36</v>
      </c>
      <c r="N408">
        <f t="shared" ca="1" si="63"/>
        <v>8</v>
      </c>
    </row>
    <row r="409" spans="1:14" ht="16.8" x14ac:dyDescent="0.3">
      <c r="A409" s="7" t="str">
        <f t="shared" si="55"/>
        <v>S0408</v>
      </c>
      <c r="B409" s="8">
        <f t="shared" ca="1" si="56"/>
        <v>45085</v>
      </c>
      <c r="C409" s="15" t="str" cm="1">
        <f t="array" aca="1" ref="C409" ca="1">INDEX($Q$2:$Q$31, RANDBETWEEN(1, COUNTA($Q$2:$Q$31)))</f>
        <v xml:space="preserve">Chocolate Freeze </v>
      </c>
      <c r="D409" s="10" t="str" cm="1">
        <f t="array" aca="1" ref="D409" ca="1">INDEX($R$2:$R$310, RANDBETWEEN(1, COUNTA($Q$2:$Q$310)))</f>
        <v>L</v>
      </c>
      <c r="E409">
        <f t="shared" ca="1" si="57"/>
        <v>5</v>
      </c>
      <c r="F409" cm="1">
        <f t="array" aca="1" ref="F409" ca="1">INDEX($S$2:$S$31, RANDBETWEEN(1, COUNTA($S$2:$S$31)))</f>
        <v>69000</v>
      </c>
      <c r="G409" cm="1">
        <f t="array" aca="1" ref="G409" ca="1">INDEX($S$2:$S$31, RANDBETWEEN(1, COUNTA($S$2:$S$31)))</f>
        <v>49000</v>
      </c>
      <c r="H409">
        <f t="shared" ca="1" si="58"/>
        <v>14</v>
      </c>
      <c r="I409">
        <f t="shared" ca="1" si="59"/>
        <v>59340</v>
      </c>
      <c r="J409" s="10" t="str">
        <f t="shared" ca="1" si="60"/>
        <v>Online</v>
      </c>
      <c r="K409" s="10">
        <f t="shared" ca="1" si="61"/>
        <v>59340</v>
      </c>
      <c r="L409" s="10">
        <f t="shared" ca="1" si="62"/>
        <v>296700</v>
      </c>
      <c r="M409" s="12" t="str" cm="1">
        <f t="array" aca="1" ref="M409" ca="1">INDEX($R$33:$R$82, RANDBETWEEN(1, COUNTA($R$33:$R$82)))</f>
        <v>NV46</v>
      </c>
      <c r="N409">
        <f t="shared" ca="1" si="63"/>
        <v>6</v>
      </c>
    </row>
    <row r="410" spans="1:14" ht="16.8" x14ac:dyDescent="0.3">
      <c r="A410" s="7" t="str">
        <f t="shared" si="55"/>
        <v>S0409</v>
      </c>
      <c r="B410" s="8">
        <f t="shared" ca="1" si="56"/>
        <v>44761</v>
      </c>
      <c r="C410" s="15" t="str" cm="1">
        <f t="array" aca="1" ref="C410" ca="1">INDEX($Q$2:$Q$31, RANDBETWEEN(1, COUNTA($Q$2:$Q$31)))</f>
        <v>Cappuccino</v>
      </c>
      <c r="D410" s="10" t="str" cm="1">
        <f t="array" aca="1" ref="D410" ca="1">INDEX($R$2:$R$310, RANDBETWEEN(1, COUNTA($Q$2:$Q$310)))</f>
        <v>M</v>
      </c>
      <c r="E410">
        <f t="shared" ca="1" si="57"/>
        <v>2</v>
      </c>
      <c r="F410" cm="1">
        <f t="array" aca="1" ref="F410" ca="1">INDEX($S$2:$S$31, RANDBETWEEN(1, COUNTA($S$2:$S$31)))</f>
        <v>49000</v>
      </c>
      <c r="G410" cm="1">
        <f t="array" aca="1" ref="G410" ca="1">INDEX($S$2:$S$31, RANDBETWEEN(1, COUNTA($S$2:$S$31)))</f>
        <v>29000</v>
      </c>
      <c r="H410">
        <f t="shared" ca="1" si="58"/>
        <v>14</v>
      </c>
      <c r="I410">
        <f t="shared" ca="1" si="59"/>
        <v>42140</v>
      </c>
      <c r="J410" s="10" t="str">
        <f t="shared" ca="1" si="60"/>
        <v>Online</v>
      </c>
      <c r="K410" s="10">
        <f t="shared" ca="1" si="61"/>
        <v>42140</v>
      </c>
      <c r="L410" s="10">
        <f t="shared" ca="1" si="62"/>
        <v>84280</v>
      </c>
      <c r="M410" s="12" t="str" cm="1">
        <f t="array" aca="1" ref="M410" ca="1">INDEX($R$33:$R$82, RANDBETWEEN(1, COUNTA($R$33:$R$82)))</f>
        <v>NV43</v>
      </c>
      <c r="N410">
        <f t="shared" ca="1" si="63"/>
        <v>34</v>
      </c>
    </row>
    <row r="411" spans="1:14" ht="16.8" x14ac:dyDescent="0.3">
      <c r="A411" s="7" t="str">
        <f t="shared" si="55"/>
        <v>S0410</v>
      </c>
      <c r="B411" s="8">
        <f t="shared" ca="1" si="56"/>
        <v>44833</v>
      </c>
      <c r="C411" s="15" t="str" cm="1">
        <f t="array" aca="1" ref="C411" ca="1">INDEX($Q$2:$Q$31, RANDBETWEEN(1, COUNTA($Q$2:$Q$31)))</f>
        <v>Mocha</v>
      </c>
      <c r="D411" s="10" t="str" cm="1">
        <f t="array" aca="1" ref="D411" ca="1">INDEX($R$2:$R$310, RANDBETWEEN(1, COUNTA($Q$2:$Q$310)))</f>
        <v>M</v>
      </c>
      <c r="E411">
        <f t="shared" ca="1" si="57"/>
        <v>4</v>
      </c>
      <c r="F411" cm="1">
        <f t="array" aca="1" ref="F411" ca="1">INDEX($S$2:$S$31, RANDBETWEEN(1, COUNTA($S$2:$S$31)))</f>
        <v>49000</v>
      </c>
      <c r="G411" cm="1">
        <f t="array" aca="1" ref="G411" ca="1">INDEX($S$2:$S$31, RANDBETWEEN(1, COUNTA($S$2:$S$31)))</f>
        <v>69000</v>
      </c>
      <c r="H411">
        <f t="shared" ca="1" si="58"/>
        <v>13</v>
      </c>
      <c r="I411">
        <f t="shared" ca="1" si="59"/>
        <v>69000</v>
      </c>
      <c r="J411" s="10" t="str">
        <f t="shared" ca="1" si="60"/>
        <v>Offline</v>
      </c>
      <c r="K411" s="10">
        <f t="shared" ca="1" si="61"/>
        <v>69000</v>
      </c>
      <c r="L411" s="10">
        <f t="shared" ca="1" si="62"/>
        <v>276000</v>
      </c>
      <c r="M411" s="12" t="str" cm="1">
        <f t="array" aca="1" ref="M411" ca="1">INDEX($R$33:$R$82, RANDBETWEEN(1, COUNTA($R$33:$R$82)))</f>
        <v>NV33</v>
      </c>
      <c r="N411">
        <f t="shared" ca="1" si="63"/>
        <v>14</v>
      </c>
    </row>
    <row r="412" spans="1:14" ht="16.8" x14ac:dyDescent="0.3">
      <c r="A412" s="7" t="str">
        <f t="shared" si="55"/>
        <v>S0411</v>
      </c>
      <c r="B412" s="8">
        <f t="shared" ca="1" si="56"/>
        <v>44576</v>
      </c>
      <c r="C412" s="15" t="str" cm="1">
        <f t="array" aca="1" ref="C412" ca="1">INDEX($Q$2:$Q$31, RANDBETWEEN(1, COUNTA($Q$2:$Q$31)))</f>
        <v xml:space="preserve">Green Tea Freeze </v>
      </c>
      <c r="D412" s="10" t="str" cm="1">
        <f t="array" aca="1" ref="D412" ca="1">INDEX($R$2:$R$310, RANDBETWEEN(1, COUNTA($Q$2:$Q$310)))</f>
        <v>L</v>
      </c>
      <c r="E412">
        <f t="shared" ca="1" si="57"/>
        <v>3</v>
      </c>
      <c r="F412" cm="1">
        <f t="array" aca="1" ref="F412" ca="1">INDEX($S$2:$S$31, RANDBETWEEN(1, COUNTA($S$2:$S$31)))</f>
        <v>69000</v>
      </c>
      <c r="G412" cm="1">
        <f t="array" aca="1" ref="G412" ca="1">INDEX($S$2:$S$31, RANDBETWEEN(1, COUNTA($S$2:$S$31)))</f>
        <v>69000</v>
      </c>
      <c r="H412">
        <f t="shared" ca="1" si="58"/>
        <v>14</v>
      </c>
      <c r="I412">
        <f t="shared" ca="1" si="59"/>
        <v>69000</v>
      </c>
      <c r="J412" s="10" t="str">
        <f t="shared" ca="1" si="60"/>
        <v>Offline</v>
      </c>
      <c r="K412" s="10">
        <f t="shared" ca="1" si="61"/>
        <v>69000</v>
      </c>
      <c r="L412" s="10">
        <f t="shared" ca="1" si="62"/>
        <v>207000</v>
      </c>
      <c r="M412" s="12" t="str" cm="1">
        <f t="array" aca="1" ref="M412" ca="1">INDEX($R$33:$R$82, RANDBETWEEN(1, COUNTA($R$33:$R$82)))</f>
        <v>NV4</v>
      </c>
      <c r="N412">
        <f t="shared" ca="1" si="63"/>
        <v>10</v>
      </c>
    </row>
    <row r="413" spans="1:14" ht="16.8" x14ac:dyDescent="0.3">
      <c r="A413" s="7" t="str">
        <f t="shared" si="55"/>
        <v>S0412</v>
      </c>
      <c r="B413" s="8">
        <f t="shared" ca="1" si="56"/>
        <v>44510</v>
      </c>
      <c r="C413" s="15" t="str" cm="1">
        <f t="array" aca="1" ref="C413" ca="1">INDEX($Q$2:$Q$31, RANDBETWEEN(1, COUNTA($Q$2:$Q$31)))</f>
        <v>Mocha</v>
      </c>
      <c r="D413" s="10" t="str" cm="1">
        <f t="array" aca="1" ref="D413" ca="1">INDEX($R$2:$R$310, RANDBETWEEN(1, COUNTA($Q$2:$Q$310)))</f>
        <v>M</v>
      </c>
      <c r="E413">
        <f t="shared" ca="1" si="57"/>
        <v>3</v>
      </c>
      <c r="F413" cm="1">
        <f t="array" aca="1" ref="F413" ca="1">INDEX($S$2:$S$31, RANDBETWEEN(1, COUNTA($S$2:$S$31)))</f>
        <v>65000</v>
      </c>
      <c r="G413" cm="1">
        <f t="array" aca="1" ref="G413" ca="1">INDEX($S$2:$S$31, RANDBETWEEN(1, COUNTA($S$2:$S$31)))</f>
        <v>59000</v>
      </c>
      <c r="H413">
        <f t="shared" ca="1" si="58"/>
        <v>5</v>
      </c>
      <c r="I413">
        <f t="shared" ca="1" si="59"/>
        <v>61750</v>
      </c>
      <c r="J413" s="10" t="str">
        <f t="shared" ca="1" si="60"/>
        <v>Online</v>
      </c>
      <c r="K413" s="10">
        <f t="shared" ca="1" si="61"/>
        <v>61750</v>
      </c>
      <c r="L413" s="10">
        <f t="shared" ca="1" si="62"/>
        <v>185250</v>
      </c>
      <c r="M413" s="12" t="str" cm="1">
        <f t="array" aca="1" ref="M413" ca="1">INDEX($R$33:$R$82, RANDBETWEEN(1, COUNTA($R$33:$R$82)))</f>
        <v>NV4</v>
      </c>
      <c r="N413">
        <f t="shared" ca="1" si="63"/>
        <v>13</v>
      </c>
    </row>
    <row r="414" spans="1:14" ht="16.8" x14ac:dyDescent="0.3">
      <c r="A414" s="7" t="str">
        <f t="shared" si="55"/>
        <v>S0413</v>
      </c>
      <c r="B414" s="8">
        <f t="shared" ca="1" si="56"/>
        <v>44246</v>
      </c>
      <c r="C414" s="15" t="str" cm="1">
        <f t="array" aca="1" ref="C414" ca="1">INDEX($Q$2:$Q$31, RANDBETWEEN(1, COUNTA($Q$2:$Q$31)))</f>
        <v xml:space="preserve">Chocolate Freeze </v>
      </c>
      <c r="D414" s="10" t="str" cm="1">
        <f t="array" aca="1" ref="D414" ca="1">INDEX($R$2:$R$310, RANDBETWEEN(1, COUNTA($Q$2:$Q$310)))</f>
        <v>M</v>
      </c>
      <c r="E414">
        <f t="shared" ca="1" si="57"/>
        <v>3</v>
      </c>
      <c r="F414" cm="1">
        <f t="array" aca="1" ref="F414" ca="1">INDEX($S$2:$S$31, RANDBETWEEN(1, COUNTA($S$2:$S$31)))</f>
        <v>39000</v>
      </c>
      <c r="G414" cm="1">
        <f t="array" aca="1" ref="G414" ca="1">INDEX($S$2:$S$31, RANDBETWEEN(1, COUNTA($S$2:$S$31)))</f>
        <v>65000</v>
      </c>
      <c r="H414">
        <f t="shared" ca="1" si="58"/>
        <v>6</v>
      </c>
      <c r="I414">
        <f t="shared" ca="1" si="59"/>
        <v>36660</v>
      </c>
      <c r="J414" s="10" t="str">
        <f t="shared" ca="1" si="60"/>
        <v>Online</v>
      </c>
      <c r="K414" s="10">
        <f t="shared" ca="1" si="61"/>
        <v>36660</v>
      </c>
      <c r="L414" s="10">
        <f t="shared" ca="1" si="62"/>
        <v>109980</v>
      </c>
      <c r="M414" s="12" t="str" cm="1">
        <f t="array" aca="1" ref="M414" ca="1">INDEX($R$33:$R$82, RANDBETWEEN(1, COUNTA($R$33:$R$82)))</f>
        <v>NV22</v>
      </c>
      <c r="N414">
        <f t="shared" ca="1" si="63"/>
        <v>24</v>
      </c>
    </row>
    <row r="415" spans="1:14" ht="16.8" x14ac:dyDescent="0.3">
      <c r="A415" s="7" t="str">
        <f t="shared" si="55"/>
        <v>S0414</v>
      </c>
      <c r="B415" s="8">
        <f t="shared" ca="1" si="56"/>
        <v>44803</v>
      </c>
      <c r="C415" s="15" t="str" cm="1">
        <f t="array" aca="1" ref="C415" ca="1">INDEX($Q$2:$Q$31, RANDBETWEEN(1, COUNTA($Q$2:$Q$31)))</f>
        <v xml:space="preserve">Green Tea Freeze </v>
      </c>
      <c r="D415" s="10" t="str" cm="1">
        <f t="array" aca="1" ref="D415" ca="1">INDEX($R$2:$R$310, RANDBETWEEN(1, COUNTA($Q$2:$Q$310)))</f>
        <v>S</v>
      </c>
      <c r="E415">
        <f t="shared" ca="1" si="57"/>
        <v>4</v>
      </c>
      <c r="F415" cm="1">
        <f t="array" aca="1" ref="F415" ca="1">INDEX($S$2:$S$31, RANDBETWEEN(1, COUNTA($S$2:$S$31)))</f>
        <v>49000</v>
      </c>
      <c r="G415" cm="1">
        <f t="array" aca="1" ref="G415" ca="1">INDEX($S$2:$S$31, RANDBETWEEN(1, COUNTA($S$2:$S$31)))</f>
        <v>49000</v>
      </c>
      <c r="H415">
        <f t="shared" ca="1" si="58"/>
        <v>12</v>
      </c>
      <c r="I415">
        <f t="shared" ca="1" si="59"/>
        <v>43120</v>
      </c>
      <c r="J415" s="10" t="str">
        <f t="shared" ca="1" si="60"/>
        <v>Online</v>
      </c>
      <c r="K415" s="10">
        <f t="shared" ca="1" si="61"/>
        <v>43120</v>
      </c>
      <c r="L415" s="10">
        <f t="shared" ca="1" si="62"/>
        <v>172480</v>
      </c>
      <c r="M415" s="12" t="str" cm="1">
        <f t="array" aca="1" ref="M415" ca="1">INDEX($R$33:$R$82, RANDBETWEEN(1, COUNTA($R$33:$R$82)))</f>
        <v>NV15</v>
      </c>
      <c r="N415">
        <f t="shared" ca="1" si="63"/>
        <v>30</v>
      </c>
    </row>
    <row r="416" spans="1:14" ht="16.8" x14ac:dyDescent="0.3">
      <c r="A416" s="7" t="str">
        <f t="shared" si="55"/>
        <v>S0415</v>
      </c>
      <c r="B416" s="8">
        <f t="shared" ca="1" si="56"/>
        <v>44475</v>
      </c>
      <c r="C416" s="15" t="str" cm="1">
        <f t="array" aca="1" ref="C416" ca="1">INDEX($Q$2:$Q$31, RANDBETWEEN(1, COUNTA($Q$2:$Q$31)))</f>
        <v>Mocha</v>
      </c>
      <c r="D416" s="10" t="str" cm="1">
        <f t="array" aca="1" ref="D416" ca="1">INDEX($R$2:$R$310, RANDBETWEEN(1, COUNTA($Q$2:$Q$310)))</f>
        <v>M</v>
      </c>
      <c r="E416">
        <f t="shared" ca="1" si="57"/>
        <v>2</v>
      </c>
      <c r="F416" cm="1">
        <f t="array" aca="1" ref="F416" ca="1">INDEX($S$2:$S$31, RANDBETWEEN(1, COUNTA($S$2:$S$31)))</f>
        <v>59000</v>
      </c>
      <c r="G416" cm="1">
        <f t="array" aca="1" ref="G416" ca="1">INDEX($S$2:$S$31, RANDBETWEEN(1, COUNTA($S$2:$S$31)))</f>
        <v>69000</v>
      </c>
      <c r="H416">
        <f t="shared" ca="1" si="58"/>
        <v>5</v>
      </c>
      <c r="I416">
        <f t="shared" ca="1" si="59"/>
        <v>56050</v>
      </c>
      <c r="J416" s="10" t="str">
        <f t="shared" ca="1" si="60"/>
        <v>Online</v>
      </c>
      <c r="K416" s="10">
        <f t="shared" ca="1" si="61"/>
        <v>56050</v>
      </c>
      <c r="L416" s="10">
        <f t="shared" ca="1" si="62"/>
        <v>112100</v>
      </c>
      <c r="M416" s="12" t="str" cm="1">
        <f t="array" aca="1" ref="M416" ca="1">INDEX($R$33:$R$82, RANDBETWEEN(1, COUNTA($R$33:$R$82)))</f>
        <v>NV13</v>
      </c>
      <c r="N416">
        <f t="shared" ca="1" si="63"/>
        <v>21</v>
      </c>
    </row>
    <row r="417" spans="1:14" ht="16.8" x14ac:dyDescent="0.3">
      <c r="A417" s="7" t="str">
        <f t="shared" si="55"/>
        <v>S0416</v>
      </c>
      <c r="B417" s="8">
        <f t="shared" ca="1" si="56"/>
        <v>45026</v>
      </c>
      <c r="C417" s="15" t="str" cm="1">
        <f t="array" aca="1" ref="C417" ca="1">INDEX($Q$2:$Q$31, RANDBETWEEN(1, COUNTA($Q$2:$Q$31)))</f>
        <v xml:space="preserve">Green Tea Freeze </v>
      </c>
      <c r="D417" s="10" t="str" cm="1">
        <f t="array" aca="1" ref="D417" ca="1">INDEX($R$2:$R$310, RANDBETWEEN(1, COUNTA($Q$2:$Q$310)))</f>
        <v>L</v>
      </c>
      <c r="E417">
        <f t="shared" ca="1" si="57"/>
        <v>5</v>
      </c>
      <c r="F417" cm="1">
        <f t="array" aca="1" ref="F417" ca="1">INDEX($S$2:$S$31, RANDBETWEEN(1, COUNTA($S$2:$S$31)))</f>
        <v>55000</v>
      </c>
      <c r="G417" cm="1">
        <f t="array" aca="1" ref="G417" ca="1">INDEX($S$2:$S$31, RANDBETWEEN(1, COUNTA($S$2:$S$31)))</f>
        <v>49000</v>
      </c>
      <c r="H417">
        <f t="shared" ca="1" si="58"/>
        <v>13</v>
      </c>
      <c r="I417">
        <f t="shared" ca="1" si="59"/>
        <v>49000</v>
      </c>
      <c r="J417" s="10" t="str">
        <f t="shared" ca="1" si="60"/>
        <v>Offline</v>
      </c>
      <c r="K417" s="10">
        <f t="shared" ca="1" si="61"/>
        <v>49000</v>
      </c>
      <c r="L417" s="10">
        <f t="shared" ca="1" si="62"/>
        <v>245000</v>
      </c>
      <c r="M417" s="12" t="str" cm="1">
        <f t="array" aca="1" ref="M417" ca="1">INDEX($R$33:$R$82, RANDBETWEEN(1, COUNTA($R$33:$R$82)))</f>
        <v>NV46</v>
      </c>
      <c r="N417">
        <f t="shared" ca="1" si="63"/>
        <v>16</v>
      </c>
    </row>
    <row r="418" spans="1:14" ht="16.8" x14ac:dyDescent="0.3">
      <c r="A418" s="7" t="str">
        <f t="shared" si="55"/>
        <v>S0417</v>
      </c>
      <c r="B418" s="8">
        <f t="shared" ca="1" si="56"/>
        <v>45223</v>
      </c>
      <c r="C418" s="15" t="str" cm="1">
        <f t="array" aca="1" ref="C418" ca="1">INDEX($Q$2:$Q$31, RANDBETWEEN(1, COUNTA($Q$2:$Q$31)))</f>
        <v>Americano</v>
      </c>
      <c r="D418" s="10" t="str" cm="1">
        <f t="array" aca="1" ref="D418" ca="1">INDEX($R$2:$R$310, RANDBETWEEN(1, COUNTA($Q$2:$Q$310)))</f>
        <v>L</v>
      </c>
      <c r="E418">
        <f t="shared" ca="1" si="57"/>
        <v>4</v>
      </c>
      <c r="F418" cm="1">
        <f t="array" aca="1" ref="F418" ca="1">INDEX($S$2:$S$31, RANDBETWEEN(1, COUNTA($S$2:$S$31)))</f>
        <v>59000</v>
      </c>
      <c r="G418" cm="1">
        <f t="array" aca="1" ref="G418" ca="1">INDEX($S$2:$S$31, RANDBETWEEN(1, COUNTA($S$2:$S$31)))</f>
        <v>69000</v>
      </c>
      <c r="H418">
        <f t="shared" ca="1" si="58"/>
        <v>12</v>
      </c>
      <c r="I418">
        <f t="shared" ca="1" si="59"/>
        <v>51920</v>
      </c>
      <c r="J418" s="10" t="str">
        <f t="shared" ca="1" si="60"/>
        <v>Online</v>
      </c>
      <c r="K418" s="10">
        <f t="shared" ca="1" si="61"/>
        <v>51920</v>
      </c>
      <c r="L418" s="10">
        <f t="shared" ca="1" si="62"/>
        <v>207680</v>
      </c>
      <c r="M418" s="12" t="str" cm="1">
        <f t="array" aca="1" ref="M418" ca="1">INDEX($R$33:$R$82, RANDBETWEEN(1, COUNTA($R$33:$R$82)))</f>
        <v>NV15</v>
      </c>
      <c r="N418">
        <f t="shared" ca="1" si="63"/>
        <v>32</v>
      </c>
    </row>
    <row r="419" spans="1:14" ht="16.8" x14ac:dyDescent="0.3">
      <c r="A419" s="7" t="str">
        <f t="shared" si="55"/>
        <v>S0418</v>
      </c>
      <c r="B419" s="8">
        <f t="shared" ca="1" si="56"/>
        <v>45145</v>
      </c>
      <c r="C419" s="15" t="str" cm="1">
        <f t="array" aca="1" ref="C419" ca="1">INDEX($Q$2:$Q$31, RANDBETWEEN(1, COUNTA($Q$2:$Q$31)))</f>
        <v>Americano</v>
      </c>
      <c r="D419" s="10" t="str" cm="1">
        <f t="array" aca="1" ref="D419" ca="1">INDEX($R$2:$R$310, RANDBETWEEN(1, COUNTA($Q$2:$Q$310)))</f>
        <v>S</v>
      </c>
      <c r="E419">
        <f t="shared" ca="1" si="57"/>
        <v>2</v>
      </c>
      <c r="F419" cm="1">
        <f t="array" aca="1" ref="F419" ca="1">INDEX($S$2:$S$31, RANDBETWEEN(1, COUNTA($S$2:$S$31)))</f>
        <v>59000</v>
      </c>
      <c r="G419" cm="1">
        <f t="array" aca="1" ref="G419" ca="1">INDEX($S$2:$S$31, RANDBETWEEN(1, COUNTA($S$2:$S$31)))</f>
        <v>59000</v>
      </c>
      <c r="H419">
        <f t="shared" ca="1" si="58"/>
        <v>11</v>
      </c>
      <c r="I419">
        <f t="shared" ca="1" si="59"/>
        <v>52510</v>
      </c>
      <c r="J419" s="10" t="str">
        <f t="shared" ca="1" si="60"/>
        <v>Online</v>
      </c>
      <c r="K419" s="10">
        <f t="shared" ca="1" si="61"/>
        <v>52510</v>
      </c>
      <c r="L419" s="10">
        <f t="shared" ca="1" si="62"/>
        <v>105020</v>
      </c>
      <c r="M419" s="12" t="str" cm="1">
        <f t="array" aca="1" ref="M419" ca="1">INDEX($R$33:$R$82, RANDBETWEEN(1, COUNTA($R$33:$R$82)))</f>
        <v>NV15</v>
      </c>
      <c r="N419">
        <f t="shared" ca="1" si="63"/>
        <v>31</v>
      </c>
    </row>
    <row r="420" spans="1:14" ht="16.8" x14ac:dyDescent="0.3">
      <c r="A420" s="7" t="str">
        <f t="shared" si="55"/>
        <v>S0419</v>
      </c>
      <c r="B420" s="8">
        <f t="shared" ca="1" si="56"/>
        <v>44478</v>
      </c>
      <c r="C420" s="15" t="str" cm="1">
        <f t="array" aca="1" ref="C420" ca="1">INDEX($Q$2:$Q$31, RANDBETWEEN(1, COUNTA($Q$2:$Q$31)))</f>
        <v>Cappuccino</v>
      </c>
      <c r="D420" s="10" t="str" cm="1">
        <f t="array" aca="1" ref="D420" ca="1">INDEX($R$2:$R$310, RANDBETWEEN(1, COUNTA($Q$2:$Q$310)))</f>
        <v>M</v>
      </c>
      <c r="E420">
        <f t="shared" ca="1" si="57"/>
        <v>4</v>
      </c>
      <c r="F420" cm="1">
        <f t="array" aca="1" ref="F420" ca="1">INDEX($S$2:$S$31, RANDBETWEEN(1, COUNTA($S$2:$S$31)))</f>
        <v>65000</v>
      </c>
      <c r="G420" cm="1">
        <f t="array" aca="1" ref="G420" ca="1">INDEX($S$2:$S$31, RANDBETWEEN(1, COUNTA($S$2:$S$31)))</f>
        <v>69000</v>
      </c>
      <c r="H420">
        <f t="shared" ca="1" si="58"/>
        <v>10</v>
      </c>
      <c r="I420">
        <f t="shared" ca="1" si="59"/>
        <v>58500</v>
      </c>
      <c r="J420" s="10" t="str">
        <f t="shared" ca="1" si="60"/>
        <v>Online</v>
      </c>
      <c r="K420" s="10">
        <f t="shared" ca="1" si="61"/>
        <v>58500</v>
      </c>
      <c r="L420" s="10">
        <f t="shared" ca="1" si="62"/>
        <v>234000</v>
      </c>
      <c r="M420" s="12" t="str" cm="1">
        <f t="array" aca="1" ref="M420" ca="1">INDEX($R$33:$R$82, RANDBETWEEN(1, COUNTA($R$33:$R$82)))</f>
        <v>NV21</v>
      </c>
      <c r="N420">
        <f t="shared" ca="1" si="63"/>
        <v>23</v>
      </c>
    </row>
    <row r="421" spans="1:14" ht="16.8" x14ac:dyDescent="0.3">
      <c r="A421" s="7" t="str">
        <f t="shared" si="55"/>
        <v>S0420</v>
      </c>
      <c r="B421" s="8">
        <f t="shared" ca="1" si="56"/>
        <v>45071</v>
      </c>
      <c r="C421" s="15" t="str" cm="1">
        <f t="array" aca="1" ref="C421" ca="1">INDEX($Q$2:$Q$31, RANDBETWEEN(1, COUNTA($Q$2:$Q$31)))</f>
        <v xml:space="preserve">Green Tea Freeze </v>
      </c>
      <c r="D421" s="10" t="str" cm="1">
        <f t="array" aca="1" ref="D421" ca="1">INDEX($R$2:$R$310, RANDBETWEEN(1, COUNTA($Q$2:$Q$310)))</f>
        <v>M</v>
      </c>
      <c r="E421">
        <f t="shared" ca="1" si="57"/>
        <v>4</v>
      </c>
      <c r="F421" cm="1">
        <f t="array" aca="1" ref="F421" ca="1">INDEX($S$2:$S$31, RANDBETWEEN(1, COUNTA($S$2:$S$31)))</f>
        <v>69000</v>
      </c>
      <c r="G421" cm="1">
        <f t="array" aca="1" ref="G421" ca="1">INDEX($S$2:$S$31, RANDBETWEEN(1, COUNTA($S$2:$S$31)))</f>
        <v>65000</v>
      </c>
      <c r="H421">
        <f t="shared" ca="1" si="58"/>
        <v>10</v>
      </c>
      <c r="I421">
        <f t="shared" ca="1" si="59"/>
        <v>65000</v>
      </c>
      <c r="J421" s="10" t="str">
        <f t="shared" ca="1" si="60"/>
        <v>Offline</v>
      </c>
      <c r="K421" s="10">
        <f t="shared" ca="1" si="61"/>
        <v>65000</v>
      </c>
      <c r="L421" s="10">
        <f t="shared" ca="1" si="62"/>
        <v>260000</v>
      </c>
      <c r="M421" s="12" t="str" cm="1">
        <f t="array" aca="1" ref="M421" ca="1">INDEX($R$33:$R$82, RANDBETWEEN(1, COUNTA($R$33:$R$82)))</f>
        <v>NV20</v>
      </c>
      <c r="N421">
        <f t="shared" ca="1" si="63"/>
        <v>27</v>
      </c>
    </row>
    <row r="422" spans="1:14" ht="16.8" x14ac:dyDescent="0.3">
      <c r="A422" s="7" t="str">
        <f t="shared" si="55"/>
        <v>S0421</v>
      </c>
      <c r="B422" s="8">
        <f t="shared" ca="1" si="56"/>
        <v>44682</v>
      </c>
      <c r="C422" s="15" t="str" cm="1">
        <f t="array" aca="1" ref="C422" ca="1">INDEX($Q$2:$Q$31, RANDBETWEEN(1, COUNTA($Q$2:$Q$31)))</f>
        <v xml:space="preserve">Chocolate Freeze </v>
      </c>
      <c r="D422" s="10" t="str" cm="1">
        <f t="array" aca="1" ref="D422" ca="1">INDEX($R$2:$R$310, RANDBETWEEN(1, COUNTA($Q$2:$Q$310)))</f>
        <v>S</v>
      </c>
      <c r="E422">
        <f t="shared" ca="1" si="57"/>
        <v>3</v>
      </c>
      <c r="F422" cm="1">
        <f t="array" aca="1" ref="F422" ca="1">INDEX($S$2:$S$31, RANDBETWEEN(1, COUNTA($S$2:$S$31)))</f>
        <v>69000</v>
      </c>
      <c r="G422" cm="1">
        <f t="array" aca="1" ref="G422" ca="1">INDEX($S$2:$S$31, RANDBETWEEN(1, COUNTA($S$2:$S$31)))</f>
        <v>65000</v>
      </c>
      <c r="H422">
        <f t="shared" ca="1" si="58"/>
        <v>10</v>
      </c>
      <c r="I422">
        <f t="shared" ca="1" si="59"/>
        <v>62100</v>
      </c>
      <c r="J422" s="10" t="str">
        <f t="shared" ca="1" si="60"/>
        <v>Online</v>
      </c>
      <c r="K422" s="10">
        <f t="shared" ca="1" si="61"/>
        <v>62100</v>
      </c>
      <c r="L422" s="10">
        <f t="shared" ca="1" si="62"/>
        <v>186300</v>
      </c>
      <c r="M422" s="12" t="str" cm="1">
        <f t="array" aca="1" ref="M422" ca="1">INDEX($R$33:$R$82, RANDBETWEEN(1, COUNTA($R$33:$R$82)))</f>
        <v>NV33</v>
      </c>
      <c r="N422">
        <f t="shared" ca="1" si="63"/>
        <v>4</v>
      </c>
    </row>
    <row r="423" spans="1:14" ht="16.8" x14ac:dyDescent="0.3">
      <c r="A423" s="7" t="str">
        <f t="shared" si="55"/>
        <v>S0422</v>
      </c>
      <c r="B423" s="8">
        <f t="shared" ca="1" si="56"/>
        <v>44717</v>
      </c>
      <c r="C423" s="15" t="str" cm="1">
        <f t="array" aca="1" ref="C423" ca="1">INDEX($Q$2:$Q$31, RANDBETWEEN(1, COUNTA($Q$2:$Q$31)))</f>
        <v>Latte</v>
      </c>
      <c r="D423" s="10" t="str" cm="1">
        <f t="array" aca="1" ref="D423" ca="1">INDEX($R$2:$R$310, RANDBETWEEN(1, COUNTA($Q$2:$Q$310)))</f>
        <v>S</v>
      </c>
      <c r="E423">
        <f t="shared" ca="1" si="57"/>
        <v>1</v>
      </c>
      <c r="F423" cm="1">
        <f t="array" aca="1" ref="F423" ca="1">INDEX($S$2:$S$31, RANDBETWEEN(1, COUNTA($S$2:$S$31)))</f>
        <v>65000</v>
      </c>
      <c r="G423" cm="1">
        <f t="array" aca="1" ref="G423" ca="1">INDEX($S$2:$S$31, RANDBETWEEN(1, COUNTA($S$2:$S$31)))</f>
        <v>59000</v>
      </c>
      <c r="H423">
        <f t="shared" ca="1" si="58"/>
        <v>15</v>
      </c>
      <c r="I423">
        <f t="shared" ca="1" si="59"/>
        <v>59000</v>
      </c>
      <c r="J423" s="10" t="str">
        <f t="shared" ca="1" si="60"/>
        <v>Offline</v>
      </c>
      <c r="K423" s="10">
        <f t="shared" ca="1" si="61"/>
        <v>59000</v>
      </c>
      <c r="L423" s="10">
        <f t="shared" ca="1" si="62"/>
        <v>59000</v>
      </c>
      <c r="M423" s="12" t="str" cm="1">
        <f t="array" aca="1" ref="M423" ca="1">INDEX($R$33:$R$82, RANDBETWEEN(1, COUNTA($R$33:$R$82)))</f>
        <v>NV17</v>
      </c>
      <c r="N423">
        <f t="shared" ca="1" si="63"/>
        <v>6</v>
      </c>
    </row>
    <row r="424" spans="1:14" ht="16.8" x14ac:dyDescent="0.3">
      <c r="A424" s="7" t="str">
        <f t="shared" si="55"/>
        <v>S0423</v>
      </c>
      <c r="B424" s="8">
        <f t="shared" ca="1" si="56"/>
        <v>45132</v>
      </c>
      <c r="C424" s="15" t="str" cm="1">
        <f t="array" aca="1" ref="C424" ca="1">INDEX($Q$2:$Q$31, RANDBETWEEN(1, COUNTA($Q$2:$Q$31)))</f>
        <v>Cappuccino</v>
      </c>
      <c r="D424" s="10" t="str" cm="1">
        <f t="array" aca="1" ref="D424" ca="1">INDEX($R$2:$R$310, RANDBETWEEN(1, COUNTA($Q$2:$Q$310)))</f>
        <v>L</v>
      </c>
      <c r="E424">
        <f t="shared" ca="1" si="57"/>
        <v>1</v>
      </c>
      <c r="F424" cm="1">
        <f t="array" aca="1" ref="F424" ca="1">INDEX($S$2:$S$31, RANDBETWEEN(1, COUNTA($S$2:$S$31)))</f>
        <v>49000</v>
      </c>
      <c r="G424" cm="1">
        <f t="array" aca="1" ref="G424" ca="1">INDEX($S$2:$S$31, RANDBETWEEN(1, COUNTA($S$2:$S$31)))</f>
        <v>69000</v>
      </c>
      <c r="H424">
        <f t="shared" ca="1" si="58"/>
        <v>10</v>
      </c>
      <c r="I424">
        <f t="shared" ca="1" si="59"/>
        <v>44100</v>
      </c>
      <c r="J424" s="10" t="str">
        <f t="shared" ca="1" si="60"/>
        <v>Online</v>
      </c>
      <c r="K424" s="10">
        <f t="shared" ca="1" si="61"/>
        <v>44100</v>
      </c>
      <c r="L424" s="10">
        <f t="shared" ca="1" si="62"/>
        <v>44100</v>
      </c>
      <c r="M424" s="12" t="str" cm="1">
        <f t="array" aca="1" ref="M424" ca="1">INDEX($R$33:$R$82, RANDBETWEEN(1, COUNTA($R$33:$R$82)))</f>
        <v>NV38</v>
      </c>
      <c r="N424">
        <f t="shared" ca="1" si="63"/>
        <v>22</v>
      </c>
    </row>
    <row r="425" spans="1:14" ht="16.8" x14ac:dyDescent="0.3">
      <c r="A425" s="7" t="str">
        <f t="shared" si="55"/>
        <v>S0424</v>
      </c>
      <c r="B425" s="8">
        <f t="shared" ca="1" si="56"/>
        <v>45093</v>
      </c>
      <c r="C425" s="15" t="str" cm="1">
        <f t="array" aca="1" ref="C425" ca="1">INDEX($Q$2:$Q$31, RANDBETWEEN(1, COUNTA($Q$2:$Q$31)))</f>
        <v>Mocha</v>
      </c>
      <c r="D425" s="10" t="str" cm="1">
        <f t="array" aca="1" ref="D425" ca="1">INDEX($R$2:$R$310, RANDBETWEEN(1, COUNTA($Q$2:$Q$310)))</f>
        <v>M</v>
      </c>
      <c r="E425">
        <f t="shared" ca="1" si="57"/>
        <v>1</v>
      </c>
      <c r="F425" cm="1">
        <f t="array" aca="1" ref="F425" ca="1">INDEX($S$2:$S$31, RANDBETWEEN(1, COUNTA($S$2:$S$31)))</f>
        <v>49000</v>
      </c>
      <c r="G425" cm="1">
        <f t="array" aca="1" ref="G425" ca="1">INDEX($S$2:$S$31, RANDBETWEEN(1, COUNTA($S$2:$S$31)))</f>
        <v>39000</v>
      </c>
      <c r="H425">
        <f t="shared" ca="1" si="58"/>
        <v>11</v>
      </c>
      <c r="I425">
        <f t="shared" ca="1" si="59"/>
        <v>43610</v>
      </c>
      <c r="J425" s="10" t="str">
        <f t="shared" ca="1" si="60"/>
        <v>Online</v>
      </c>
      <c r="K425" s="10">
        <f t="shared" ca="1" si="61"/>
        <v>43610</v>
      </c>
      <c r="L425" s="10">
        <f t="shared" ca="1" si="62"/>
        <v>43610</v>
      </c>
      <c r="M425" s="12" t="str" cm="1">
        <f t="array" aca="1" ref="M425" ca="1">INDEX($R$33:$R$82, RANDBETWEEN(1, COUNTA($R$33:$R$82)))</f>
        <v>NV49</v>
      </c>
      <c r="N425">
        <f t="shared" ca="1" si="63"/>
        <v>40</v>
      </c>
    </row>
    <row r="426" spans="1:14" ht="16.8" x14ac:dyDescent="0.3">
      <c r="A426" s="7" t="str">
        <f t="shared" si="55"/>
        <v>S0425</v>
      </c>
      <c r="B426" s="8">
        <f t="shared" ca="1" si="56"/>
        <v>44798</v>
      </c>
      <c r="C426" s="15" t="str" cm="1">
        <f t="array" aca="1" ref="C426" ca="1">INDEX($Q$2:$Q$31, RANDBETWEEN(1, COUNTA($Q$2:$Q$31)))</f>
        <v>Classic Phin Freeze</v>
      </c>
      <c r="D426" s="10" t="str" cm="1">
        <f t="array" aca="1" ref="D426" ca="1">INDEX($R$2:$R$310, RANDBETWEEN(1, COUNTA($Q$2:$Q$310)))</f>
        <v>L</v>
      </c>
      <c r="E426">
        <f t="shared" ca="1" si="57"/>
        <v>3</v>
      </c>
      <c r="F426" cm="1">
        <f t="array" aca="1" ref="F426" ca="1">INDEX($S$2:$S$31, RANDBETWEEN(1, COUNTA($S$2:$S$31)))</f>
        <v>69000</v>
      </c>
      <c r="G426" cm="1">
        <f t="array" aca="1" ref="G426" ca="1">INDEX($S$2:$S$31, RANDBETWEEN(1, COUNTA($S$2:$S$31)))</f>
        <v>49000</v>
      </c>
      <c r="H426">
        <f t="shared" ca="1" si="58"/>
        <v>8</v>
      </c>
      <c r="I426">
        <f t="shared" ca="1" si="59"/>
        <v>63480</v>
      </c>
      <c r="J426" s="10" t="str">
        <f t="shared" ca="1" si="60"/>
        <v>Online</v>
      </c>
      <c r="K426" s="10">
        <f t="shared" ca="1" si="61"/>
        <v>63480</v>
      </c>
      <c r="L426" s="10">
        <f t="shared" ca="1" si="62"/>
        <v>190440</v>
      </c>
      <c r="M426" s="12" t="str" cm="1">
        <f t="array" aca="1" ref="M426" ca="1">INDEX($R$33:$R$82, RANDBETWEEN(1, COUNTA($R$33:$R$82)))</f>
        <v>NV29</v>
      </c>
      <c r="N426">
        <f t="shared" ca="1" si="63"/>
        <v>24</v>
      </c>
    </row>
    <row r="427" spans="1:14" ht="16.8" x14ac:dyDescent="0.3">
      <c r="A427" s="7" t="str">
        <f t="shared" si="55"/>
        <v>S0426</v>
      </c>
      <c r="B427" s="8">
        <f t="shared" ca="1" si="56"/>
        <v>45178</v>
      </c>
      <c r="C427" s="15" t="str" cm="1">
        <f t="array" aca="1" ref="C427" ca="1">INDEX($Q$2:$Q$31, RANDBETWEEN(1, COUNTA($Q$2:$Q$31)))</f>
        <v>Caramel Phin Freeze</v>
      </c>
      <c r="D427" s="10" t="str" cm="1">
        <f t="array" aca="1" ref="D427" ca="1">INDEX($R$2:$R$310, RANDBETWEEN(1, COUNTA($Q$2:$Q$310)))</f>
        <v>S</v>
      </c>
      <c r="E427">
        <f t="shared" ca="1" si="57"/>
        <v>2</v>
      </c>
      <c r="F427" cm="1">
        <f t="array" aca="1" ref="F427" ca="1">INDEX($S$2:$S$31, RANDBETWEEN(1, COUNTA($S$2:$S$31)))</f>
        <v>55000</v>
      </c>
      <c r="G427" cm="1">
        <f t="array" aca="1" ref="G427" ca="1">INDEX($S$2:$S$31, RANDBETWEEN(1, COUNTA($S$2:$S$31)))</f>
        <v>59000</v>
      </c>
      <c r="H427">
        <f t="shared" ca="1" si="58"/>
        <v>13</v>
      </c>
      <c r="I427">
        <f t="shared" ca="1" si="59"/>
        <v>59000</v>
      </c>
      <c r="J427" s="10" t="str">
        <f t="shared" ca="1" si="60"/>
        <v>Offline</v>
      </c>
      <c r="K427" s="10">
        <f t="shared" ca="1" si="61"/>
        <v>59000</v>
      </c>
      <c r="L427" s="10">
        <f t="shared" ca="1" si="62"/>
        <v>118000</v>
      </c>
      <c r="M427" s="12" t="str" cm="1">
        <f t="array" aca="1" ref="M427" ca="1">INDEX($R$33:$R$82, RANDBETWEEN(1, COUNTA($R$33:$R$82)))</f>
        <v>NV46</v>
      </c>
      <c r="N427">
        <f t="shared" ca="1" si="63"/>
        <v>30</v>
      </c>
    </row>
    <row r="428" spans="1:14" ht="16.8" x14ac:dyDescent="0.3">
      <c r="A428" s="7" t="str">
        <f t="shared" si="55"/>
        <v>S0427</v>
      </c>
      <c r="B428" s="8">
        <f t="shared" ca="1" si="56"/>
        <v>45286</v>
      </c>
      <c r="C428" s="15" t="str" cm="1">
        <f t="array" aca="1" ref="C428" ca="1">INDEX($Q$2:$Q$31, RANDBETWEEN(1, COUNTA($Q$2:$Q$31)))</f>
        <v>Americano</v>
      </c>
      <c r="D428" s="10" t="str" cm="1">
        <f t="array" aca="1" ref="D428" ca="1">INDEX($R$2:$R$310, RANDBETWEEN(1, COUNTA($Q$2:$Q$310)))</f>
        <v>M</v>
      </c>
      <c r="E428">
        <f t="shared" ca="1" si="57"/>
        <v>3</v>
      </c>
      <c r="F428" cm="1">
        <f t="array" aca="1" ref="F428" ca="1">INDEX($S$2:$S$31, RANDBETWEEN(1, COUNTA($S$2:$S$31)))</f>
        <v>49000</v>
      </c>
      <c r="G428" cm="1">
        <f t="array" aca="1" ref="G428" ca="1">INDEX($S$2:$S$31, RANDBETWEEN(1, COUNTA($S$2:$S$31)))</f>
        <v>65000</v>
      </c>
      <c r="H428">
        <f t="shared" ca="1" si="58"/>
        <v>9</v>
      </c>
      <c r="I428">
        <f t="shared" ca="1" si="59"/>
        <v>44590</v>
      </c>
      <c r="J428" s="10" t="str">
        <f t="shared" ca="1" si="60"/>
        <v>Online</v>
      </c>
      <c r="K428" s="10">
        <f t="shared" ca="1" si="61"/>
        <v>44590</v>
      </c>
      <c r="L428" s="10">
        <f t="shared" ca="1" si="62"/>
        <v>133770</v>
      </c>
      <c r="M428" s="12" t="str" cm="1">
        <f t="array" aca="1" ref="M428" ca="1">INDEX($R$33:$R$82, RANDBETWEEN(1, COUNTA($R$33:$R$82)))</f>
        <v>NV5</v>
      </c>
      <c r="N428">
        <f t="shared" ca="1" si="63"/>
        <v>13</v>
      </c>
    </row>
    <row r="429" spans="1:14" ht="16.8" x14ac:dyDescent="0.3">
      <c r="A429" s="7" t="str">
        <f t="shared" si="55"/>
        <v>S0428</v>
      </c>
      <c r="B429" s="8">
        <f t="shared" ca="1" si="56"/>
        <v>44515</v>
      </c>
      <c r="C429" s="15" t="str" cm="1">
        <f t="array" aca="1" ref="C429" ca="1">INDEX($Q$2:$Q$31, RANDBETWEEN(1, COUNTA($Q$2:$Q$31)))</f>
        <v>Americano</v>
      </c>
      <c r="D429" s="10" t="str" cm="1">
        <f t="array" aca="1" ref="D429" ca="1">INDEX($R$2:$R$310, RANDBETWEEN(1, COUNTA($Q$2:$Q$310)))</f>
        <v>S</v>
      </c>
      <c r="E429">
        <f t="shared" ca="1" si="57"/>
        <v>5</v>
      </c>
      <c r="F429" cm="1">
        <f t="array" aca="1" ref="F429" ca="1">INDEX($S$2:$S$31, RANDBETWEEN(1, COUNTA($S$2:$S$31)))</f>
        <v>65000</v>
      </c>
      <c r="G429" cm="1">
        <f t="array" aca="1" ref="G429" ca="1">INDEX($S$2:$S$31, RANDBETWEEN(1, COUNTA($S$2:$S$31)))</f>
        <v>75000</v>
      </c>
      <c r="H429">
        <f t="shared" ca="1" si="58"/>
        <v>15</v>
      </c>
      <c r="I429">
        <f t="shared" ca="1" si="59"/>
        <v>55250</v>
      </c>
      <c r="J429" s="10" t="str">
        <f t="shared" ca="1" si="60"/>
        <v>Online</v>
      </c>
      <c r="K429" s="10">
        <f t="shared" ca="1" si="61"/>
        <v>55250</v>
      </c>
      <c r="L429" s="10">
        <f t="shared" ca="1" si="62"/>
        <v>276250</v>
      </c>
      <c r="M429" s="12" t="str" cm="1">
        <f t="array" aca="1" ref="M429" ca="1">INDEX($R$33:$R$82, RANDBETWEEN(1, COUNTA($R$33:$R$82)))</f>
        <v>NV49</v>
      </c>
      <c r="N429">
        <f t="shared" ca="1" si="63"/>
        <v>12</v>
      </c>
    </row>
    <row r="430" spans="1:14" ht="16.8" x14ac:dyDescent="0.3">
      <c r="A430" s="7" t="str">
        <f t="shared" si="55"/>
        <v>S0429</v>
      </c>
      <c r="B430" s="8">
        <f t="shared" ca="1" si="56"/>
        <v>44382</v>
      </c>
      <c r="C430" s="15" t="str" cm="1">
        <f t="array" aca="1" ref="C430" ca="1">INDEX($Q$2:$Q$31, RANDBETWEEN(1, COUNTA($Q$2:$Q$31)))</f>
        <v>Mocha</v>
      </c>
      <c r="D430" s="10" t="str" cm="1">
        <f t="array" aca="1" ref="D430" ca="1">INDEX($R$2:$R$310, RANDBETWEEN(1, COUNTA($Q$2:$Q$310)))</f>
        <v>S</v>
      </c>
      <c r="E430">
        <f t="shared" ca="1" si="57"/>
        <v>5</v>
      </c>
      <c r="F430" cm="1">
        <f t="array" aca="1" ref="F430" ca="1">INDEX($S$2:$S$31, RANDBETWEEN(1, COUNTA($S$2:$S$31)))</f>
        <v>69000</v>
      </c>
      <c r="G430" cm="1">
        <f t="array" aca="1" ref="G430" ca="1">INDEX($S$2:$S$31, RANDBETWEEN(1, COUNTA($S$2:$S$31)))</f>
        <v>65000</v>
      </c>
      <c r="H430">
        <f t="shared" ca="1" si="58"/>
        <v>14</v>
      </c>
      <c r="I430">
        <f t="shared" ca="1" si="59"/>
        <v>65000</v>
      </c>
      <c r="J430" s="10" t="str">
        <f t="shared" ca="1" si="60"/>
        <v>Offline</v>
      </c>
      <c r="K430" s="10">
        <f t="shared" ca="1" si="61"/>
        <v>65000</v>
      </c>
      <c r="L430" s="10">
        <f t="shared" ca="1" si="62"/>
        <v>325000</v>
      </c>
      <c r="M430" s="12" t="str" cm="1">
        <f t="array" aca="1" ref="M430" ca="1">INDEX($R$33:$R$82, RANDBETWEEN(1, COUNTA($R$33:$R$82)))</f>
        <v>NV6</v>
      </c>
      <c r="N430">
        <f t="shared" ca="1" si="63"/>
        <v>3</v>
      </c>
    </row>
    <row r="431" spans="1:14" ht="16.8" x14ac:dyDescent="0.3">
      <c r="A431" s="7" t="str">
        <f t="shared" si="55"/>
        <v>S0430</v>
      </c>
      <c r="B431" s="8">
        <f t="shared" ca="1" si="56"/>
        <v>44972</v>
      </c>
      <c r="C431" s="15" t="str" cm="1">
        <f t="array" aca="1" ref="C431" ca="1">INDEX($Q$2:$Q$31, RANDBETWEEN(1, COUNTA($Q$2:$Q$31)))</f>
        <v>Americano</v>
      </c>
      <c r="D431" s="10" t="str" cm="1">
        <f t="array" aca="1" ref="D431" ca="1">INDEX($R$2:$R$310, RANDBETWEEN(1, COUNTA($Q$2:$Q$310)))</f>
        <v>M</v>
      </c>
      <c r="E431">
        <f t="shared" ca="1" si="57"/>
        <v>1</v>
      </c>
      <c r="F431" cm="1">
        <f t="array" aca="1" ref="F431" ca="1">INDEX($S$2:$S$31, RANDBETWEEN(1, COUNTA($S$2:$S$31)))</f>
        <v>65000</v>
      </c>
      <c r="G431" cm="1">
        <f t="array" aca="1" ref="G431" ca="1">INDEX($S$2:$S$31, RANDBETWEEN(1, COUNTA($S$2:$S$31)))</f>
        <v>39000</v>
      </c>
      <c r="H431">
        <f t="shared" ca="1" si="58"/>
        <v>12</v>
      </c>
      <c r="I431">
        <f t="shared" ca="1" si="59"/>
        <v>57200</v>
      </c>
      <c r="J431" s="10" t="str">
        <f t="shared" ca="1" si="60"/>
        <v>Online</v>
      </c>
      <c r="K431" s="10">
        <f t="shared" ca="1" si="61"/>
        <v>57200</v>
      </c>
      <c r="L431" s="10">
        <f t="shared" ca="1" si="62"/>
        <v>57200</v>
      </c>
      <c r="M431" s="12" t="str" cm="1">
        <f t="array" aca="1" ref="M431" ca="1">INDEX($R$33:$R$82, RANDBETWEEN(1, COUNTA($R$33:$R$82)))</f>
        <v>NV43</v>
      </c>
      <c r="N431">
        <f t="shared" ca="1" si="63"/>
        <v>26</v>
      </c>
    </row>
    <row r="432" spans="1:14" ht="16.8" x14ac:dyDescent="0.3">
      <c r="A432" s="7" t="str">
        <f t="shared" si="55"/>
        <v>S0431</v>
      </c>
      <c r="B432" s="8">
        <f t="shared" ca="1" si="56"/>
        <v>44243</v>
      </c>
      <c r="C432" s="15" t="str" cm="1">
        <f t="array" aca="1" ref="C432" ca="1">INDEX($Q$2:$Q$31, RANDBETWEEN(1, COUNTA($Q$2:$Q$31)))</f>
        <v>Classic Phin Freeze</v>
      </c>
      <c r="D432" s="10" t="str" cm="1">
        <f t="array" aca="1" ref="D432" ca="1">INDEX($R$2:$R$310, RANDBETWEEN(1, COUNTA($Q$2:$Q$310)))</f>
        <v>S</v>
      </c>
      <c r="E432">
        <f t="shared" ca="1" si="57"/>
        <v>3</v>
      </c>
      <c r="F432" cm="1">
        <f t="array" aca="1" ref="F432" ca="1">INDEX($S$2:$S$31, RANDBETWEEN(1, COUNTA($S$2:$S$31)))</f>
        <v>75000</v>
      </c>
      <c r="G432" cm="1">
        <f t="array" aca="1" ref="G432" ca="1">INDEX($S$2:$S$31, RANDBETWEEN(1, COUNTA($S$2:$S$31)))</f>
        <v>49000</v>
      </c>
      <c r="H432">
        <f t="shared" ca="1" si="58"/>
        <v>12</v>
      </c>
      <c r="I432">
        <f t="shared" ca="1" si="59"/>
        <v>66000</v>
      </c>
      <c r="J432" s="10" t="str">
        <f t="shared" ca="1" si="60"/>
        <v>Online</v>
      </c>
      <c r="K432" s="10">
        <f t="shared" ca="1" si="61"/>
        <v>66000</v>
      </c>
      <c r="L432" s="10">
        <f t="shared" ca="1" si="62"/>
        <v>198000</v>
      </c>
      <c r="M432" s="12" t="str" cm="1">
        <f t="array" aca="1" ref="M432" ca="1">INDEX($R$33:$R$82, RANDBETWEEN(1, COUNTA($R$33:$R$82)))</f>
        <v>NV9</v>
      </c>
      <c r="N432">
        <f t="shared" ca="1" si="63"/>
        <v>3</v>
      </c>
    </row>
    <row r="433" spans="1:14" ht="16.8" x14ac:dyDescent="0.3">
      <c r="A433" s="7" t="str">
        <f t="shared" si="55"/>
        <v>S0432</v>
      </c>
      <c r="B433" s="8">
        <f t="shared" ca="1" si="56"/>
        <v>44666</v>
      </c>
      <c r="C433" s="15" t="str" cm="1">
        <f t="array" aca="1" ref="C433" ca="1">INDEX($Q$2:$Q$31, RANDBETWEEN(1, COUNTA($Q$2:$Q$31)))</f>
        <v>Iced Black Coffee</v>
      </c>
      <c r="D433" s="10" t="str" cm="1">
        <f t="array" aca="1" ref="D433" ca="1">INDEX($R$2:$R$310, RANDBETWEEN(1, COUNTA($Q$2:$Q$310)))</f>
        <v>L</v>
      </c>
      <c r="E433">
        <f t="shared" ca="1" si="57"/>
        <v>4</v>
      </c>
      <c r="F433" cm="1">
        <f t="array" aca="1" ref="F433" ca="1">INDEX($S$2:$S$31, RANDBETWEEN(1, COUNTA($S$2:$S$31)))</f>
        <v>65000</v>
      </c>
      <c r="G433" cm="1">
        <f t="array" aca="1" ref="G433" ca="1">INDEX($S$2:$S$31, RANDBETWEEN(1, COUNTA($S$2:$S$31)))</f>
        <v>59000</v>
      </c>
      <c r="H433">
        <f t="shared" ca="1" si="58"/>
        <v>5</v>
      </c>
      <c r="I433">
        <f t="shared" ca="1" si="59"/>
        <v>59000</v>
      </c>
      <c r="J433" s="10" t="str">
        <f t="shared" ca="1" si="60"/>
        <v>Offline</v>
      </c>
      <c r="K433" s="10">
        <f t="shared" ca="1" si="61"/>
        <v>59000</v>
      </c>
      <c r="L433" s="10">
        <f t="shared" ca="1" si="62"/>
        <v>236000</v>
      </c>
      <c r="M433" s="12" t="str" cm="1">
        <f t="array" aca="1" ref="M433" ca="1">INDEX($R$33:$R$82, RANDBETWEEN(1, COUNTA($R$33:$R$82)))</f>
        <v>NV3</v>
      </c>
      <c r="N433">
        <f t="shared" ca="1" si="63"/>
        <v>13</v>
      </c>
    </row>
    <row r="434" spans="1:14" ht="16.8" x14ac:dyDescent="0.3">
      <c r="A434" s="7" t="str">
        <f t="shared" si="55"/>
        <v>S0433</v>
      </c>
      <c r="B434" s="8">
        <f t="shared" ca="1" si="56"/>
        <v>44909</v>
      </c>
      <c r="C434" s="15" t="str" cm="1">
        <f t="array" aca="1" ref="C434" ca="1">INDEX($Q$2:$Q$31, RANDBETWEEN(1, COUNTA($Q$2:$Q$31)))</f>
        <v>Cappuccino</v>
      </c>
      <c r="D434" s="10" t="str" cm="1">
        <f t="array" aca="1" ref="D434" ca="1">INDEX($R$2:$R$310, RANDBETWEEN(1, COUNTA($Q$2:$Q$310)))</f>
        <v>S</v>
      </c>
      <c r="E434">
        <f t="shared" ca="1" si="57"/>
        <v>2</v>
      </c>
      <c r="F434" cm="1">
        <f t="array" aca="1" ref="F434" ca="1">INDEX($S$2:$S$31, RANDBETWEEN(1, COUNTA($S$2:$S$31)))</f>
        <v>55000</v>
      </c>
      <c r="G434" cm="1">
        <f t="array" aca="1" ref="G434" ca="1">INDEX($S$2:$S$31, RANDBETWEEN(1, COUNTA($S$2:$S$31)))</f>
        <v>49000</v>
      </c>
      <c r="H434">
        <f t="shared" ca="1" si="58"/>
        <v>12</v>
      </c>
      <c r="I434">
        <f t="shared" ca="1" si="59"/>
        <v>48400</v>
      </c>
      <c r="J434" s="10" t="str">
        <f t="shared" ca="1" si="60"/>
        <v>Online</v>
      </c>
      <c r="K434" s="10">
        <f t="shared" ca="1" si="61"/>
        <v>48400</v>
      </c>
      <c r="L434" s="10">
        <f t="shared" ca="1" si="62"/>
        <v>96800</v>
      </c>
      <c r="M434" s="12" t="str" cm="1">
        <f t="array" aca="1" ref="M434" ca="1">INDEX($R$33:$R$82, RANDBETWEEN(1, COUNTA($R$33:$R$82)))</f>
        <v>NV2</v>
      </c>
      <c r="N434">
        <f t="shared" ca="1" si="63"/>
        <v>22</v>
      </c>
    </row>
    <row r="435" spans="1:14" ht="16.8" x14ac:dyDescent="0.3">
      <c r="A435" s="7" t="str">
        <f t="shared" si="55"/>
        <v>S0434</v>
      </c>
      <c r="B435" s="8">
        <f t="shared" ca="1" si="56"/>
        <v>45112</v>
      </c>
      <c r="C435" s="15" t="str" cm="1">
        <f t="array" aca="1" ref="C435" ca="1">INDEX($Q$2:$Q$31, RANDBETWEEN(1, COUNTA($Q$2:$Q$31)))</f>
        <v>Cookies &amp; Cream</v>
      </c>
      <c r="D435" s="10" t="str" cm="1">
        <f t="array" aca="1" ref="D435" ca="1">INDEX($R$2:$R$310, RANDBETWEEN(1, COUNTA($Q$2:$Q$310)))</f>
        <v>L</v>
      </c>
      <c r="E435">
        <f t="shared" ca="1" si="57"/>
        <v>2</v>
      </c>
      <c r="F435" cm="1">
        <f t="array" aca="1" ref="F435" ca="1">INDEX($S$2:$S$31, RANDBETWEEN(1, COUNTA($S$2:$S$31)))</f>
        <v>69000</v>
      </c>
      <c r="G435" cm="1">
        <f t="array" aca="1" ref="G435" ca="1">INDEX($S$2:$S$31, RANDBETWEEN(1, COUNTA($S$2:$S$31)))</f>
        <v>35000</v>
      </c>
      <c r="H435">
        <f t="shared" ca="1" si="58"/>
        <v>12</v>
      </c>
      <c r="I435">
        <f t="shared" ca="1" si="59"/>
        <v>35000</v>
      </c>
      <c r="J435" s="10" t="str">
        <f t="shared" ca="1" si="60"/>
        <v>Offline</v>
      </c>
      <c r="K435" s="10">
        <f t="shared" ca="1" si="61"/>
        <v>35000</v>
      </c>
      <c r="L435" s="10">
        <f t="shared" ca="1" si="62"/>
        <v>70000</v>
      </c>
      <c r="M435" s="12" t="str" cm="1">
        <f t="array" aca="1" ref="M435" ca="1">INDEX($R$33:$R$82, RANDBETWEEN(1, COUNTA($R$33:$R$82)))</f>
        <v>NV9</v>
      </c>
      <c r="N435">
        <f t="shared" ca="1" si="63"/>
        <v>25</v>
      </c>
    </row>
    <row r="436" spans="1:14" ht="16.8" x14ac:dyDescent="0.3">
      <c r="A436" s="7" t="str">
        <f t="shared" si="55"/>
        <v>S0435</v>
      </c>
      <c r="B436" s="8">
        <f t="shared" ca="1" si="56"/>
        <v>44833</v>
      </c>
      <c r="C436" s="15" t="str" cm="1">
        <f t="array" aca="1" ref="C436" ca="1">INDEX($Q$2:$Q$31, RANDBETWEEN(1, COUNTA($Q$2:$Q$31)))</f>
        <v>Cappuccino</v>
      </c>
      <c r="D436" s="10" t="str" cm="1">
        <f t="array" aca="1" ref="D436" ca="1">INDEX($R$2:$R$310, RANDBETWEEN(1, COUNTA($Q$2:$Q$310)))</f>
        <v>S</v>
      </c>
      <c r="E436">
        <f t="shared" ca="1" si="57"/>
        <v>4</v>
      </c>
      <c r="F436" cm="1">
        <f t="array" aca="1" ref="F436" ca="1">INDEX($S$2:$S$31, RANDBETWEEN(1, COUNTA($S$2:$S$31)))</f>
        <v>55000</v>
      </c>
      <c r="G436" cm="1">
        <f t="array" aca="1" ref="G436" ca="1">INDEX($S$2:$S$31, RANDBETWEEN(1, COUNTA($S$2:$S$31)))</f>
        <v>65000</v>
      </c>
      <c r="H436">
        <f t="shared" ca="1" si="58"/>
        <v>12</v>
      </c>
      <c r="I436">
        <f t="shared" ca="1" si="59"/>
        <v>65000</v>
      </c>
      <c r="J436" s="10" t="str">
        <f t="shared" ca="1" si="60"/>
        <v>Offline</v>
      </c>
      <c r="K436" s="10">
        <f t="shared" ca="1" si="61"/>
        <v>65000</v>
      </c>
      <c r="L436" s="10">
        <f t="shared" ca="1" si="62"/>
        <v>260000</v>
      </c>
      <c r="M436" s="12" t="str" cm="1">
        <f t="array" aca="1" ref="M436" ca="1">INDEX($R$33:$R$82, RANDBETWEEN(1, COUNTA($R$33:$R$82)))</f>
        <v>NV11</v>
      </c>
      <c r="N436">
        <f t="shared" ca="1" si="63"/>
        <v>27</v>
      </c>
    </row>
    <row r="437" spans="1:14" ht="16.8" x14ac:dyDescent="0.3">
      <c r="A437" s="7" t="str">
        <f t="shared" si="55"/>
        <v>S0436</v>
      </c>
      <c r="B437" s="8">
        <f t="shared" ca="1" si="56"/>
        <v>44226</v>
      </c>
      <c r="C437" s="15" t="str" cm="1">
        <f t="array" aca="1" ref="C437" ca="1">INDEX($Q$2:$Q$31, RANDBETWEEN(1, COUNTA($Q$2:$Q$31)))</f>
        <v xml:space="preserve">Chocolate Freeze </v>
      </c>
      <c r="D437" s="10" t="str" cm="1">
        <f t="array" aca="1" ref="D437" ca="1">INDEX($R$2:$R$310, RANDBETWEEN(1, COUNTA($Q$2:$Q$310)))</f>
        <v>S</v>
      </c>
      <c r="E437">
        <f t="shared" ca="1" si="57"/>
        <v>2</v>
      </c>
      <c r="F437" cm="1">
        <f t="array" aca="1" ref="F437" ca="1">INDEX($S$2:$S$31, RANDBETWEEN(1, COUNTA($S$2:$S$31)))</f>
        <v>69000</v>
      </c>
      <c r="G437" cm="1">
        <f t="array" aca="1" ref="G437" ca="1">INDEX($S$2:$S$31, RANDBETWEEN(1, COUNTA($S$2:$S$31)))</f>
        <v>49000</v>
      </c>
      <c r="H437">
        <f t="shared" ca="1" si="58"/>
        <v>5</v>
      </c>
      <c r="I437">
        <f t="shared" ca="1" si="59"/>
        <v>65550</v>
      </c>
      <c r="J437" s="10" t="str">
        <f t="shared" ca="1" si="60"/>
        <v>Online</v>
      </c>
      <c r="K437" s="10">
        <f t="shared" ca="1" si="61"/>
        <v>65550</v>
      </c>
      <c r="L437" s="10">
        <f t="shared" ca="1" si="62"/>
        <v>131100</v>
      </c>
      <c r="M437" s="12" t="str" cm="1">
        <f t="array" aca="1" ref="M437" ca="1">INDEX($R$33:$R$82, RANDBETWEEN(1, COUNTA($R$33:$R$82)))</f>
        <v>NV14</v>
      </c>
      <c r="N437">
        <f t="shared" ca="1" si="63"/>
        <v>31</v>
      </c>
    </row>
    <row r="438" spans="1:14" ht="16.8" x14ac:dyDescent="0.3">
      <c r="A438" s="7" t="str">
        <f t="shared" si="55"/>
        <v>S0437</v>
      </c>
      <c r="B438" s="8">
        <f t="shared" ca="1" si="56"/>
        <v>44463</v>
      </c>
      <c r="C438" s="15" t="str" cm="1">
        <f t="array" aca="1" ref="C438" ca="1">INDEX($Q$2:$Q$31, RANDBETWEEN(1, COUNTA($Q$2:$Q$31)))</f>
        <v xml:space="preserve">Green Tea Freeze </v>
      </c>
      <c r="D438" s="10" t="str" cm="1">
        <f t="array" aca="1" ref="D438" ca="1">INDEX($R$2:$R$310, RANDBETWEEN(1, COUNTA($Q$2:$Q$310)))</f>
        <v>M</v>
      </c>
      <c r="E438">
        <f t="shared" ca="1" si="57"/>
        <v>3</v>
      </c>
      <c r="F438" cm="1">
        <f t="array" aca="1" ref="F438" ca="1">INDEX($S$2:$S$31, RANDBETWEEN(1, COUNTA($S$2:$S$31)))</f>
        <v>75000</v>
      </c>
      <c r="G438" cm="1">
        <f t="array" aca="1" ref="G438" ca="1">INDEX($S$2:$S$31, RANDBETWEEN(1, COUNTA($S$2:$S$31)))</f>
        <v>59000</v>
      </c>
      <c r="H438">
        <f t="shared" ca="1" si="58"/>
        <v>11</v>
      </c>
      <c r="I438">
        <f t="shared" ca="1" si="59"/>
        <v>66750</v>
      </c>
      <c r="J438" s="10" t="str">
        <f t="shared" ca="1" si="60"/>
        <v>Online</v>
      </c>
      <c r="K438" s="10">
        <f t="shared" ca="1" si="61"/>
        <v>66750</v>
      </c>
      <c r="L438" s="10">
        <f t="shared" ca="1" si="62"/>
        <v>200250</v>
      </c>
      <c r="M438" s="12" t="str" cm="1">
        <f t="array" aca="1" ref="M438" ca="1">INDEX($R$33:$R$82, RANDBETWEEN(1, COUNTA($R$33:$R$82)))</f>
        <v>NV35</v>
      </c>
      <c r="N438">
        <f t="shared" ca="1" si="63"/>
        <v>8</v>
      </c>
    </row>
    <row r="439" spans="1:14" ht="16.8" x14ac:dyDescent="0.3">
      <c r="A439" s="7" t="str">
        <f t="shared" si="55"/>
        <v>S0438</v>
      </c>
      <c r="B439" s="8">
        <f t="shared" ca="1" si="56"/>
        <v>44358</v>
      </c>
      <c r="C439" s="15" t="str" cm="1">
        <f t="array" aca="1" ref="C439" ca="1">INDEX($Q$2:$Q$31, RANDBETWEEN(1, COUNTA($Q$2:$Q$31)))</f>
        <v>Mocha</v>
      </c>
      <c r="D439" s="10" t="str" cm="1">
        <f t="array" aca="1" ref="D439" ca="1">INDEX($R$2:$R$310, RANDBETWEEN(1, COUNTA($Q$2:$Q$310)))</f>
        <v>M</v>
      </c>
      <c r="E439">
        <f t="shared" ca="1" si="57"/>
        <v>4</v>
      </c>
      <c r="F439" cm="1">
        <f t="array" aca="1" ref="F439" ca="1">INDEX($S$2:$S$31, RANDBETWEEN(1, COUNTA($S$2:$S$31)))</f>
        <v>59000</v>
      </c>
      <c r="G439" cm="1">
        <f t="array" aca="1" ref="G439" ca="1">INDEX($S$2:$S$31, RANDBETWEEN(1, COUNTA($S$2:$S$31)))</f>
        <v>45000</v>
      </c>
      <c r="H439">
        <f t="shared" ca="1" si="58"/>
        <v>7</v>
      </c>
      <c r="I439">
        <f t="shared" ca="1" si="59"/>
        <v>45000</v>
      </c>
      <c r="J439" s="10" t="str">
        <f t="shared" ca="1" si="60"/>
        <v>Offline</v>
      </c>
      <c r="K439" s="10">
        <f t="shared" ca="1" si="61"/>
        <v>45000</v>
      </c>
      <c r="L439" s="10">
        <f t="shared" ca="1" si="62"/>
        <v>180000</v>
      </c>
      <c r="M439" s="12" t="str" cm="1">
        <f t="array" aca="1" ref="M439" ca="1">INDEX($R$33:$R$82, RANDBETWEEN(1, COUNTA($R$33:$R$82)))</f>
        <v>NV16</v>
      </c>
      <c r="N439">
        <f t="shared" ca="1" si="63"/>
        <v>48</v>
      </c>
    </row>
    <row r="440" spans="1:14" ht="16.8" x14ac:dyDescent="0.3">
      <c r="A440" s="7" t="str">
        <f t="shared" si="55"/>
        <v>S0439</v>
      </c>
      <c r="B440" s="8">
        <f t="shared" ca="1" si="56"/>
        <v>44286</v>
      </c>
      <c r="C440" s="15" t="str" cm="1">
        <f t="array" aca="1" ref="C440" ca="1">INDEX($Q$2:$Q$31, RANDBETWEEN(1, COUNTA($Q$2:$Q$31)))</f>
        <v>Cookies &amp; Cream</v>
      </c>
      <c r="D440" s="10" t="str" cm="1">
        <f t="array" aca="1" ref="D440" ca="1">INDEX($R$2:$R$310, RANDBETWEEN(1, COUNTA($Q$2:$Q$310)))</f>
        <v>L</v>
      </c>
      <c r="E440">
        <f t="shared" ca="1" si="57"/>
        <v>3</v>
      </c>
      <c r="F440" cm="1">
        <f t="array" aca="1" ref="F440" ca="1">INDEX($S$2:$S$31, RANDBETWEEN(1, COUNTA($S$2:$S$31)))</f>
        <v>49000</v>
      </c>
      <c r="G440" cm="1">
        <f t="array" aca="1" ref="G440" ca="1">INDEX($S$2:$S$31, RANDBETWEEN(1, COUNTA($S$2:$S$31)))</f>
        <v>35000</v>
      </c>
      <c r="H440">
        <f t="shared" ca="1" si="58"/>
        <v>8</v>
      </c>
      <c r="I440">
        <f t="shared" ca="1" si="59"/>
        <v>45080</v>
      </c>
      <c r="J440" s="10" t="str">
        <f t="shared" ca="1" si="60"/>
        <v>Online</v>
      </c>
      <c r="K440" s="10">
        <f t="shared" ca="1" si="61"/>
        <v>45080</v>
      </c>
      <c r="L440" s="10">
        <f t="shared" ca="1" si="62"/>
        <v>135240</v>
      </c>
      <c r="M440" s="12" t="str" cm="1">
        <f t="array" aca="1" ref="M440" ca="1">INDEX($R$33:$R$82, RANDBETWEEN(1, COUNTA($R$33:$R$82)))</f>
        <v>NV38</v>
      </c>
      <c r="N440">
        <f t="shared" ca="1" si="63"/>
        <v>39</v>
      </c>
    </row>
    <row r="441" spans="1:14" ht="16.8" x14ac:dyDescent="0.3">
      <c r="A441" s="7" t="str">
        <f t="shared" si="55"/>
        <v>S0440</v>
      </c>
      <c r="B441" s="8">
        <f t="shared" ca="1" si="56"/>
        <v>44759</v>
      </c>
      <c r="C441" s="15" t="str" cm="1">
        <f t="array" aca="1" ref="C441" ca="1">INDEX($Q$2:$Q$31, RANDBETWEEN(1, COUNTA($Q$2:$Q$31)))</f>
        <v>Caramel Phin Freeze</v>
      </c>
      <c r="D441" s="10" t="str" cm="1">
        <f t="array" aca="1" ref="D441" ca="1">INDEX($R$2:$R$310, RANDBETWEEN(1, COUNTA($Q$2:$Q$310)))</f>
        <v>S</v>
      </c>
      <c r="E441">
        <f t="shared" ca="1" si="57"/>
        <v>3</v>
      </c>
      <c r="F441" cm="1">
        <f t="array" aca="1" ref="F441" ca="1">INDEX($S$2:$S$31, RANDBETWEEN(1, COUNTA($S$2:$S$31)))</f>
        <v>65000</v>
      </c>
      <c r="G441" cm="1">
        <f t="array" aca="1" ref="G441" ca="1">INDEX($S$2:$S$31, RANDBETWEEN(1, COUNTA($S$2:$S$31)))</f>
        <v>49000</v>
      </c>
      <c r="H441">
        <f t="shared" ca="1" si="58"/>
        <v>13</v>
      </c>
      <c r="I441">
        <f t="shared" ca="1" si="59"/>
        <v>56550</v>
      </c>
      <c r="J441" s="10" t="str">
        <f t="shared" ca="1" si="60"/>
        <v>Online</v>
      </c>
      <c r="K441" s="10">
        <f t="shared" ca="1" si="61"/>
        <v>56550</v>
      </c>
      <c r="L441" s="10">
        <f t="shared" ca="1" si="62"/>
        <v>169650</v>
      </c>
      <c r="M441" s="12" t="str" cm="1">
        <f t="array" aca="1" ref="M441" ca="1">INDEX($R$33:$R$82, RANDBETWEEN(1, COUNTA($R$33:$R$82)))</f>
        <v>NV47</v>
      </c>
      <c r="N441">
        <f t="shared" ca="1" si="63"/>
        <v>50</v>
      </c>
    </row>
    <row r="442" spans="1:14" ht="16.8" x14ac:dyDescent="0.3">
      <c r="A442" s="7" t="str">
        <f t="shared" si="55"/>
        <v>S0441</v>
      </c>
      <c r="B442" s="8">
        <f t="shared" ca="1" si="56"/>
        <v>44576</v>
      </c>
      <c r="C442" s="15" t="str" cm="1">
        <f t="array" aca="1" ref="C442" ca="1">INDEX($Q$2:$Q$31, RANDBETWEEN(1, COUNTA($Q$2:$Q$31)))</f>
        <v>Classic Phin Freeze</v>
      </c>
      <c r="D442" s="10" t="str" cm="1">
        <f t="array" aca="1" ref="D442" ca="1">INDEX($R$2:$R$310, RANDBETWEEN(1, COUNTA($Q$2:$Q$310)))</f>
        <v>M</v>
      </c>
      <c r="E442">
        <f t="shared" ca="1" si="57"/>
        <v>5</v>
      </c>
      <c r="F442" cm="1">
        <f t="array" aca="1" ref="F442" ca="1">INDEX($S$2:$S$31, RANDBETWEEN(1, COUNTA($S$2:$S$31)))</f>
        <v>65000</v>
      </c>
      <c r="G442" cm="1">
        <f t="array" aca="1" ref="G442" ca="1">INDEX($S$2:$S$31, RANDBETWEEN(1, COUNTA($S$2:$S$31)))</f>
        <v>65000</v>
      </c>
      <c r="H442">
        <f t="shared" ca="1" si="58"/>
        <v>8</v>
      </c>
      <c r="I442">
        <f t="shared" ca="1" si="59"/>
        <v>65000</v>
      </c>
      <c r="J442" s="10" t="str">
        <f t="shared" ca="1" si="60"/>
        <v>Offline</v>
      </c>
      <c r="K442" s="10">
        <f t="shared" ca="1" si="61"/>
        <v>65000</v>
      </c>
      <c r="L442" s="10">
        <f t="shared" ca="1" si="62"/>
        <v>325000</v>
      </c>
      <c r="M442" s="12" t="str" cm="1">
        <f t="array" aca="1" ref="M442" ca="1">INDEX($R$33:$R$82, RANDBETWEEN(1, COUNTA($R$33:$R$82)))</f>
        <v>NV34</v>
      </c>
      <c r="N442">
        <f t="shared" ca="1" si="63"/>
        <v>49</v>
      </c>
    </row>
    <row r="443" spans="1:14" ht="16.8" x14ac:dyDescent="0.3">
      <c r="A443" s="7" t="str">
        <f t="shared" si="55"/>
        <v>S0442</v>
      </c>
      <c r="B443" s="8">
        <f t="shared" ca="1" si="56"/>
        <v>44629</v>
      </c>
      <c r="C443" s="15" t="str" cm="1">
        <f t="array" aca="1" ref="C443" ca="1">INDEX($Q$2:$Q$31, RANDBETWEEN(1, COUNTA($Q$2:$Q$31)))</f>
        <v>Caramel Phin Freeze</v>
      </c>
      <c r="D443" s="10" t="str" cm="1">
        <f t="array" aca="1" ref="D443" ca="1">INDEX($R$2:$R$310, RANDBETWEEN(1, COUNTA($Q$2:$Q$310)))</f>
        <v>M</v>
      </c>
      <c r="E443">
        <f t="shared" ca="1" si="57"/>
        <v>4</v>
      </c>
      <c r="F443" cm="1">
        <f t="array" aca="1" ref="F443" ca="1">INDEX($S$2:$S$31, RANDBETWEEN(1, COUNTA($S$2:$S$31)))</f>
        <v>59000</v>
      </c>
      <c r="G443" cm="1">
        <f t="array" aca="1" ref="G443" ca="1">INDEX($S$2:$S$31, RANDBETWEEN(1, COUNTA($S$2:$S$31)))</f>
        <v>69000</v>
      </c>
      <c r="H443">
        <f t="shared" ca="1" si="58"/>
        <v>8</v>
      </c>
      <c r="I443">
        <f t="shared" ca="1" si="59"/>
        <v>69000</v>
      </c>
      <c r="J443" s="10" t="str">
        <f t="shared" ca="1" si="60"/>
        <v>Offline</v>
      </c>
      <c r="K443" s="10">
        <f t="shared" ca="1" si="61"/>
        <v>69000</v>
      </c>
      <c r="L443" s="10">
        <f t="shared" ca="1" si="62"/>
        <v>276000</v>
      </c>
      <c r="M443" s="12" t="str" cm="1">
        <f t="array" aca="1" ref="M443" ca="1">INDEX($R$33:$R$82, RANDBETWEEN(1, COUNTA($R$33:$R$82)))</f>
        <v>NV23</v>
      </c>
      <c r="N443">
        <f t="shared" ca="1" si="63"/>
        <v>22</v>
      </c>
    </row>
    <row r="444" spans="1:14" ht="16.8" x14ac:dyDescent="0.3">
      <c r="A444" s="7" t="str">
        <f t="shared" si="55"/>
        <v>S0443</v>
      </c>
      <c r="B444" s="8">
        <f t="shared" ca="1" si="56"/>
        <v>45273</v>
      </c>
      <c r="C444" s="15" t="str" cm="1">
        <f t="array" aca="1" ref="C444" ca="1">INDEX($Q$2:$Q$31, RANDBETWEEN(1, COUNTA($Q$2:$Q$31)))</f>
        <v xml:space="preserve">Chocolate Freeze </v>
      </c>
      <c r="D444" s="10" t="str" cm="1">
        <f t="array" aca="1" ref="D444" ca="1">INDEX($R$2:$R$310, RANDBETWEEN(1, COUNTA($Q$2:$Q$310)))</f>
        <v>S</v>
      </c>
      <c r="E444">
        <f t="shared" ca="1" si="57"/>
        <v>5</v>
      </c>
      <c r="F444" cm="1">
        <f t="array" aca="1" ref="F444" ca="1">INDEX($S$2:$S$31, RANDBETWEEN(1, COUNTA($S$2:$S$31)))</f>
        <v>65000</v>
      </c>
      <c r="G444" cm="1">
        <f t="array" aca="1" ref="G444" ca="1">INDEX($S$2:$S$31, RANDBETWEEN(1, COUNTA($S$2:$S$31)))</f>
        <v>65000</v>
      </c>
      <c r="H444">
        <f t="shared" ca="1" si="58"/>
        <v>10</v>
      </c>
      <c r="I444">
        <f t="shared" ca="1" si="59"/>
        <v>65000</v>
      </c>
      <c r="J444" s="10" t="str">
        <f t="shared" ca="1" si="60"/>
        <v>Offline</v>
      </c>
      <c r="K444" s="10">
        <f t="shared" ca="1" si="61"/>
        <v>65000</v>
      </c>
      <c r="L444" s="10">
        <f t="shared" ca="1" si="62"/>
        <v>325000</v>
      </c>
      <c r="M444" s="12" t="str" cm="1">
        <f t="array" aca="1" ref="M444" ca="1">INDEX($R$33:$R$82, RANDBETWEEN(1, COUNTA($R$33:$R$82)))</f>
        <v>NV15</v>
      </c>
      <c r="N444">
        <f t="shared" ca="1" si="63"/>
        <v>25</v>
      </c>
    </row>
    <row r="445" spans="1:14" ht="16.8" x14ac:dyDescent="0.3">
      <c r="A445" s="7" t="str">
        <f t="shared" si="55"/>
        <v>S0444</v>
      </c>
      <c r="B445" s="8">
        <f t="shared" ca="1" si="56"/>
        <v>44637</v>
      </c>
      <c r="C445" s="15" t="str" cm="1">
        <f t="array" aca="1" ref="C445" ca="1">INDEX($Q$2:$Q$31, RANDBETWEEN(1, COUNTA($Q$2:$Q$31)))</f>
        <v>Cappuccino</v>
      </c>
      <c r="D445" s="10" t="str" cm="1">
        <f t="array" aca="1" ref="D445" ca="1">INDEX($R$2:$R$310, RANDBETWEEN(1, COUNTA($Q$2:$Q$310)))</f>
        <v>L</v>
      </c>
      <c r="E445">
        <f t="shared" ca="1" si="57"/>
        <v>2</v>
      </c>
      <c r="F445" cm="1">
        <f t="array" aca="1" ref="F445" ca="1">INDEX($S$2:$S$31, RANDBETWEEN(1, COUNTA($S$2:$S$31)))</f>
        <v>49000</v>
      </c>
      <c r="G445" cm="1">
        <f t="array" aca="1" ref="G445" ca="1">INDEX($S$2:$S$31, RANDBETWEEN(1, COUNTA($S$2:$S$31)))</f>
        <v>49000</v>
      </c>
      <c r="H445">
        <f t="shared" ca="1" si="58"/>
        <v>9</v>
      </c>
      <c r="I445">
        <f t="shared" ca="1" si="59"/>
        <v>49000</v>
      </c>
      <c r="J445" s="10" t="str">
        <f t="shared" ca="1" si="60"/>
        <v>Offline</v>
      </c>
      <c r="K445" s="10">
        <f t="shared" ca="1" si="61"/>
        <v>49000</v>
      </c>
      <c r="L445" s="10">
        <f t="shared" ca="1" si="62"/>
        <v>98000</v>
      </c>
      <c r="M445" s="12" t="str" cm="1">
        <f t="array" aca="1" ref="M445" ca="1">INDEX($R$33:$R$82, RANDBETWEEN(1, COUNTA($R$33:$R$82)))</f>
        <v>NV11</v>
      </c>
      <c r="N445">
        <f t="shared" ca="1" si="63"/>
        <v>14</v>
      </c>
    </row>
    <row r="446" spans="1:14" ht="16.8" x14ac:dyDescent="0.3">
      <c r="A446" s="7" t="str">
        <f t="shared" si="55"/>
        <v>S0445</v>
      </c>
      <c r="B446" s="8">
        <f t="shared" ca="1" si="56"/>
        <v>45097</v>
      </c>
      <c r="C446" s="15" t="str" cm="1">
        <f t="array" aca="1" ref="C446" ca="1">INDEX($Q$2:$Q$31, RANDBETWEEN(1, COUNTA($Q$2:$Q$31)))</f>
        <v>Cookies &amp; Cream</v>
      </c>
      <c r="D446" s="10" t="str" cm="1">
        <f t="array" aca="1" ref="D446" ca="1">INDEX($R$2:$R$310, RANDBETWEEN(1, COUNTA($Q$2:$Q$310)))</f>
        <v>M</v>
      </c>
      <c r="E446">
        <f t="shared" ca="1" si="57"/>
        <v>1</v>
      </c>
      <c r="F446" cm="1">
        <f t="array" aca="1" ref="F446" ca="1">INDEX($S$2:$S$31, RANDBETWEEN(1, COUNTA($S$2:$S$31)))</f>
        <v>59000</v>
      </c>
      <c r="G446" cm="1">
        <f t="array" aca="1" ref="G446" ca="1">INDEX($S$2:$S$31, RANDBETWEEN(1, COUNTA($S$2:$S$31)))</f>
        <v>49000</v>
      </c>
      <c r="H446">
        <f t="shared" ca="1" si="58"/>
        <v>7</v>
      </c>
      <c r="I446">
        <f t="shared" ca="1" si="59"/>
        <v>54869.999999999993</v>
      </c>
      <c r="J446" s="10" t="str">
        <f t="shared" ca="1" si="60"/>
        <v>Online</v>
      </c>
      <c r="K446" s="10">
        <f t="shared" ca="1" si="61"/>
        <v>54869.999999999993</v>
      </c>
      <c r="L446" s="10">
        <f t="shared" ca="1" si="62"/>
        <v>54869.999999999993</v>
      </c>
      <c r="M446" s="12" t="str" cm="1">
        <f t="array" aca="1" ref="M446" ca="1">INDEX($R$33:$R$82, RANDBETWEEN(1, COUNTA($R$33:$R$82)))</f>
        <v>NV27</v>
      </c>
      <c r="N446">
        <f t="shared" ca="1" si="63"/>
        <v>18</v>
      </c>
    </row>
    <row r="447" spans="1:14" ht="16.8" x14ac:dyDescent="0.3">
      <c r="A447" s="7" t="str">
        <f t="shared" ref="A447:A510" si="64">"S"&amp;TEXT(ROW()-1,"0000")</f>
        <v>S0446</v>
      </c>
      <c r="B447" s="8">
        <f t="shared" ref="B447:B510" ca="1" si="65">DATE(2021,1,1) + RANDBETWEEN(0,1095)</f>
        <v>44489</v>
      </c>
      <c r="C447" s="15" t="str" cm="1">
        <f t="array" aca="1" ref="C447" ca="1">INDEX($Q$2:$Q$31, RANDBETWEEN(1, COUNTA($Q$2:$Q$31)))</f>
        <v xml:space="preserve">Chocolate Freeze </v>
      </c>
      <c r="D447" s="10" t="str" cm="1">
        <f t="array" aca="1" ref="D447" ca="1">INDEX($R$2:$R$310, RANDBETWEEN(1, COUNTA($Q$2:$Q$310)))</f>
        <v>L</v>
      </c>
      <c r="E447">
        <f t="shared" ref="E447:E510" ca="1" si="66">RANDBETWEEN(1,5)</f>
        <v>3</v>
      </c>
      <c r="F447" cm="1">
        <f t="array" aca="1" ref="F447" ca="1">INDEX($S$2:$S$31, RANDBETWEEN(1, COUNTA($S$2:$S$31)))</f>
        <v>65000</v>
      </c>
      <c r="G447" cm="1">
        <f t="array" aca="1" ref="G447" ca="1">INDEX($S$2:$S$31, RANDBETWEEN(1, COUNTA($S$2:$S$31)))</f>
        <v>65000</v>
      </c>
      <c r="H447">
        <f t="shared" ca="1" si="58"/>
        <v>10</v>
      </c>
      <c r="I447">
        <f t="shared" ca="1" si="59"/>
        <v>65000</v>
      </c>
      <c r="J447" s="10" t="str">
        <f t="shared" ca="1" si="60"/>
        <v>Offline</v>
      </c>
      <c r="K447" s="10">
        <f t="shared" ca="1" si="61"/>
        <v>65000</v>
      </c>
      <c r="L447" s="10">
        <f t="shared" ca="1" si="62"/>
        <v>195000</v>
      </c>
      <c r="M447" s="12" t="str" cm="1">
        <f t="array" aca="1" ref="M447" ca="1">INDEX($R$33:$R$82, RANDBETWEEN(1, COUNTA($R$33:$R$82)))</f>
        <v>NV35</v>
      </c>
      <c r="N447">
        <f t="shared" ca="1" si="63"/>
        <v>7</v>
      </c>
    </row>
    <row r="448" spans="1:14" ht="16.8" x14ac:dyDescent="0.3">
      <c r="A448" s="7" t="str">
        <f t="shared" si="64"/>
        <v>S0447</v>
      </c>
      <c r="B448" s="8">
        <f t="shared" ca="1" si="65"/>
        <v>44655</v>
      </c>
      <c r="C448" s="15" t="str" cm="1">
        <f t="array" aca="1" ref="C448" ca="1">INDEX($Q$2:$Q$31, RANDBETWEEN(1, COUNTA($Q$2:$Q$31)))</f>
        <v>Cappuccino</v>
      </c>
      <c r="D448" s="10" t="str" cm="1">
        <f t="array" aca="1" ref="D448" ca="1">INDEX($R$2:$R$310, RANDBETWEEN(1, COUNTA($Q$2:$Q$310)))</f>
        <v>S</v>
      </c>
      <c r="E448">
        <f t="shared" ca="1" si="66"/>
        <v>1</v>
      </c>
      <c r="F448" cm="1">
        <f t="array" aca="1" ref="F448" ca="1">INDEX($S$2:$S$31, RANDBETWEEN(1, COUNTA($S$2:$S$31)))</f>
        <v>65000</v>
      </c>
      <c r="G448" cm="1">
        <f t="array" aca="1" ref="G448" ca="1">INDEX($S$2:$S$31, RANDBETWEEN(1, COUNTA($S$2:$S$31)))</f>
        <v>49000</v>
      </c>
      <c r="H448">
        <f t="shared" ca="1" si="58"/>
        <v>9</v>
      </c>
      <c r="I448">
        <f t="shared" ca="1" si="59"/>
        <v>59150</v>
      </c>
      <c r="J448" s="10" t="str">
        <f t="shared" ca="1" si="60"/>
        <v>Online</v>
      </c>
      <c r="K448" s="10">
        <f t="shared" ca="1" si="61"/>
        <v>59150</v>
      </c>
      <c r="L448" s="10">
        <f t="shared" ca="1" si="62"/>
        <v>59150</v>
      </c>
      <c r="M448" s="12" t="str" cm="1">
        <f t="array" aca="1" ref="M448" ca="1">INDEX($R$33:$R$82, RANDBETWEEN(1, COUNTA($R$33:$R$82)))</f>
        <v>NV35</v>
      </c>
      <c r="N448">
        <f t="shared" ca="1" si="63"/>
        <v>18</v>
      </c>
    </row>
    <row r="449" spans="1:14" ht="16.8" x14ac:dyDescent="0.3">
      <c r="A449" s="7" t="str">
        <f t="shared" si="64"/>
        <v>S0448</v>
      </c>
      <c r="B449" s="8">
        <f t="shared" ca="1" si="65"/>
        <v>45287</v>
      </c>
      <c r="C449" s="15" t="str" cm="1">
        <f t="array" aca="1" ref="C449" ca="1">INDEX($Q$2:$Q$31, RANDBETWEEN(1, COUNTA($Q$2:$Q$31)))</f>
        <v xml:space="preserve">Green Tea Freeze </v>
      </c>
      <c r="D449" s="10" t="str" cm="1">
        <f t="array" aca="1" ref="D449" ca="1">INDEX($R$2:$R$310, RANDBETWEEN(1, COUNTA($Q$2:$Q$310)))</f>
        <v>L</v>
      </c>
      <c r="E449">
        <f t="shared" ca="1" si="66"/>
        <v>2</v>
      </c>
      <c r="F449" cm="1">
        <f t="array" aca="1" ref="F449" ca="1">INDEX($S$2:$S$31, RANDBETWEEN(1, COUNTA($S$2:$S$31)))</f>
        <v>75000</v>
      </c>
      <c r="G449" cm="1">
        <f t="array" aca="1" ref="G449" ca="1">INDEX($S$2:$S$31, RANDBETWEEN(1, COUNTA($S$2:$S$31)))</f>
        <v>69000</v>
      </c>
      <c r="H449">
        <f t="shared" ca="1" si="58"/>
        <v>9</v>
      </c>
      <c r="I449">
        <f t="shared" ca="1" si="59"/>
        <v>69000</v>
      </c>
      <c r="J449" s="10" t="str">
        <f t="shared" ca="1" si="60"/>
        <v>Offline</v>
      </c>
      <c r="K449" s="10">
        <f t="shared" ca="1" si="61"/>
        <v>69000</v>
      </c>
      <c r="L449" s="10">
        <f t="shared" ca="1" si="62"/>
        <v>138000</v>
      </c>
      <c r="M449" s="12" t="str" cm="1">
        <f t="array" aca="1" ref="M449" ca="1">INDEX($R$33:$R$82, RANDBETWEEN(1, COUNTA($R$33:$R$82)))</f>
        <v>NV9</v>
      </c>
      <c r="N449">
        <f t="shared" ca="1" si="63"/>
        <v>48</v>
      </c>
    </row>
    <row r="450" spans="1:14" ht="16.8" x14ac:dyDescent="0.3">
      <c r="A450" s="7" t="str">
        <f t="shared" si="64"/>
        <v>S0449</v>
      </c>
      <c r="B450" s="8">
        <f t="shared" ca="1" si="65"/>
        <v>45106</v>
      </c>
      <c r="C450" s="15" t="str" cm="1">
        <f t="array" aca="1" ref="C450" ca="1">INDEX($Q$2:$Q$31, RANDBETWEEN(1, COUNTA($Q$2:$Q$31)))</f>
        <v xml:space="preserve">Chocolate Freeze </v>
      </c>
      <c r="D450" s="10" t="str" cm="1">
        <f t="array" aca="1" ref="D450" ca="1">INDEX($R$2:$R$310, RANDBETWEEN(1, COUNTA($Q$2:$Q$310)))</f>
        <v>M</v>
      </c>
      <c r="E450">
        <f t="shared" ca="1" si="66"/>
        <v>3</v>
      </c>
      <c r="F450" cm="1">
        <f t="array" aca="1" ref="F450" ca="1">INDEX($S$2:$S$31, RANDBETWEEN(1, COUNTA($S$2:$S$31)))</f>
        <v>35000</v>
      </c>
      <c r="G450" cm="1">
        <f t="array" aca="1" ref="G450" ca="1">INDEX($S$2:$S$31, RANDBETWEEN(1, COUNTA($S$2:$S$31)))</f>
        <v>49000</v>
      </c>
      <c r="H450">
        <f t="shared" ca="1" si="58"/>
        <v>9</v>
      </c>
      <c r="I450">
        <f t="shared" ca="1" si="59"/>
        <v>31850</v>
      </c>
      <c r="J450" s="10" t="str">
        <f t="shared" ca="1" si="60"/>
        <v>Online</v>
      </c>
      <c r="K450" s="10">
        <f t="shared" ca="1" si="61"/>
        <v>31850</v>
      </c>
      <c r="L450" s="10">
        <f t="shared" ca="1" si="62"/>
        <v>95550</v>
      </c>
      <c r="M450" s="12" t="str" cm="1">
        <f t="array" aca="1" ref="M450" ca="1">INDEX($R$33:$R$82, RANDBETWEEN(1, COUNTA($R$33:$R$82)))</f>
        <v>NV16</v>
      </c>
      <c r="N450">
        <f t="shared" ca="1" si="63"/>
        <v>44</v>
      </c>
    </row>
    <row r="451" spans="1:14" ht="16.8" x14ac:dyDescent="0.3">
      <c r="A451" s="7" t="str">
        <f t="shared" si="64"/>
        <v>S0450</v>
      </c>
      <c r="B451" s="8">
        <f t="shared" ca="1" si="65"/>
        <v>45192</v>
      </c>
      <c r="C451" s="15" t="str" cm="1">
        <f t="array" aca="1" ref="C451" ca="1">INDEX($Q$2:$Q$31, RANDBETWEEN(1, COUNTA($Q$2:$Q$31)))</f>
        <v>Caramel Phin Freeze</v>
      </c>
      <c r="D451" s="10" t="str" cm="1">
        <f t="array" aca="1" ref="D451" ca="1">INDEX($R$2:$R$310, RANDBETWEEN(1, COUNTA($Q$2:$Q$310)))</f>
        <v>M</v>
      </c>
      <c r="E451">
        <f t="shared" ca="1" si="66"/>
        <v>2</v>
      </c>
      <c r="F451" cm="1">
        <f t="array" aca="1" ref="F451" ca="1">INDEX($S$2:$S$31, RANDBETWEEN(1, COUNTA($S$2:$S$31)))</f>
        <v>59000</v>
      </c>
      <c r="G451" cm="1">
        <f t="array" aca="1" ref="G451" ca="1">INDEX($S$2:$S$31, RANDBETWEEN(1, COUNTA($S$2:$S$31)))</f>
        <v>49000</v>
      </c>
      <c r="H451">
        <f t="shared" ref="H451:H514" ca="1" si="67">RANDBETWEEN(5,15)</f>
        <v>13</v>
      </c>
      <c r="I451">
        <f t="shared" ref="I451:I514" ca="1" si="68">IF(J451="Online", F451*(1-H451/100), G451)</f>
        <v>49000</v>
      </c>
      <c r="J451" s="10" t="str">
        <f t="shared" ref="J451:J514" ca="1" si="69">IF(RANDBETWEEN(1,2)=1,"Online","Offline")</f>
        <v>Offline</v>
      </c>
      <c r="K451" s="10">
        <f t="shared" ref="K451:K514" ca="1" si="70">I451</f>
        <v>49000</v>
      </c>
      <c r="L451" s="10">
        <f t="shared" ref="L451:L514" ca="1" si="71">E451*K451</f>
        <v>98000</v>
      </c>
      <c r="M451" s="12" t="str" cm="1">
        <f t="array" aca="1" ref="M451" ca="1">INDEX($R$33:$R$82, RANDBETWEEN(1, COUNTA($R$33:$R$82)))</f>
        <v>NV28</v>
      </c>
      <c r="N451">
        <f t="shared" ref="N451:N514" ca="1" si="72" xml:space="preserve"> RANDBETWEEN(2,51)</f>
        <v>28</v>
      </c>
    </row>
    <row r="452" spans="1:14" ht="16.8" x14ac:dyDescent="0.3">
      <c r="A452" s="7" t="str">
        <f t="shared" si="64"/>
        <v>S0451</v>
      </c>
      <c r="B452" s="8">
        <f t="shared" ca="1" si="65"/>
        <v>44970</v>
      </c>
      <c r="C452" s="15" t="str" cm="1">
        <f t="array" aca="1" ref="C452" ca="1">INDEX($Q$2:$Q$31, RANDBETWEEN(1, COUNTA($Q$2:$Q$31)))</f>
        <v>Classic Phin Freeze</v>
      </c>
      <c r="D452" s="10" t="str" cm="1">
        <f t="array" aca="1" ref="D452" ca="1">INDEX($R$2:$R$310, RANDBETWEEN(1, COUNTA($Q$2:$Q$310)))</f>
        <v>M</v>
      </c>
      <c r="E452">
        <f t="shared" ca="1" si="66"/>
        <v>1</v>
      </c>
      <c r="F452" cm="1">
        <f t="array" aca="1" ref="F452" ca="1">INDEX($S$2:$S$31, RANDBETWEEN(1, COUNTA($S$2:$S$31)))</f>
        <v>55000</v>
      </c>
      <c r="G452" cm="1">
        <f t="array" aca="1" ref="G452" ca="1">INDEX($S$2:$S$31, RANDBETWEEN(1, COUNTA($S$2:$S$31)))</f>
        <v>35000</v>
      </c>
      <c r="H452">
        <f t="shared" ca="1" si="67"/>
        <v>8</v>
      </c>
      <c r="I452">
        <f t="shared" ca="1" si="68"/>
        <v>35000</v>
      </c>
      <c r="J452" s="10" t="str">
        <f t="shared" ca="1" si="69"/>
        <v>Offline</v>
      </c>
      <c r="K452" s="10">
        <f t="shared" ca="1" si="70"/>
        <v>35000</v>
      </c>
      <c r="L452" s="10">
        <f t="shared" ca="1" si="71"/>
        <v>35000</v>
      </c>
      <c r="M452" s="12" t="str" cm="1">
        <f t="array" aca="1" ref="M452" ca="1">INDEX($R$33:$R$82, RANDBETWEEN(1, COUNTA($R$33:$R$82)))</f>
        <v>NV45</v>
      </c>
      <c r="N452">
        <f t="shared" ca="1" si="72"/>
        <v>34</v>
      </c>
    </row>
    <row r="453" spans="1:14" ht="16.8" x14ac:dyDescent="0.3">
      <c r="A453" s="7" t="str">
        <f t="shared" si="64"/>
        <v>S0452</v>
      </c>
      <c r="B453" s="8">
        <f t="shared" ca="1" si="65"/>
        <v>45138</v>
      </c>
      <c r="C453" s="15" t="str" cm="1">
        <f t="array" aca="1" ref="C453" ca="1">INDEX($Q$2:$Q$31, RANDBETWEEN(1, COUNTA($Q$2:$Q$31)))</f>
        <v>Americano</v>
      </c>
      <c r="D453" s="10" t="str" cm="1">
        <f t="array" aca="1" ref="D453" ca="1">INDEX($R$2:$R$310, RANDBETWEEN(1, COUNTA($Q$2:$Q$310)))</f>
        <v>L</v>
      </c>
      <c r="E453">
        <f t="shared" ca="1" si="66"/>
        <v>1</v>
      </c>
      <c r="F453" cm="1">
        <f t="array" aca="1" ref="F453" ca="1">INDEX($S$2:$S$31, RANDBETWEEN(1, COUNTA($S$2:$S$31)))</f>
        <v>59000</v>
      </c>
      <c r="G453" cm="1">
        <f t="array" aca="1" ref="G453" ca="1">INDEX($S$2:$S$31, RANDBETWEEN(1, COUNTA($S$2:$S$31)))</f>
        <v>59000</v>
      </c>
      <c r="H453">
        <f t="shared" ca="1" si="67"/>
        <v>15</v>
      </c>
      <c r="I453">
        <f t="shared" ca="1" si="68"/>
        <v>50150</v>
      </c>
      <c r="J453" s="10" t="str">
        <f t="shared" ca="1" si="69"/>
        <v>Online</v>
      </c>
      <c r="K453" s="10">
        <f t="shared" ca="1" si="70"/>
        <v>50150</v>
      </c>
      <c r="L453" s="10">
        <f t="shared" ca="1" si="71"/>
        <v>50150</v>
      </c>
      <c r="M453" s="12" t="str" cm="1">
        <f t="array" aca="1" ref="M453" ca="1">INDEX($R$33:$R$82, RANDBETWEEN(1, COUNTA($R$33:$R$82)))</f>
        <v>NV12</v>
      </c>
      <c r="N453">
        <f t="shared" ca="1" si="72"/>
        <v>23</v>
      </c>
    </row>
    <row r="454" spans="1:14" ht="16.8" x14ac:dyDescent="0.3">
      <c r="A454" s="7" t="str">
        <f t="shared" si="64"/>
        <v>S0453</v>
      </c>
      <c r="B454" s="8">
        <f t="shared" ca="1" si="65"/>
        <v>44793</v>
      </c>
      <c r="C454" s="15" t="str" cm="1">
        <f t="array" aca="1" ref="C454" ca="1">INDEX($Q$2:$Q$31, RANDBETWEEN(1, COUNTA($Q$2:$Q$31)))</f>
        <v xml:space="preserve">Green Tea Freeze </v>
      </c>
      <c r="D454" s="10" t="str" cm="1">
        <f t="array" aca="1" ref="D454" ca="1">INDEX($R$2:$R$310, RANDBETWEEN(1, COUNTA($Q$2:$Q$310)))</f>
        <v>S</v>
      </c>
      <c r="E454">
        <f t="shared" ca="1" si="66"/>
        <v>3</v>
      </c>
      <c r="F454" cm="1">
        <f t="array" aca="1" ref="F454" ca="1">INDEX($S$2:$S$31, RANDBETWEEN(1, COUNTA($S$2:$S$31)))</f>
        <v>65000</v>
      </c>
      <c r="G454" cm="1">
        <f t="array" aca="1" ref="G454" ca="1">INDEX($S$2:$S$31, RANDBETWEEN(1, COUNTA($S$2:$S$31)))</f>
        <v>65000</v>
      </c>
      <c r="H454">
        <f t="shared" ca="1" si="67"/>
        <v>10</v>
      </c>
      <c r="I454">
        <f t="shared" ca="1" si="68"/>
        <v>58500</v>
      </c>
      <c r="J454" s="10" t="str">
        <f t="shared" ca="1" si="69"/>
        <v>Online</v>
      </c>
      <c r="K454" s="10">
        <f t="shared" ca="1" si="70"/>
        <v>58500</v>
      </c>
      <c r="L454" s="10">
        <f t="shared" ca="1" si="71"/>
        <v>175500</v>
      </c>
      <c r="M454" s="12" t="str" cm="1">
        <f t="array" aca="1" ref="M454" ca="1">INDEX($R$33:$R$82, RANDBETWEEN(1, COUNTA($R$33:$R$82)))</f>
        <v>NV39</v>
      </c>
      <c r="N454">
        <f t="shared" ca="1" si="72"/>
        <v>11</v>
      </c>
    </row>
    <row r="455" spans="1:14" ht="16.8" x14ac:dyDescent="0.3">
      <c r="A455" s="7" t="str">
        <f t="shared" si="64"/>
        <v>S0454</v>
      </c>
      <c r="B455" s="8">
        <f t="shared" ca="1" si="65"/>
        <v>45244</v>
      </c>
      <c r="C455" s="15" t="str" cm="1">
        <f t="array" aca="1" ref="C455" ca="1">INDEX($Q$2:$Q$31, RANDBETWEEN(1, COUNTA($Q$2:$Q$31)))</f>
        <v>Cookies &amp; Cream</v>
      </c>
      <c r="D455" s="10" t="str" cm="1">
        <f t="array" aca="1" ref="D455" ca="1">INDEX($R$2:$R$310, RANDBETWEEN(1, COUNTA($Q$2:$Q$310)))</f>
        <v>S</v>
      </c>
      <c r="E455">
        <f t="shared" ca="1" si="66"/>
        <v>1</v>
      </c>
      <c r="F455" cm="1">
        <f t="array" aca="1" ref="F455" ca="1">INDEX($S$2:$S$31, RANDBETWEEN(1, COUNTA($S$2:$S$31)))</f>
        <v>59000</v>
      </c>
      <c r="G455" cm="1">
        <f t="array" aca="1" ref="G455" ca="1">INDEX($S$2:$S$31, RANDBETWEEN(1, COUNTA($S$2:$S$31)))</f>
        <v>65000</v>
      </c>
      <c r="H455">
        <f t="shared" ca="1" si="67"/>
        <v>9</v>
      </c>
      <c r="I455">
        <f t="shared" ca="1" si="68"/>
        <v>65000</v>
      </c>
      <c r="J455" s="10" t="str">
        <f t="shared" ca="1" si="69"/>
        <v>Offline</v>
      </c>
      <c r="K455" s="10">
        <f t="shared" ca="1" si="70"/>
        <v>65000</v>
      </c>
      <c r="L455" s="10">
        <f t="shared" ca="1" si="71"/>
        <v>65000</v>
      </c>
      <c r="M455" s="12" t="str" cm="1">
        <f t="array" aca="1" ref="M455" ca="1">INDEX($R$33:$R$82, RANDBETWEEN(1, COUNTA($R$33:$R$82)))</f>
        <v>NV8</v>
      </c>
      <c r="N455">
        <f t="shared" ca="1" si="72"/>
        <v>2</v>
      </c>
    </row>
    <row r="456" spans="1:14" ht="16.8" x14ac:dyDescent="0.3">
      <c r="A456" s="7" t="str">
        <f t="shared" si="64"/>
        <v>S0455</v>
      </c>
      <c r="B456" s="8">
        <f t="shared" ca="1" si="65"/>
        <v>44820</v>
      </c>
      <c r="C456" s="15" t="str" cm="1">
        <f t="array" aca="1" ref="C456" ca="1">INDEX($Q$2:$Q$31, RANDBETWEEN(1, COUNTA($Q$2:$Q$31)))</f>
        <v>Classic Phin Freeze</v>
      </c>
      <c r="D456" s="10" t="str" cm="1">
        <f t="array" aca="1" ref="D456" ca="1">INDEX($R$2:$R$310, RANDBETWEEN(1, COUNTA($Q$2:$Q$310)))</f>
        <v>S</v>
      </c>
      <c r="E456">
        <f t="shared" ca="1" si="66"/>
        <v>2</v>
      </c>
      <c r="F456" cm="1">
        <f t="array" aca="1" ref="F456" ca="1">INDEX($S$2:$S$31, RANDBETWEEN(1, COUNTA($S$2:$S$31)))</f>
        <v>35000</v>
      </c>
      <c r="G456" cm="1">
        <f t="array" aca="1" ref="G456" ca="1">INDEX($S$2:$S$31, RANDBETWEEN(1, COUNTA($S$2:$S$31)))</f>
        <v>35000</v>
      </c>
      <c r="H456">
        <f t="shared" ca="1" si="67"/>
        <v>5</v>
      </c>
      <c r="I456">
        <f t="shared" ca="1" si="68"/>
        <v>35000</v>
      </c>
      <c r="J456" s="10" t="str">
        <f t="shared" ca="1" si="69"/>
        <v>Offline</v>
      </c>
      <c r="K456" s="10">
        <f t="shared" ca="1" si="70"/>
        <v>35000</v>
      </c>
      <c r="L456" s="10">
        <f t="shared" ca="1" si="71"/>
        <v>70000</v>
      </c>
      <c r="M456" s="12" t="str" cm="1">
        <f t="array" aca="1" ref="M456" ca="1">INDEX($R$33:$R$82, RANDBETWEEN(1, COUNTA($R$33:$R$82)))</f>
        <v>NV10</v>
      </c>
      <c r="N456">
        <f t="shared" ca="1" si="72"/>
        <v>20</v>
      </c>
    </row>
    <row r="457" spans="1:14" ht="16.8" x14ac:dyDescent="0.3">
      <c r="A457" s="7" t="str">
        <f t="shared" si="64"/>
        <v>S0456</v>
      </c>
      <c r="B457" s="8">
        <f t="shared" ca="1" si="65"/>
        <v>45177</v>
      </c>
      <c r="C457" s="15" t="str" cm="1">
        <f t="array" aca="1" ref="C457" ca="1">INDEX($Q$2:$Q$31, RANDBETWEEN(1, COUNTA($Q$2:$Q$31)))</f>
        <v>Cookies &amp; Cream</v>
      </c>
      <c r="D457" s="10" t="str" cm="1">
        <f t="array" aca="1" ref="D457" ca="1">INDEX($R$2:$R$310, RANDBETWEEN(1, COUNTA($Q$2:$Q$310)))</f>
        <v>L</v>
      </c>
      <c r="E457">
        <f t="shared" ca="1" si="66"/>
        <v>5</v>
      </c>
      <c r="F457" cm="1">
        <f t="array" aca="1" ref="F457" ca="1">INDEX($S$2:$S$31, RANDBETWEEN(1, COUNTA($S$2:$S$31)))</f>
        <v>49000</v>
      </c>
      <c r="G457" cm="1">
        <f t="array" aca="1" ref="G457" ca="1">INDEX($S$2:$S$31, RANDBETWEEN(1, COUNTA($S$2:$S$31)))</f>
        <v>59000</v>
      </c>
      <c r="H457">
        <f t="shared" ca="1" si="67"/>
        <v>6</v>
      </c>
      <c r="I457">
        <f t="shared" ca="1" si="68"/>
        <v>59000</v>
      </c>
      <c r="J457" s="10" t="str">
        <f t="shared" ca="1" si="69"/>
        <v>Offline</v>
      </c>
      <c r="K457" s="10">
        <f t="shared" ca="1" si="70"/>
        <v>59000</v>
      </c>
      <c r="L457" s="10">
        <f t="shared" ca="1" si="71"/>
        <v>295000</v>
      </c>
      <c r="M457" s="12" t="str" cm="1">
        <f t="array" aca="1" ref="M457" ca="1">INDEX($R$33:$R$82, RANDBETWEEN(1, COUNTA($R$33:$R$82)))</f>
        <v>NV22</v>
      </c>
      <c r="N457">
        <f t="shared" ca="1" si="72"/>
        <v>47</v>
      </c>
    </row>
    <row r="458" spans="1:14" ht="16.8" x14ac:dyDescent="0.3">
      <c r="A458" s="7" t="str">
        <f t="shared" si="64"/>
        <v>S0457</v>
      </c>
      <c r="B458" s="8">
        <f t="shared" ca="1" si="65"/>
        <v>45221</v>
      </c>
      <c r="C458" s="15" t="str" cm="1">
        <f t="array" aca="1" ref="C458" ca="1">INDEX($Q$2:$Q$31, RANDBETWEEN(1, COUNTA($Q$2:$Q$31)))</f>
        <v>Caramel Phin Freeze</v>
      </c>
      <c r="D458" s="10" t="str" cm="1">
        <f t="array" aca="1" ref="D458" ca="1">INDEX($R$2:$R$310, RANDBETWEEN(1, COUNTA($Q$2:$Q$310)))</f>
        <v>S</v>
      </c>
      <c r="E458">
        <f t="shared" ca="1" si="66"/>
        <v>1</v>
      </c>
      <c r="F458" cm="1">
        <f t="array" aca="1" ref="F458" ca="1">INDEX($S$2:$S$31, RANDBETWEEN(1, COUNTA($S$2:$S$31)))</f>
        <v>69000</v>
      </c>
      <c r="G458" cm="1">
        <f t="array" aca="1" ref="G458" ca="1">INDEX($S$2:$S$31, RANDBETWEEN(1, COUNTA($S$2:$S$31)))</f>
        <v>75000</v>
      </c>
      <c r="H458">
        <f t="shared" ca="1" si="67"/>
        <v>9</v>
      </c>
      <c r="I458">
        <f t="shared" ca="1" si="68"/>
        <v>62790</v>
      </c>
      <c r="J458" s="10" t="str">
        <f t="shared" ca="1" si="69"/>
        <v>Online</v>
      </c>
      <c r="K458" s="10">
        <f t="shared" ca="1" si="70"/>
        <v>62790</v>
      </c>
      <c r="L458" s="10">
        <f t="shared" ca="1" si="71"/>
        <v>62790</v>
      </c>
      <c r="M458" s="12" t="str" cm="1">
        <f t="array" aca="1" ref="M458" ca="1">INDEX($R$33:$R$82, RANDBETWEEN(1, COUNTA($R$33:$R$82)))</f>
        <v>NV29</v>
      </c>
      <c r="N458">
        <f t="shared" ca="1" si="72"/>
        <v>8</v>
      </c>
    </row>
    <row r="459" spans="1:14" ht="16.8" x14ac:dyDescent="0.3">
      <c r="A459" s="7" t="str">
        <f t="shared" si="64"/>
        <v>S0458</v>
      </c>
      <c r="B459" s="8">
        <f t="shared" ca="1" si="65"/>
        <v>45087</v>
      </c>
      <c r="C459" s="15" t="str" cm="1">
        <f t="array" aca="1" ref="C459" ca="1">INDEX($Q$2:$Q$31, RANDBETWEEN(1, COUNTA($Q$2:$Q$31)))</f>
        <v xml:space="preserve">Chocolate Freeze </v>
      </c>
      <c r="D459" s="10" t="str" cm="1">
        <f t="array" aca="1" ref="D459" ca="1">INDEX($R$2:$R$310, RANDBETWEEN(1, COUNTA($Q$2:$Q$310)))</f>
        <v>L</v>
      </c>
      <c r="E459">
        <f t="shared" ca="1" si="66"/>
        <v>5</v>
      </c>
      <c r="F459" cm="1">
        <f t="array" aca="1" ref="F459" ca="1">INDEX($S$2:$S$31, RANDBETWEEN(1, COUNTA($S$2:$S$31)))</f>
        <v>65000</v>
      </c>
      <c r="G459" cm="1">
        <f t="array" aca="1" ref="G459" ca="1">INDEX($S$2:$S$31, RANDBETWEEN(1, COUNTA($S$2:$S$31)))</f>
        <v>39000</v>
      </c>
      <c r="H459">
        <f t="shared" ca="1" si="67"/>
        <v>9</v>
      </c>
      <c r="I459">
        <f t="shared" ca="1" si="68"/>
        <v>59150</v>
      </c>
      <c r="J459" s="10" t="str">
        <f t="shared" ca="1" si="69"/>
        <v>Online</v>
      </c>
      <c r="K459" s="10">
        <f t="shared" ca="1" si="70"/>
        <v>59150</v>
      </c>
      <c r="L459" s="10">
        <f t="shared" ca="1" si="71"/>
        <v>295750</v>
      </c>
      <c r="M459" s="12" t="str" cm="1">
        <f t="array" aca="1" ref="M459" ca="1">INDEX($R$33:$R$82, RANDBETWEEN(1, COUNTA($R$33:$R$82)))</f>
        <v>NV47</v>
      </c>
      <c r="N459">
        <f t="shared" ca="1" si="72"/>
        <v>34</v>
      </c>
    </row>
    <row r="460" spans="1:14" ht="16.8" x14ac:dyDescent="0.3">
      <c r="A460" s="7" t="str">
        <f t="shared" si="64"/>
        <v>S0459</v>
      </c>
      <c r="B460" s="8">
        <f t="shared" ca="1" si="65"/>
        <v>44575</v>
      </c>
      <c r="C460" s="15" t="str" cm="1">
        <f t="array" aca="1" ref="C460" ca="1">INDEX($Q$2:$Q$31, RANDBETWEEN(1, COUNTA($Q$2:$Q$31)))</f>
        <v>Americano</v>
      </c>
      <c r="D460" s="10" t="str" cm="1">
        <f t="array" aca="1" ref="D460" ca="1">INDEX($R$2:$R$310, RANDBETWEEN(1, COUNTA($Q$2:$Q$310)))</f>
        <v>S</v>
      </c>
      <c r="E460">
        <f t="shared" ca="1" si="66"/>
        <v>3</v>
      </c>
      <c r="F460" cm="1">
        <f t="array" aca="1" ref="F460" ca="1">INDEX($S$2:$S$31, RANDBETWEEN(1, COUNTA($S$2:$S$31)))</f>
        <v>65000</v>
      </c>
      <c r="G460" cm="1">
        <f t="array" aca="1" ref="G460" ca="1">INDEX($S$2:$S$31, RANDBETWEEN(1, COUNTA($S$2:$S$31)))</f>
        <v>39000</v>
      </c>
      <c r="H460">
        <f t="shared" ca="1" si="67"/>
        <v>10</v>
      </c>
      <c r="I460">
        <f t="shared" ca="1" si="68"/>
        <v>58500</v>
      </c>
      <c r="J460" s="10" t="str">
        <f t="shared" ca="1" si="69"/>
        <v>Online</v>
      </c>
      <c r="K460" s="10">
        <f t="shared" ca="1" si="70"/>
        <v>58500</v>
      </c>
      <c r="L460" s="10">
        <f t="shared" ca="1" si="71"/>
        <v>175500</v>
      </c>
      <c r="M460" s="12" t="str" cm="1">
        <f t="array" aca="1" ref="M460" ca="1">INDEX($R$33:$R$82, RANDBETWEEN(1, COUNTA($R$33:$R$82)))</f>
        <v>NV4</v>
      </c>
      <c r="N460">
        <f t="shared" ca="1" si="72"/>
        <v>8</v>
      </c>
    </row>
    <row r="461" spans="1:14" ht="16.8" x14ac:dyDescent="0.3">
      <c r="A461" s="7" t="str">
        <f t="shared" si="64"/>
        <v>S0460</v>
      </c>
      <c r="B461" s="8">
        <f t="shared" ca="1" si="65"/>
        <v>44217</v>
      </c>
      <c r="C461" s="15" t="str" cm="1">
        <f t="array" aca="1" ref="C461" ca="1">INDEX($Q$2:$Q$31, RANDBETWEEN(1, COUNTA($Q$2:$Q$31)))</f>
        <v>Iced Black Coffee</v>
      </c>
      <c r="D461" s="10" t="str" cm="1">
        <f t="array" aca="1" ref="D461" ca="1">INDEX($R$2:$R$310, RANDBETWEEN(1, COUNTA($Q$2:$Q$310)))</f>
        <v>M</v>
      </c>
      <c r="E461">
        <f t="shared" ca="1" si="66"/>
        <v>4</v>
      </c>
      <c r="F461" cm="1">
        <f t="array" aca="1" ref="F461" ca="1">INDEX($S$2:$S$31, RANDBETWEEN(1, COUNTA($S$2:$S$31)))</f>
        <v>45000</v>
      </c>
      <c r="G461" cm="1">
        <f t="array" aca="1" ref="G461" ca="1">INDEX($S$2:$S$31, RANDBETWEEN(1, COUNTA($S$2:$S$31)))</f>
        <v>65000</v>
      </c>
      <c r="H461">
        <f t="shared" ca="1" si="67"/>
        <v>10</v>
      </c>
      <c r="I461">
        <f t="shared" ca="1" si="68"/>
        <v>65000</v>
      </c>
      <c r="J461" s="10" t="str">
        <f t="shared" ca="1" si="69"/>
        <v>Offline</v>
      </c>
      <c r="K461" s="10">
        <f t="shared" ca="1" si="70"/>
        <v>65000</v>
      </c>
      <c r="L461" s="10">
        <f t="shared" ca="1" si="71"/>
        <v>260000</v>
      </c>
      <c r="M461" s="12" t="str" cm="1">
        <f t="array" aca="1" ref="M461" ca="1">INDEX($R$33:$R$82, RANDBETWEEN(1, COUNTA($R$33:$R$82)))</f>
        <v>NV20</v>
      </c>
      <c r="N461">
        <f t="shared" ca="1" si="72"/>
        <v>31</v>
      </c>
    </row>
    <row r="462" spans="1:14" ht="16.8" x14ac:dyDescent="0.3">
      <c r="A462" s="7" t="str">
        <f t="shared" si="64"/>
        <v>S0461</v>
      </c>
      <c r="B462" s="8">
        <f t="shared" ca="1" si="65"/>
        <v>44671</v>
      </c>
      <c r="C462" s="15" t="str" cm="1">
        <f t="array" aca="1" ref="C462" ca="1">INDEX($Q$2:$Q$31, RANDBETWEEN(1, COUNTA($Q$2:$Q$31)))</f>
        <v xml:space="preserve">Green Tea Freeze </v>
      </c>
      <c r="D462" s="10" t="str" cm="1">
        <f t="array" aca="1" ref="D462" ca="1">INDEX($R$2:$R$310, RANDBETWEEN(1, COUNTA($Q$2:$Q$310)))</f>
        <v>L</v>
      </c>
      <c r="E462">
        <f t="shared" ca="1" si="66"/>
        <v>1</v>
      </c>
      <c r="F462" cm="1">
        <f t="array" aca="1" ref="F462" ca="1">INDEX($S$2:$S$31, RANDBETWEEN(1, COUNTA($S$2:$S$31)))</f>
        <v>65000</v>
      </c>
      <c r="G462" cm="1">
        <f t="array" aca="1" ref="G462" ca="1">INDEX($S$2:$S$31, RANDBETWEEN(1, COUNTA($S$2:$S$31)))</f>
        <v>59000</v>
      </c>
      <c r="H462">
        <f t="shared" ca="1" si="67"/>
        <v>15</v>
      </c>
      <c r="I462">
        <f t="shared" ca="1" si="68"/>
        <v>55250</v>
      </c>
      <c r="J462" s="10" t="str">
        <f t="shared" ca="1" si="69"/>
        <v>Online</v>
      </c>
      <c r="K462" s="10">
        <f t="shared" ca="1" si="70"/>
        <v>55250</v>
      </c>
      <c r="L462" s="10">
        <f t="shared" ca="1" si="71"/>
        <v>55250</v>
      </c>
      <c r="M462" s="12" t="str" cm="1">
        <f t="array" aca="1" ref="M462" ca="1">INDEX($R$33:$R$82, RANDBETWEEN(1, COUNTA($R$33:$R$82)))</f>
        <v>NV40</v>
      </c>
      <c r="N462">
        <f t="shared" ca="1" si="72"/>
        <v>11</v>
      </c>
    </row>
    <row r="463" spans="1:14" ht="16.8" x14ac:dyDescent="0.3">
      <c r="A463" s="7" t="str">
        <f t="shared" si="64"/>
        <v>S0462</v>
      </c>
      <c r="B463" s="8">
        <f t="shared" ca="1" si="65"/>
        <v>45277</v>
      </c>
      <c r="C463" s="15" t="str" cm="1">
        <f t="array" aca="1" ref="C463" ca="1">INDEX($Q$2:$Q$31, RANDBETWEEN(1, COUNTA($Q$2:$Q$31)))</f>
        <v>Iced Black Coffee</v>
      </c>
      <c r="D463" s="10" t="str" cm="1">
        <f t="array" aca="1" ref="D463" ca="1">INDEX($R$2:$R$310, RANDBETWEEN(1, COUNTA($Q$2:$Q$310)))</f>
        <v>L</v>
      </c>
      <c r="E463">
        <f t="shared" ca="1" si="66"/>
        <v>3</v>
      </c>
      <c r="F463" cm="1">
        <f t="array" aca="1" ref="F463" ca="1">INDEX($S$2:$S$31, RANDBETWEEN(1, COUNTA($S$2:$S$31)))</f>
        <v>59000</v>
      </c>
      <c r="G463" cm="1">
        <f t="array" aca="1" ref="G463" ca="1">INDEX($S$2:$S$31, RANDBETWEEN(1, COUNTA($S$2:$S$31)))</f>
        <v>59000</v>
      </c>
      <c r="H463">
        <f t="shared" ca="1" si="67"/>
        <v>8</v>
      </c>
      <c r="I463">
        <f t="shared" ca="1" si="68"/>
        <v>59000</v>
      </c>
      <c r="J463" s="10" t="str">
        <f t="shared" ca="1" si="69"/>
        <v>Offline</v>
      </c>
      <c r="K463" s="10">
        <f t="shared" ca="1" si="70"/>
        <v>59000</v>
      </c>
      <c r="L463" s="10">
        <f t="shared" ca="1" si="71"/>
        <v>177000</v>
      </c>
      <c r="M463" s="12" t="str" cm="1">
        <f t="array" aca="1" ref="M463" ca="1">INDEX($R$33:$R$82, RANDBETWEEN(1, COUNTA($R$33:$R$82)))</f>
        <v>NV36</v>
      </c>
      <c r="N463">
        <f t="shared" ca="1" si="72"/>
        <v>41</v>
      </c>
    </row>
    <row r="464" spans="1:14" ht="16.8" x14ac:dyDescent="0.3">
      <c r="A464" s="7" t="str">
        <f t="shared" si="64"/>
        <v>S0463</v>
      </c>
      <c r="B464" s="8">
        <f t="shared" ca="1" si="65"/>
        <v>45288</v>
      </c>
      <c r="C464" s="15" t="str" cm="1">
        <f t="array" aca="1" ref="C464" ca="1">INDEX($Q$2:$Q$31, RANDBETWEEN(1, COUNTA($Q$2:$Q$31)))</f>
        <v>Mocha</v>
      </c>
      <c r="D464" s="10" t="str" cm="1">
        <f t="array" aca="1" ref="D464" ca="1">INDEX($R$2:$R$310, RANDBETWEEN(1, COUNTA($Q$2:$Q$310)))</f>
        <v>M</v>
      </c>
      <c r="E464">
        <f t="shared" ca="1" si="66"/>
        <v>1</v>
      </c>
      <c r="F464" cm="1">
        <f t="array" aca="1" ref="F464" ca="1">INDEX($S$2:$S$31, RANDBETWEEN(1, COUNTA($S$2:$S$31)))</f>
        <v>39000</v>
      </c>
      <c r="G464" cm="1">
        <f t="array" aca="1" ref="G464" ca="1">INDEX($S$2:$S$31, RANDBETWEEN(1, COUNTA($S$2:$S$31)))</f>
        <v>69000</v>
      </c>
      <c r="H464">
        <f t="shared" ca="1" si="67"/>
        <v>6</v>
      </c>
      <c r="I464">
        <f t="shared" ca="1" si="68"/>
        <v>36660</v>
      </c>
      <c r="J464" s="10" t="str">
        <f t="shared" ca="1" si="69"/>
        <v>Online</v>
      </c>
      <c r="K464" s="10">
        <f t="shared" ca="1" si="70"/>
        <v>36660</v>
      </c>
      <c r="L464" s="10">
        <f t="shared" ca="1" si="71"/>
        <v>36660</v>
      </c>
      <c r="M464" s="12" t="str" cm="1">
        <f t="array" aca="1" ref="M464" ca="1">INDEX($R$33:$R$82, RANDBETWEEN(1, COUNTA($R$33:$R$82)))</f>
        <v>NV32</v>
      </c>
      <c r="N464">
        <f t="shared" ca="1" si="72"/>
        <v>27</v>
      </c>
    </row>
    <row r="465" spans="1:14" ht="16.8" x14ac:dyDescent="0.3">
      <c r="A465" s="7" t="str">
        <f t="shared" si="64"/>
        <v>S0464</v>
      </c>
      <c r="B465" s="8">
        <f t="shared" ca="1" si="65"/>
        <v>44252</v>
      </c>
      <c r="C465" s="15" t="str" cm="1">
        <f t="array" aca="1" ref="C465" ca="1">INDEX($Q$2:$Q$31, RANDBETWEEN(1, COUNTA($Q$2:$Q$31)))</f>
        <v>Iced Black Coffee</v>
      </c>
      <c r="D465" s="10" t="str" cm="1">
        <f t="array" aca="1" ref="D465" ca="1">INDEX($R$2:$R$310, RANDBETWEEN(1, COUNTA($Q$2:$Q$310)))</f>
        <v>M</v>
      </c>
      <c r="E465">
        <f t="shared" ca="1" si="66"/>
        <v>4</v>
      </c>
      <c r="F465" cm="1">
        <f t="array" aca="1" ref="F465" ca="1">INDEX($S$2:$S$31, RANDBETWEEN(1, COUNTA($S$2:$S$31)))</f>
        <v>59000</v>
      </c>
      <c r="G465" cm="1">
        <f t="array" aca="1" ref="G465" ca="1">INDEX($S$2:$S$31, RANDBETWEEN(1, COUNTA($S$2:$S$31)))</f>
        <v>39000</v>
      </c>
      <c r="H465">
        <f t="shared" ca="1" si="67"/>
        <v>8</v>
      </c>
      <c r="I465">
        <f t="shared" ca="1" si="68"/>
        <v>54280</v>
      </c>
      <c r="J465" s="10" t="str">
        <f t="shared" ca="1" si="69"/>
        <v>Online</v>
      </c>
      <c r="K465" s="10">
        <f t="shared" ca="1" si="70"/>
        <v>54280</v>
      </c>
      <c r="L465" s="10">
        <f t="shared" ca="1" si="71"/>
        <v>217120</v>
      </c>
      <c r="M465" s="12" t="str" cm="1">
        <f t="array" aca="1" ref="M465" ca="1">INDEX($R$33:$R$82, RANDBETWEEN(1, COUNTA($R$33:$R$82)))</f>
        <v>NV4</v>
      </c>
      <c r="N465">
        <f t="shared" ca="1" si="72"/>
        <v>27</v>
      </c>
    </row>
    <row r="466" spans="1:14" ht="16.8" x14ac:dyDescent="0.3">
      <c r="A466" s="7" t="str">
        <f t="shared" si="64"/>
        <v>S0465</v>
      </c>
      <c r="B466" s="8">
        <f t="shared" ca="1" si="65"/>
        <v>45276</v>
      </c>
      <c r="C466" s="15" t="str" cm="1">
        <f t="array" aca="1" ref="C466" ca="1">INDEX($Q$2:$Q$31, RANDBETWEEN(1, COUNTA($Q$2:$Q$31)))</f>
        <v>Mocha</v>
      </c>
      <c r="D466" s="10" t="str" cm="1">
        <f t="array" aca="1" ref="D466" ca="1">INDEX($R$2:$R$310, RANDBETWEEN(1, COUNTA($Q$2:$Q$310)))</f>
        <v>M</v>
      </c>
      <c r="E466">
        <f t="shared" ca="1" si="66"/>
        <v>3</v>
      </c>
      <c r="F466" cm="1">
        <f t="array" aca="1" ref="F466" ca="1">INDEX($S$2:$S$31, RANDBETWEEN(1, COUNTA($S$2:$S$31)))</f>
        <v>55000</v>
      </c>
      <c r="G466" cm="1">
        <f t="array" aca="1" ref="G466" ca="1">INDEX($S$2:$S$31, RANDBETWEEN(1, COUNTA($S$2:$S$31)))</f>
        <v>39000</v>
      </c>
      <c r="H466">
        <f t="shared" ca="1" si="67"/>
        <v>13</v>
      </c>
      <c r="I466">
        <f t="shared" ca="1" si="68"/>
        <v>47850</v>
      </c>
      <c r="J466" s="10" t="str">
        <f t="shared" ca="1" si="69"/>
        <v>Online</v>
      </c>
      <c r="K466" s="10">
        <f t="shared" ca="1" si="70"/>
        <v>47850</v>
      </c>
      <c r="L466" s="10">
        <f t="shared" ca="1" si="71"/>
        <v>143550</v>
      </c>
      <c r="M466" s="12" t="str" cm="1">
        <f t="array" aca="1" ref="M466" ca="1">INDEX($R$33:$R$82, RANDBETWEEN(1, COUNTA($R$33:$R$82)))</f>
        <v>NV36</v>
      </c>
      <c r="N466">
        <f t="shared" ca="1" si="72"/>
        <v>22</v>
      </c>
    </row>
    <row r="467" spans="1:14" ht="16.8" x14ac:dyDescent="0.3">
      <c r="A467" s="7" t="str">
        <f t="shared" si="64"/>
        <v>S0466</v>
      </c>
      <c r="B467" s="8">
        <f t="shared" ca="1" si="65"/>
        <v>44202</v>
      </c>
      <c r="C467" s="15" t="str" cm="1">
        <f t="array" aca="1" ref="C467" ca="1">INDEX($Q$2:$Q$31, RANDBETWEEN(1, COUNTA($Q$2:$Q$31)))</f>
        <v>Classic Phin Freeze</v>
      </c>
      <c r="D467" s="10" t="str" cm="1">
        <f t="array" aca="1" ref="D467" ca="1">INDEX($R$2:$R$310, RANDBETWEEN(1, COUNTA($Q$2:$Q$310)))</f>
        <v>M</v>
      </c>
      <c r="E467">
        <f t="shared" ca="1" si="66"/>
        <v>2</v>
      </c>
      <c r="F467" cm="1">
        <f t="array" aca="1" ref="F467" ca="1">INDEX($S$2:$S$31, RANDBETWEEN(1, COUNTA($S$2:$S$31)))</f>
        <v>69000</v>
      </c>
      <c r="G467" cm="1">
        <f t="array" aca="1" ref="G467" ca="1">INDEX($S$2:$S$31, RANDBETWEEN(1, COUNTA($S$2:$S$31)))</f>
        <v>65000</v>
      </c>
      <c r="H467">
        <f t="shared" ca="1" si="67"/>
        <v>13</v>
      </c>
      <c r="I467">
        <f t="shared" ca="1" si="68"/>
        <v>65000</v>
      </c>
      <c r="J467" s="10" t="str">
        <f t="shared" ca="1" si="69"/>
        <v>Offline</v>
      </c>
      <c r="K467" s="10">
        <f t="shared" ca="1" si="70"/>
        <v>65000</v>
      </c>
      <c r="L467" s="10">
        <f t="shared" ca="1" si="71"/>
        <v>130000</v>
      </c>
      <c r="M467" s="12" t="str" cm="1">
        <f t="array" aca="1" ref="M467" ca="1">INDEX($R$33:$R$82, RANDBETWEEN(1, COUNTA($R$33:$R$82)))</f>
        <v>NV28</v>
      </c>
      <c r="N467">
        <f t="shared" ca="1" si="72"/>
        <v>20</v>
      </c>
    </row>
    <row r="468" spans="1:14" ht="16.8" x14ac:dyDescent="0.3">
      <c r="A468" s="7" t="str">
        <f t="shared" si="64"/>
        <v>S0467</v>
      </c>
      <c r="B468" s="8">
        <f t="shared" ca="1" si="65"/>
        <v>45274</v>
      </c>
      <c r="C468" s="15" t="str" cm="1">
        <f t="array" aca="1" ref="C468" ca="1">INDEX($Q$2:$Q$31, RANDBETWEEN(1, COUNTA($Q$2:$Q$31)))</f>
        <v xml:space="preserve">Chocolate Freeze </v>
      </c>
      <c r="D468" s="10" t="str" cm="1">
        <f t="array" aca="1" ref="D468" ca="1">INDEX($R$2:$R$310, RANDBETWEEN(1, COUNTA($Q$2:$Q$310)))</f>
        <v>L</v>
      </c>
      <c r="E468">
        <f t="shared" ca="1" si="66"/>
        <v>4</v>
      </c>
      <c r="F468" cm="1">
        <f t="array" aca="1" ref="F468" ca="1">INDEX($S$2:$S$31, RANDBETWEEN(1, COUNTA($S$2:$S$31)))</f>
        <v>69000</v>
      </c>
      <c r="G468" cm="1">
        <f t="array" aca="1" ref="G468" ca="1">INDEX($S$2:$S$31, RANDBETWEEN(1, COUNTA($S$2:$S$31)))</f>
        <v>49000</v>
      </c>
      <c r="H468">
        <f t="shared" ca="1" si="67"/>
        <v>5</v>
      </c>
      <c r="I468">
        <f t="shared" ca="1" si="68"/>
        <v>65550</v>
      </c>
      <c r="J468" s="10" t="str">
        <f t="shared" ca="1" si="69"/>
        <v>Online</v>
      </c>
      <c r="K468" s="10">
        <f t="shared" ca="1" si="70"/>
        <v>65550</v>
      </c>
      <c r="L468" s="10">
        <f t="shared" ca="1" si="71"/>
        <v>262200</v>
      </c>
      <c r="M468" s="12" t="str" cm="1">
        <f t="array" aca="1" ref="M468" ca="1">INDEX($R$33:$R$82, RANDBETWEEN(1, COUNTA($R$33:$R$82)))</f>
        <v>NV37</v>
      </c>
      <c r="N468">
        <f t="shared" ca="1" si="72"/>
        <v>4</v>
      </c>
    </row>
    <row r="469" spans="1:14" ht="16.8" x14ac:dyDescent="0.3">
      <c r="A469" s="7" t="str">
        <f t="shared" si="64"/>
        <v>S0468</v>
      </c>
      <c r="B469" s="8">
        <f t="shared" ca="1" si="65"/>
        <v>44751</v>
      </c>
      <c r="C469" s="15" t="str" cm="1">
        <f t="array" aca="1" ref="C469" ca="1">INDEX($Q$2:$Q$31, RANDBETWEEN(1, COUNTA($Q$2:$Q$31)))</f>
        <v>Iced Black Coffee</v>
      </c>
      <c r="D469" s="10" t="str" cm="1">
        <f t="array" aca="1" ref="D469" ca="1">INDEX($R$2:$R$310, RANDBETWEEN(1, COUNTA($Q$2:$Q$310)))</f>
        <v>S</v>
      </c>
      <c r="E469">
        <f t="shared" ca="1" si="66"/>
        <v>1</v>
      </c>
      <c r="F469" cm="1">
        <f t="array" aca="1" ref="F469" ca="1">INDEX($S$2:$S$31, RANDBETWEEN(1, COUNTA($S$2:$S$31)))</f>
        <v>65000</v>
      </c>
      <c r="G469" cm="1">
        <f t="array" aca="1" ref="G469" ca="1">INDEX($S$2:$S$31, RANDBETWEEN(1, COUNTA($S$2:$S$31)))</f>
        <v>39000</v>
      </c>
      <c r="H469">
        <f t="shared" ca="1" si="67"/>
        <v>8</v>
      </c>
      <c r="I469">
        <f t="shared" ca="1" si="68"/>
        <v>59800</v>
      </c>
      <c r="J469" s="10" t="str">
        <f t="shared" ca="1" si="69"/>
        <v>Online</v>
      </c>
      <c r="K469" s="10">
        <f t="shared" ca="1" si="70"/>
        <v>59800</v>
      </c>
      <c r="L469" s="10">
        <f t="shared" ca="1" si="71"/>
        <v>59800</v>
      </c>
      <c r="M469" s="12" t="str" cm="1">
        <f t="array" aca="1" ref="M469" ca="1">INDEX($R$33:$R$82, RANDBETWEEN(1, COUNTA($R$33:$R$82)))</f>
        <v>NV16</v>
      </c>
      <c r="N469">
        <f t="shared" ca="1" si="72"/>
        <v>43</v>
      </c>
    </row>
    <row r="470" spans="1:14" ht="16.8" x14ac:dyDescent="0.3">
      <c r="A470" s="7" t="str">
        <f t="shared" si="64"/>
        <v>S0469</v>
      </c>
      <c r="B470" s="8">
        <f t="shared" ca="1" si="65"/>
        <v>45082</v>
      </c>
      <c r="C470" s="15" t="str" cm="1">
        <f t="array" aca="1" ref="C470" ca="1">INDEX($Q$2:$Q$31, RANDBETWEEN(1, COUNTA($Q$2:$Q$31)))</f>
        <v>Iced Black Coffee</v>
      </c>
      <c r="D470" s="10" t="str" cm="1">
        <f t="array" aca="1" ref="D470" ca="1">INDEX($R$2:$R$310, RANDBETWEEN(1, COUNTA($Q$2:$Q$310)))</f>
        <v>M</v>
      </c>
      <c r="E470">
        <f t="shared" ca="1" si="66"/>
        <v>2</v>
      </c>
      <c r="F470" cm="1">
        <f t="array" aca="1" ref="F470" ca="1">INDEX($S$2:$S$31, RANDBETWEEN(1, COUNTA($S$2:$S$31)))</f>
        <v>75000</v>
      </c>
      <c r="G470" cm="1">
        <f t="array" aca="1" ref="G470" ca="1">INDEX($S$2:$S$31, RANDBETWEEN(1, COUNTA($S$2:$S$31)))</f>
        <v>65000</v>
      </c>
      <c r="H470">
        <f t="shared" ca="1" si="67"/>
        <v>6</v>
      </c>
      <c r="I470">
        <f t="shared" ca="1" si="68"/>
        <v>70500</v>
      </c>
      <c r="J470" s="10" t="str">
        <f t="shared" ca="1" si="69"/>
        <v>Online</v>
      </c>
      <c r="K470" s="10">
        <f t="shared" ca="1" si="70"/>
        <v>70500</v>
      </c>
      <c r="L470" s="10">
        <f t="shared" ca="1" si="71"/>
        <v>141000</v>
      </c>
      <c r="M470" s="12" t="str" cm="1">
        <f t="array" aca="1" ref="M470" ca="1">INDEX($R$33:$R$82, RANDBETWEEN(1, COUNTA($R$33:$R$82)))</f>
        <v>NV31</v>
      </c>
      <c r="N470">
        <f t="shared" ca="1" si="72"/>
        <v>15</v>
      </c>
    </row>
    <row r="471" spans="1:14" ht="16.8" x14ac:dyDescent="0.3">
      <c r="A471" s="7" t="str">
        <f t="shared" si="64"/>
        <v>S0470</v>
      </c>
      <c r="B471" s="8">
        <f t="shared" ca="1" si="65"/>
        <v>44645</v>
      </c>
      <c r="C471" s="15" t="str" cm="1">
        <f t="array" aca="1" ref="C471" ca="1">INDEX($Q$2:$Q$31, RANDBETWEEN(1, COUNTA($Q$2:$Q$31)))</f>
        <v>Iced Black Coffee</v>
      </c>
      <c r="D471" s="10" t="str" cm="1">
        <f t="array" aca="1" ref="D471" ca="1">INDEX($R$2:$R$310, RANDBETWEEN(1, COUNTA($Q$2:$Q$310)))</f>
        <v>S</v>
      </c>
      <c r="E471">
        <f t="shared" ca="1" si="66"/>
        <v>2</v>
      </c>
      <c r="F471" cm="1">
        <f t="array" aca="1" ref="F471" ca="1">INDEX($S$2:$S$31, RANDBETWEEN(1, COUNTA($S$2:$S$31)))</f>
        <v>65000</v>
      </c>
      <c r="G471" cm="1">
        <f t="array" aca="1" ref="G471" ca="1">INDEX($S$2:$S$31, RANDBETWEEN(1, COUNTA($S$2:$S$31)))</f>
        <v>59000</v>
      </c>
      <c r="H471">
        <f t="shared" ca="1" si="67"/>
        <v>9</v>
      </c>
      <c r="I471">
        <f t="shared" ca="1" si="68"/>
        <v>59150</v>
      </c>
      <c r="J471" s="10" t="str">
        <f t="shared" ca="1" si="69"/>
        <v>Online</v>
      </c>
      <c r="K471" s="10">
        <f t="shared" ca="1" si="70"/>
        <v>59150</v>
      </c>
      <c r="L471" s="10">
        <f t="shared" ca="1" si="71"/>
        <v>118300</v>
      </c>
      <c r="M471" s="12" t="str" cm="1">
        <f t="array" aca="1" ref="M471" ca="1">INDEX($R$33:$R$82, RANDBETWEEN(1, COUNTA($R$33:$R$82)))</f>
        <v>NV46</v>
      </c>
      <c r="N471">
        <f t="shared" ca="1" si="72"/>
        <v>41</v>
      </c>
    </row>
    <row r="472" spans="1:14" ht="16.8" x14ac:dyDescent="0.3">
      <c r="A472" s="7" t="str">
        <f t="shared" si="64"/>
        <v>S0471</v>
      </c>
      <c r="B472" s="8">
        <f t="shared" ca="1" si="65"/>
        <v>44420</v>
      </c>
      <c r="C472" s="15" t="str" cm="1">
        <f t="array" aca="1" ref="C472" ca="1">INDEX($Q$2:$Q$31, RANDBETWEEN(1, COUNTA($Q$2:$Q$31)))</f>
        <v>Cappuccino</v>
      </c>
      <c r="D472" s="10" t="str" cm="1">
        <f t="array" aca="1" ref="D472" ca="1">INDEX($R$2:$R$310, RANDBETWEEN(1, COUNTA($Q$2:$Q$310)))</f>
        <v>M</v>
      </c>
      <c r="E472">
        <f t="shared" ca="1" si="66"/>
        <v>2</v>
      </c>
      <c r="F472" cm="1">
        <f t="array" aca="1" ref="F472" ca="1">INDEX($S$2:$S$31, RANDBETWEEN(1, COUNTA($S$2:$S$31)))</f>
        <v>55000</v>
      </c>
      <c r="G472" cm="1">
        <f t="array" aca="1" ref="G472" ca="1">INDEX($S$2:$S$31, RANDBETWEEN(1, COUNTA($S$2:$S$31)))</f>
        <v>39000</v>
      </c>
      <c r="H472">
        <f t="shared" ca="1" si="67"/>
        <v>8</v>
      </c>
      <c r="I472">
        <f t="shared" ca="1" si="68"/>
        <v>39000</v>
      </c>
      <c r="J472" s="10" t="str">
        <f t="shared" ca="1" si="69"/>
        <v>Offline</v>
      </c>
      <c r="K472" s="10">
        <f t="shared" ca="1" si="70"/>
        <v>39000</v>
      </c>
      <c r="L472" s="10">
        <f t="shared" ca="1" si="71"/>
        <v>78000</v>
      </c>
      <c r="M472" s="12" t="str" cm="1">
        <f t="array" aca="1" ref="M472" ca="1">INDEX($R$33:$R$82, RANDBETWEEN(1, COUNTA($R$33:$R$82)))</f>
        <v>NV4</v>
      </c>
      <c r="N472">
        <f t="shared" ca="1" si="72"/>
        <v>41</v>
      </c>
    </row>
    <row r="473" spans="1:14" ht="16.8" x14ac:dyDescent="0.3">
      <c r="A473" s="7" t="str">
        <f t="shared" si="64"/>
        <v>S0472</v>
      </c>
      <c r="B473" s="8">
        <f t="shared" ca="1" si="65"/>
        <v>44945</v>
      </c>
      <c r="C473" s="15" t="str" cm="1">
        <f t="array" aca="1" ref="C473" ca="1">INDEX($Q$2:$Q$31, RANDBETWEEN(1, COUNTA($Q$2:$Q$31)))</f>
        <v xml:space="preserve">Chocolate Freeze </v>
      </c>
      <c r="D473" s="10" t="str" cm="1">
        <f t="array" aca="1" ref="D473" ca="1">INDEX($R$2:$R$310, RANDBETWEEN(1, COUNTA($Q$2:$Q$310)))</f>
        <v>M</v>
      </c>
      <c r="E473">
        <f t="shared" ca="1" si="66"/>
        <v>2</v>
      </c>
      <c r="F473" cm="1">
        <f t="array" aca="1" ref="F473" ca="1">INDEX($S$2:$S$31, RANDBETWEEN(1, COUNTA($S$2:$S$31)))</f>
        <v>49000</v>
      </c>
      <c r="G473" cm="1">
        <f t="array" aca="1" ref="G473" ca="1">INDEX($S$2:$S$31, RANDBETWEEN(1, COUNTA($S$2:$S$31)))</f>
        <v>49000</v>
      </c>
      <c r="H473">
        <f t="shared" ca="1" si="67"/>
        <v>15</v>
      </c>
      <c r="I473">
        <f t="shared" ca="1" si="68"/>
        <v>49000</v>
      </c>
      <c r="J473" s="10" t="str">
        <f t="shared" ca="1" si="69"/>
        <v>Offline</v>
      </c>
      <c r="K473" s="10">
        <f t="shared" ca="1" si="70"/>
        <v>49000</v>
      </c>
      <c r="L473" s="10">
        <f t="shared" ca="1" si="71"/>
        <v>98000</v>
      </c>
      <c r="M473" s="12" t="str" cm="1">
        <f t="array" aca="1" ref="M473" ca="1">INDEX($R$33:$R$82, RANDBETWEEN(1, COUNTA($R$33:$R$82)))</f>
        <v>NV47</v>
      </c>
      <c r="N473">
        <f t="shared" ca="1" si="72"/>
        <v>36</v>
      </c>
    </row>
    <row r="474" spans="1:14" ht="16.8" x14ac:dyDescent="0.3">
      <c r="A474" s="7" t="str">
        <f t="shared" si="64"/>
        <v>S0473</v>
      </c>
      <c r="B474" s="8">
        <f t="shared" ca="1" si="65"/>
        <v>44426</v>
      </c>
      <c r="C474" s="15" t="str" cm="1">
        <f t="array" aca="1" ref="C474" ca="1">INDEX($Q$2:$Q$31, RANDBETWEEN(1, COUNTA($Q$2:$Q$31)))</f>
        <v>Caramel Phin Freeze</v>
      </c>
      <c r="D474" s="10" t="str" cm="1">
        <f t="array" aca="1" ref="D474" ca="1">INDEX($R$2:$R$310, RANDBETWEEN(1, COUNTA($Q$2:$Q$310)))</f>
        <v>S</v>
      </c>
      <c r="E474">
        <f t="shared" ca="1" si="66"/>
        <v>4</v>
      </c>
      <c r="F474" cm="1">
        <f t="array" aca="1" ref="F474" ca="1">INDEX($S$2:$S$31, RANDBETWEEN(1, COUNTA($S$2:$S$31)))</f>
        <v>49000</v>
      </c>
      <c r="G474" cm="1">
        <f t="array" aca="1" ref="G474" ca="1">INDEX($S$2:$S$31, RANDBETWEEN(1, COUNTA($S$2:$S$31)))</f>
        <v>49000</v>
      </c>
      <c r="H474">
        <f t="shared" ca="1" si="67"/>
        <v>8</v>
      </c>
      <c r="I474">
        <f t="shared" ca="1" si="68"/>
        <v>45080</v>
      </c>
      <c r="J474" s="10" t="str">
        <f t="shared" ca="1" si="69"/>
        <v>Online</v>
      </c>
      <c r="K474" s="10">
        <f t="shared" ca="1" si="70"/>
        <v>45080</v>
      </c>
      <c r="L474" s="10">
        <f t="shared" ca="1" si="71"/>
        <v>180320</v>
      </c>
      <c r="M474" s="12" t="str" cm="1">
        <f t="array" aca="1" ref="M474" ca="1">INDEX($R$33:$R$82, RANDBETWEEN(1, COUNTA($R$33:$R$82)))</f>
        <v>NV40</v>
      </c>
      <c r="N474">
        <f t="shared" ca="1" si="72"/>
        <v>26</v>
      </c>
    </row>
    <row r="475" spans="1:14" ht="16.8" x14ac:dyDescent="0.3">
      <c r="A475" s="7" t="str">
        <f t="shared" si="64"/>
        <v>S0474</v>
      </c>
      <c r="B475" s="8">
        <f t="shared" ca="1" si="65"/>
        <v>45212</v>
      </c>
      <c r="C475" s="15" t="str" cm="1">
        <f t="array" aca="1" ref="C475" ca="1">INDEX($Q$2:$Q$31, RANDBETWEEN(1, COUNTA($Q$2:$Q$31)))</f>
        <v>Latte</v>
      </c>
      <c r="D475" s="10" t="str" cm="1">
        <f t="array" aca="1" ref="D475" ca="1">INDEX($R$2:$R$310, RANDBETWEEN(1, COUNTA($Q$2:$Q$310)))</f>
        <v>L</v>
      </c>
      <c r="E475">
        <f t="shared" ca="1" si="66"/>
        <v>5</v>
      </c>
      <c r="F475" cm="1">
        <f t="array" aca="1" ref="F475" ca="1">INDEX($S$2:$S$31, RANDBETWEEN(1, COUNTA($S$2:$S$31)))</f>
        <v>45000</v>
      </c>
      <c r="G475" cm="1">
        <f t="array" aca="1" ref="G475" ca="1">INDEX($S$2:$S$31, RANDBETWEEN(1, COUNTA($S$2:$S$31)))</f>
        <v>39000</v>
      </c>
      <c r="H475">
        <f t="shared" ca="1" si="67"/>
        <v>9</v>
      </c>
      <c r="I475">
        <f t="shared" ca="1" si="68"/>
        <v>40950</v>
      </c>
      <c r="J475" s="10" t="str">
        <f t="shared" ca="1" si="69"/>
        <v>Online</v>
      </c>
      <c r="K475" s="10">
        <f t="shared" ca="1" si="70"/>
        <v>40950</v>
      </c>
      <c r="L475" s="10">
        <f t="shared" ca="1" si="71"/>
        <v>204750</v>
      </c>
      <c r="M475" s="12" t="str" cm="1">
        <f t="array" aca="1" ref="M475" ca="1">INDEX($R$33:$R$82, RANDBETWEEN(1, COUNTA($R$33:$R$82)))</f>
        <v>NV50</v>
      </c>
      <c r="N475">
        <f t="shared" ca="1" si="72"/>
        <v>42</v>
      </c>
    </row>
    <row r="476" spans="1:14" ht="16.8" x14ac:dyDescent="0.3">
      <c r="A476" s="7" t="str">
        <f t="shared" si="64"/>
        <v>S0475</v>
      </c>
      <c r="B476" s="8">
        <f t="shared" ca="1" si="65"/>
        <v>44239</v>
      </c>
      <c r="C476" s="15" t="str" cm="1">
        <f t="array" aca="1" ref="C476" ca="1">INDEX($Q$2:$Q$31, RANDBETWEEN(1, COUNTA($Q$2:$Q$31)))</f>
        <v>Latte</v>
      </c>
      <c r="D476" s="10" t="str" cm="1">
        <f t="array" aca="1" ref="D476" ca="1">INDEX($R$2:$R$310, RANDBETWEEN(1, COUNTA($Q$2:$Q$310)))</f>
        <v>M</v>
      </c>
      <c r="E476">
        <f t="shared" ca="1" si="66"/>
        <v>2</v>
      </c>
      <c r="F476" cm="1">
        <f t="array" aca="1" ref="F476" ca="1">INDEX($S$2:$S$31, RANDBETWEEN(1, COUNTA($S$2:$S$31)))</f>
        <v>55000</v>
      </c>
      <c r="G476" cm="1">
        <f t="array" aca="1" ref="G476" ca="1">INDEX($S$2:$S$31, RANDBETWEEN(1, COUNTA($S$2:$S$31)))</f>
        <v>49000</v>
      </c>
      <c r="H476">
        <f t="shared" ca="1" si="67"/>
        <v>6</v>
      </c>
      <c r="I476">
        <f t="shared" ca="1" si="68"/>
        <v>51700</v>
      </c>
      <c r="J476" s="10" t="str">
        <f t="shared" ca="1" si="69"/>
        <v>Online</v>
      </c>
      <c r="K476" s="10">
        <f t="shared" ca="1" si="70"/>
        <v>51700</v>
      </c>
      <c r="L476" s="10">
        <f t="shared" ca="1" si="71"/>
        <v>103400</v>
      </c>
      <c r="M476" s="12" t="str" cm="1">
        <f t="array" aca="1" ref="M476" ca="1">INDEX($R$33:$R$82, RANDBETWEEN(1, COUNTA($R$33:$R$82)))</f>
        <v>NV14</v>
      </c>
      <c r="N476">
        <f t="shared" ca="1" si="72"/>
        <v>48</v>
      </c>
    </row>
    <row r="477" spans="1:14" ht="16.8" x14ac:dyDescent="0.3">
      <c r="A477" s="7" t="str">
        <f t="shared" si="64"/>
        <v>S0476</v>
      </c>
      <c r="B477" s="8">
        <f t="shared" ca="1" si="65"/>
        <v>44264</v>
      </c>
      <c r="C477" s="15" t="str" cm="1">
        <f t="array" aca="1" ref="C477" ca="1">INDEX($Q$2:$Q$31, RANDBETWEEN(1, COUNTA($Q$2:$Q$31)))</f>
        <v>Mocha</v>
      </c>
      <c r="D477" s="10" t="str" cm="1">
        <f t="array" aca="1" ref="D477" ca="1">INDEX($R$2:$R$310, RANDBETWEEN(1, COUNTA($Q$2:$Q$310)))</f>
        <v>M</v>
      </c>
      <c r="E477">
        <f t="shared" ca="1" si="66"/>
        <v>5</v>
      </c>
      <c r="F477" cm="1">
        <f t="array" aca="1" ref="F477" ca="1">INDEX($S$2:$S$31, RANDBETWEEN(1, COUNTA($S$2:$S$31)))</f>
        <v>49000</v>
      </c>
      <c r="G477" cm="1">
        <f t="array" aca="1" ref="G477" ca="1">INDEX($S$2:$S$31, RANDBETWEEN(1, COUNTA($S$2:$S$31)))</f>
        <v>35000</v>
      </c>
      <c r="H477">
        <f t="shared" ca="1" si="67"/>
        <v>13</v>
      </c>
      <c r="I477">
        <f t="shared" ca="1" si="68"/>
        <v>35000</v>
      </c>
      <c r="J477" s="10" t="str">
        <f t="shared" ca="1" si="69"/>
        <v>Offline</v>
      </c>
      <c r="K477" s="10">
        <f t="shared" ca="1" si="70"/>
        <v>35000</v>
      </c>
      <c r="L477" s="10">
        <f t="shared" ca="1" si="71"/>
        <v>175000</v>
      </c>
      <c r="M477" s="12" t="str" cm="1">
        <f t="array" aca="1" ref="M477" ca="1">INDEX($R$33:$R$82, RANDBETWEEN(1, COUNTA($R$33:$R$82)))</f>
        <v>NV40</v>
      </c>
      <c r="N477">
        <f t="shared" ca="1" si="72"/>
        <v>21</v>
      </c>
    </row>
    <row r="478" spans="1:14" ht="16.8" x14ac:dyDescent="0.3">
      <c r="A478" s="7" t="str">
        <f t="shared" si="64"/>
        <v>S0477</v>
      </c>
      <c r="B478" s="8">
        <f t="shared" ca="1" si="65"/>
        <v>44834</v>
      </c>
      <c r="C478" s="15" t="str" cm="1">
        <f t="array" aca="1" ref="C478" ca="1">INDEX($Q$2:$Q$31, RANDBETWEEN(1, COUNTA($Q$2:$Q$31)))</f>
        <v xml:space="preserve">Green Tea Freeze </v>
      </c>
      <c r="D478" s="10" t="str" cm="1">
        <f t="array" aca="1" ref="D478" ca="1">INDEX($R$2:$R$310, RANDBETWEEN(1, COUNTA($Q$2:$Q$310)))</f>
        <v>L</v>
      </c>
      <c r="E478">
        <f t="shared" ca="1" si="66"/>
        <v>4</v>
      </c>
      <c r="F478" cm="1">
        <f t="array" aca="1" ref="F478" ca="1">INDEX($S$2:$S$31, RANDBETWEEN(1, COUNTA($S$2:$S$31)))</f>
        <v>69000</v>
      </c>
      <c r="G478" cm="1">
        <f t="array" aca="1" ref="G478" ca="1">INDEX($S$2:$S$31, RANDBETWEEN(1, COUNTA($S$2:$S$31)))</f>
        <v>65000</v>
      </c>
      <c r="H478">
        <f t="shared" ca="1" si="67"/>
        <v>15</v>
      </c>
      <c r="I478">
        <f t="shared" ca="1" si="68"/>
        <v>65000</v>
      </c>
      <c r="J478" s="10" t="str">
        <f t="shared" ca="1" si="69"/>
        <v>Offline</v>
      </c>
      <c r="K478" s="10">
        <f t="shared" ca="1" si="70"/>
        <v>65000</v>
      </c>
      <c r="L478" s="10">
        <f t="shared" ca="1" si="71"/>
        <v>260000</v>
      </c>
      <c r="M478" s="12" t="str" cm="1">
        <f t="array" aca="1" ref="M478" ca="1">INDEX($R$33:$R$82, RANDBETWEEN(1, COUNTA($R$33:$R$82)))</f>
        <v>NV36</v>
      </c>
      <c r="N478">
        <f t="shared" ca="1" si="72"/>
        <v>38</v>
      </c>
    </row>
    <row r="479" spans="1:14" ht="16.8" x14ac:dyDescent="0.3">
      <c r="A479" s="7" t="str">
        <f t="shared" si="64"/>
        <v>S0478</v>
      </c>
      <c r="B479" s="8">
        <f t="shared" ca="1" si="65"/>
        <v>44249</v>
      </c>
      <c r="C479" s="15" t="str" cm="1">
        <f t="array" aca="1" ref="C479" ca="1">INDEX($Q$2:$Q$31, RANDBETWEEN(1, COUNTA($Q$2:$Q$31)))</f>
        <v>Latte</v>
      </c>
      <c r="D479" s="10" t="str" cm="1">
        <f t="array" aca="1" ref="D479" ca="1">INDEX($R$2:$R$310, RANDBETWEEN(1, COUNTA($Q$2:$Q$310)))</f>
        <v>S</v>
      </c>
      <c r="E479">
        <f t="shared" ca="1" si="66"/>
        <v>2</v>
      </c>
      <c r="F479" cm="1">
        <f t="array" aca="1" ref="F479" ca="1">INDEX($S$2:$S$31, RANDBETWEEN(1, COUNTA($S$2:$S$31)))</f>
        <v>49000</v>
      </c>
      <c r="G479" cm="1">
        <f t="array" aca="1" ref="G479" ca="1">INDEX($S$2:$S$31, RANDBETWEEN(1, COUNTA($S$2:$S$31)))</f>
        <v>69000</v>
      </c>
      <c r="H479">
        <f t="shared" ca="1" si="67"/>
        <v>11</v>
      </c>
      <c r="I479">
        <f t="shared" ca="1" si="68"/>
        <v>69000</v>
      </c>
      <c r="J479" s="10" t="str">
        <f t="shared" ca="1" si="69"/>
        <v>Offline</v>
      </c>
      <c r="K479" s="10">
        <f t="shared" ca="1" si="70"/>
        <v>69000</v>
      </c>
      <c r="L479" s="10">
        <f t="shared" ca="1" si="71"/>
        <v>138000</v>
      </c>
      <c r="M479" s="12" t="str" cm="1">
        <f t="array" aca="1" ref="M479" ca="1">INDEX($R$33:$R$82, RANDBETWEEN(1, COUNTA($R$33:$R$82)))</f>
        <v>NV6</v>
      </c>
      <c r="N479">
        <f t="shared" ca="1" si="72"/>
        <v>43</v>
      </c>
    </row>
    <row r="480" spans="1:14" ht="16.8" x14ac:dyDescent="0.3">
      <c r="A480" s="7" t="str">
        <f t="shared" si="64"/>
        <v>S0479</v>
      </c>
      <c r="B480" s="8">
        <f t="shared" ca="1" si="65"/>
        <v>44246</v>
      </c>
      <c r="C480" s="15" t="str" cm="1">
        <f t="array" aca="1" ref="C480" ca="1">INDEX($Q$2:$Q$31, RANDBETWEEN(1, COUNTA($Q$2:$Q$31)))</f>
        <v xml:space="preserve">Chocolate Freeze </v>
      </c>
      <c r="D480" s="10" t="str" cm="1">
        <f t="array" aca="1" ref="D480" ca="1">INDEX($R$2:$R$310, RANDBETWEEN(1, COUNTA($Q$2:$Q$310)))</f>
        <v>L</v>
      </c>
      <c r="E480">
        <f t="shared" ca="1" si="66"/>
        <v>4</v>
      </c>
      <c r="F480" cm="1">
        <f t="array" aca="1" ref="F480" ca="1">INDEX($S$2:$S$31, RANDBETWEEN(1, COUNTA($S$2:$S$31)))</f>
        <v>49000</v>
      </c>
      <c r="G480" cm="1">
        <f t="array" aca="1" ref="G480" ca="1">INDEX($S$2:$S$31, RANDBETWEEN(1, COUNTA($S$2:$S$31)))</f>
        <v>49000</v>
      </c>
      <c r="H480">
        <f t="shared" ca="1" si="67"/>
        <v>8</v>
      </c>
      <c r="I480">
        <f t="shared" ca="1" si="68"/>
        <v>49000</v>
      </c>
      <c r="J480" s="10" t="str">
        <f t="shared" ca="1" si="69"/>
        <v>Offline</v>
      </c>
      <c r="K480" s="10">
        <f t="shared" ca="1" si="70"/>
        <v>49000</v>
      </c>
      <c r="L480" s="10">
        <f t="shared" ca="1" si="71"/>
        <v>196000</v>
      </c>
      <c r="M480" s="12" t="str" cm="1">
        <f t="array" aca="1" ref="M480" ca="1">INDEX($R$33:$R$82, RANDBETWEEN(1, COUNTA($R$33:$R$82)))</f>
        <v>NV37</v>
      </c>
      <c r="N480">
        <f t="shared" ca="1" si="72"/>
        <v>24</v>
      </c>
    </row>
    <row r="481" spans="1:14" ht="16.8" x14ac:dyDescent="0.3">
      <c r="A481" s="7" t="str">
        <f t="shared" si="64"/>
        <v>S0480</v>
      </c>
      <c r="B481" s="8">
        <f t="shared" ca="1" si="65"/>
        <v>44466</v>
      </c>
      <c r="C481" s="15" t="str" cm="1">
        <f t="array" aca="1" ref="C481" ca="1">INDEX($Q$2:$Q$31, RANDBETWEEN(1, COUNTA($Q$2:$Q$31)))</f>
        <v>Cappuccino</v>
      </c>
      <c r="D481" s="10" t="str" cm="1">
        <f t="array" aca="1" ref="D481" ca="1">INDEX($R$2:$R$310, RANDBETWEEN(1, COUNTA($Q$2:$Q$310)))</f>
        <v>M</v>
      </c>
      <c r="E481">
        <f t="shared" ca="1" si="66"/>
        <v>2</v>
      </c>
      <c r="F481" cm="1">
        <f t="array" aca="1" ref="F481" ca="1">INDEX($S$2:$S$31, RANDBETWEEN(1, COUNTA($S$2:$S$31)))</f>
        <v>55000</v>
      </c>
      <c r="G481" cm="1">
        <f t="array" aca="1" ref="G481" ca="1">INDEX($S$2:$S$31, RANDBETWEEN(1, COUNTA($S$2:$S$31)))</f>
        <v>59000</v>
      </c>
      <c r="H481">
        <f t="shared" ca="1" si="67"/>
        <v>8</v>
      </c>
      <c r="I481">
        <f t="shared" ca="1" si="68"/>
        <v>59000</v>
      </c>
      <c r="J481" s="10" t="str">
        <f t="shared" ca="1" si="69"/>
        <v>Offline</v>
      </c>
      <c r="K481" s="10">
        <f t="shared" ca="1" si="70"/>
        <v>59000</v>
      </c>
      <c r="L481" s="10">
        <f t="shared" ca="1" si="71"/>
        <v>118000</v>
      </c>
      <c r="M481" s="12" t="str" cm="1">
        <f t="array" aca="1" ref="M481" ca="1">INDEX($R$33:$R$82, RANDBETWEEN(1, COUNTA($R$33:$R$82)))</f>
        <v>NV3</v>
      </c>
      <c r="N481">
        <f t="shared" ca="1" si="72"/>
        <v>21</v>
      </c>
    </row>
    <row r="482" spans="1:14" ht="16.8" x14ac:dyDescent="0.3">
      <c r="A482" s="7" t="str">
        <f t="shared" si="64"/>
        <v>S0481</v>
      </c>
      <c r="B482" s="8">
        <f t="shared" ca="1" si="65"/>
        <v>44592</v>
      </c>
      <c r="C482" s="15" t="str" cm="1">
        <f t="array" aca="1" ref="C482" ca="1">INDEX($Q$2:$Q$31, RANDBETWEEN(1, COUNTA($Q$2:$Q$31)))</f>
        <v>Mocha</v>
      </c>
      <c r="D482" s="10" t="str" cm="1">
        <f t="array" aca="1" ref="D482" ca="1">INDEX($R$2:$R$310, RANDBETWEEN(1, COUNTA($Q$2:$Q$310)))</f>
        <v>M</v>
      </c>
      <c r="E482">
        <f t="shared" ca="1" si="66"/>
        <v>2</v>
      </c>
      <c r="F482" cm="1">
        <f t="array" aca="1" ref="F482" ca="1">INDEX($S$2:$S$31, RANDBETWEEN(1, COUNTA($S$2:$S$31)))</f>
        <v>59000</v>
      </c>
      <c r="G482" cm="1">
        <f t="array" aca="1" ref="G482" ca="1">INDEX($S$2:$S$31, RANDBETWEEN(1, COUNTA($S$2:$S$31)))</f>
        <v>29000</v>
      </c>
      <c r="H482">
        <f t="shared" ca="1" si="67"/>
        <v>9</v>
      </c>
      <c r="I482">
        <f t="shared" ca="1" si="68"/>
        <v>53690</v>
      </c>
      <c r="J482" s="10" t="str">
        <f t="shared" ca="1" si="69"/>
        <v>Online</v>
      </c>
      <c r="K482" s="10">
        <f t="shared" ca="1" si="70"/>
        <v>53690</v>
      </c>
      <c r="L482" s="10">
        <f t="shared" ca="1" si="71"/>
        <v>107380</v>
      </c>
      <c r="M482" s="12" t="str" cm="1">
        <f t="array" aca="1" ref="M482" ca="1">INDEX($R$33:$R$82, RANDBETWEEN(1, COUNTA($R$33:$R$82)))</f>
        <v>NV42</v>
      </c>
      <c r="N482">
        <f t="shared" ca="1" si="72"/>
        <v>42</v>
      </c>
    </row>
    <row r="483" spans="1:14" ht="16.8" x14ac:dyDescent="0.3">
      <c r="A483" s="7" t="str">
        <f t="shared" si="64"/>
        <v>S0482</v>
      </c>
      <c r="B483" s="8">
        <f t="shared" ca="1" si="65"/>
        <v>45054</v>
      </c>
      <c r="C483" s="15" t="str" cm="1">
        <f t="array" aca="1" ref="C483" ca="1">INDEX($Q$2:$Q$31, RANDBETWEEN(1, COUNTA($Q$2:$Q$31)))</f>
        <v>Classic Phin Freeze</v>
      </c>
      <c r="D483" s="10" t="str" cm="1">
        <f t="array" aca="1" ref="D483" ca="1">INDEX($R$2:$R$310, RANDBETWEEN(1, COUNTA($Q$2:$Q$310)))</f>
        <v>M</v>
      </c>
      <c r="E483">
        <f t="shared" ca="1" si="66"/>
        <v>4</v>
      </c>
      <c r="F483" cm="1">
        <f t="array" aca="1" ref="F483" ca="1">INDEX($S$2:$S$31, RANDBETWEEN(1, COUNTA($S$2:$S$31)))</f>
        <v>49000</v>
      </c>
      <c r="G483" cm="1">
        <f t="array" aca="1" ref="G483" ca="1">INDEX($S$2:$S$31, RANDBETWEEN(1, COUNTA($S$2:$S$31)))</f>
        <v>59000</v>
      </c>
      <c r="H483">
        <f t="shared" ca="1" si="67"/>
        <v>11</v>
      </c>
      <c r="I483">
        <f t="shared" ca="1" si="68"/>
        <v>43610</v>
      </c>
      <c r="J483" s="10" t="str">
        <f t="shared" ca="1" si="69"/>
        <v>Online</v>
      </c>
      <c r="K483" s="10">
        <f t="shared" ca="1" si="70"/>
        <v>43610</v>
      </c>
      <c r="L483" s="10">
        <f t="shared" ca="1" si="71"/>
        <v>174440</v>
      </c>
      <c r="M483" s="12" t="str" cm="1">
        <f t="array" aca="1" ref="M483" ca="1">INDEX($R$33:$R$82, RANDBETWEEN(1, COUNTA($R$33:$R$82)))</f>
        <v>NV25</v>
      </c>
      <c r="N483">
        <f t="shared" ca="1" si="72"/>
        <v>41</v>
      </c>
    </row>
    <row r="484" spans="1:14" ht="16.8" x14ac:dyDescent="0.3">
      <c r="A484" s="7" t="str">
        <f t="shared" si="64"/>
        <v>S0483</v>
      </c>
      <c r="B484" s="8">
        <f t="shared" ca="1" si="65"/>
        <v>44481</v>
      </c>
      <c r="C484" s="15" t="str" cm="1">
        <f t="array" aca="1" ref="C484" ca="1">INDEX($Q$2:$Q$31, RANDBETWEEN(1, COUNTA($Q$2:$Q$31)))</f>
        <v>Cookies &amp; Cream</v>
      </c>
      <c r="D484" s="10" t="str" cm="1">
        <f t="array" aca="1" ref="D484" ca="1">INDEX($R$2:$R$310, RANDBETWEEN(1, COUNTA($Q$2:$Q$310)))</f>
        <v>L</v>
      </c>
      <c r="E484">
        <f t="shared" ca="1" si="66"/>
        <v>4</v>
      </c>
      <c r="F484" cm="1">
        <f t="array" aca="1" ref="F484" ca="1">INDEX($S$2:$S$31, RANDBETWEEN(1, COUNTA($S$2:$S$31)))</f>
        <v>59000</v>
      </c>
      <c r="G484" cm="1">
        <f t="array" aca="1" ref="G484" ca="1">INDEX($S$2:$S$31, RANDBETWEEN(1, COUNTA($S$2:$S$31)))</f>
        <v>49000</v>
      </c>
      <c r="H484">
        <f t="shared" ca="1" si="67"/>
        <v>9</v>
      </c>
      <c r="I484">
        <f t="shared" ca="1" si="68"/>
        <v>53690</v>
      </c>
      <c r="J484" s="10" t="str">
        <f t="shared" ca="1" si="69"/>
        <v>Online</v>
      </c>
      <c r="K484" s="10">
        <f t="shared" ca="1" si="70"/>
        <v>53690</v>
      </c>
      <c r="L484" s="10">
        <f t="shared" ca="1" si="71"/>
        <v>214760</v>
      </c>
      <c r="M484" s="12" t="str" cm="1">
        <f t="array" aca="1" ref="M484" ca="1">INDEX($R$33:$R$82, RANDBETWEEN(1, COUNTA($R$33:$R$82)))</f>
        <v>NV41</v>
      </c>
      <c r="N484">
        <f t="shared" ca="1" si="72"/>
        <v>47</v>
      </c>
    </row>
    <row r="485" spans="1:14" ht="16.8" x14ac:dyDescent="0.3">
      <c r="A485" s="7" t="str">
        <f t="shared" si="64"/>
        <v>S0484</v>
      </c>
      <c r="B485" s="8">
        <f t="shared" ca="1" si="65"/>
        <v>44368</v>
      </c>
      <c r="C485" s="15" t="str" cm="1">
        <f t="array" aca="1" ref="C485" ca="1">INDEX($Q$2:$Q$31, RANDBETWEEN(1, COUNTA($Q$2:$Q$31)))</f>
        <v>Cookies &amp; Cream</v>
      </c>
      <c r="D485" s="10" t="str" cm="1">
        <f t="array" aca="1" ref="D485" ca="1">INDEX($R$2:$R$310, RANDBETWEEN(1, COUNTA($Q$2:$Q$310)))</f>
        <v>M</v>
      </c>
      <c r="E485">
        <f t="shared" ca="1" si="66"/>
        <v>1</v>
      </c>
      <c r="F485" cm="1">
        <f t="array" aca="1" ref="F485" ca="1">INDEX($S$2:$S$31, RANDBETWEEN(1, COUNTA($S$2:$S$31)))</f>
        <v>59000</v>
      </c>
      <c r="G485" cm="1">
        <f t="array" aca="1" ref="G485" ca="1">INDEX($S$2:$S$31, RANDBETWEEN(1, COUNTA($S$2:$S$31)))</f>
        <v>39000</v>
      </c>
      <c r="H485">
        <f t="shared" ca="1" si="67"/>
        <v>11</v>
      </c>
      <c r="I485">
        <f t="shared" ca="1" si="68"/>
        <v>52510</v>
      </c>
      <c r="J485" s="10" t="str">
        <f t="shared" ca="1" si="69"/>
        <v>Online</v>
      </c>
      <c r="K485" s="10">
        <f t="shared" ca="1" si="70"/>
        <v>52510</v>
      </c>
      <c r="L485" s="10">
        <f t="shared" ca="1" si="71"/>
        <v>52510</v>
      </c>
      <c r="M485" s="12" t="str" cm="1">
        <f t="array" aca="1" ref="M485" ca="1">INDEX($R$33:$R$82, RANDBETWEEN(1, COUNTA($R$33:$R$82)))</f>
        <v>NV42</v>
      </c>
      <c r="N485">
        <f t="shared" ca="1" si="72"/>
        <v>50</v>
      </c>
    </row>
    <row r="486" spans="1:14" ht="16.8" x14ac:dyDescent="0.3">
      <c r="A486" s="7" t="str">
        <f t="shared" si="64"/>
        <v>S0485</v>
      </c>
      <c r="B486" s="8">
        <f t="shared" ca="1" si="65"/>
        <v>44911</v>
      </c>
      <c r="C486" s="15" t="str" cm="1">
        <f t="array" aca="1" ref="C486" ca="1">INDEX($Q$2:$Q$31, RANDBETWEEN(1, COUNTA($Q$2:$Q$31)))</f>
        <v>Latte</v>
      </c>
      <c r="D486" s="10" t="str" cm="1">
        <f t="array" aca="1" ref="D486" ca="1">INDEX($R$2:$R$310, RANDBETWEEN(1, COUNTA($Q$2:$Q$310)))</f>
        <v>M</v>
      </c>
      <c r="E486">
        <f t="shared" ca="1" si="66"/>
        <v>3</v>
      </c>
      <c r="F486" cm="1">
        <f t="array" aca="1" ref="F486" ca="1">INDEX($S$2:$S$31, RANDBETWEEN(1, COUNTA($S$2:$S$31)))</f>
        <v>45000</v>
      </c>
      <c r="G486" cm="1">
        <f t="array" aca="1" ref="G486" ca="1">INDEX($S$2:$S$31, RANDBETWEEN(1, COUNTA($S$2:$S$31)))</f>
        <v>35000</v>
      </c>
      <c r="H486">
        <f t="shared" ca="1" si="67"/>
        <v>9</v>
      </c>
      <c r="I486">
        <f t="shared" ca="1" si="68"/>
        <v>40950</v>
      </c>
      <c r="J486" s="10" t="str">
        <f t="shared" ca="1" si="69"/>
        <v>Online</v>
      </c>
      <c r="K486" s="10">
        <f t="shared" ca="1" si="70"/>
        <v>40950</v>
      </c>
      <c r="L486" s="10">
        <f t="shared" ca="1" si="71"/>
        <v>122850</v>
      </c>
      <c r="M486" s="12" t="str" cm="1">
        <f t="array" aca="1" ref="M486" ca="1">INDEX($R$33:$R$82, RANDBETWEEN(1, COUNTA($R$33:$R$82)))</f>
        <v>NV25</v>
      </c>
      <c r="N486">
        <f t="shared" ca="1" si="72"/>
        <v>41</v>
      </c>
    </row>
    <row r="487" spans="1:14" ht="16.8" x14ac:dyDescent="0.3">
      <c r="A487" s="7" t="str">
        <f t="shared" si="64"/>
        <v>S0486</v>
      </c>
      <c r="B487" s="8">
        <f t="shared" ca="1" si="65"/>
        <v>44502</v>
      </c>
      <c r="C487" s="15" t="str" cm="1">
        <f t="array" aca="1" ref="C487" ca="1">INDEX($Q$2:$Q$31, RANDBETWEEN(1, COUNTA($Q$2:$Q$31)))</f>
        <v>Cappuccino</v>
      </c>
      <c r="D487" s="10" t="str" cm="1">
        <f t="array" aca="1" ref="D487" ca="1">INDEX($R$2:$R$310, RANDBETWEEN(1, COUNTA($Q$2:$Q$310)))</f>
        <v>L</v>
      </c>
      <c r="E487">
        <f t="shared" ca="1" si="66"/>
        <v>2</v>
      </c>
      <c r="F487" cm="1">
        <f t="array" aca="1" ref="F487" ca="1">INDEX($S$2:$S$31, RANDBETWEEN(1, COUNTA($S$2:$S$31)))</f>
        <v>35000</v>
      </c>
      <c r="G487" cm="1">
        <f t="array" aca="1" ref="G487" ca="1">INDEX($S$2:$S$31, RANDBETWEEN(1, COUNTA($S$2:$S$31)))</f>
        <v>29000</v>
      </c>
      <c r="H487">
        <f t="shared" ca="1" si="67"/>
        <v>14</v>
      </c>
      <c r="I487">
        <f t="shared" ca="1" si="68"/>
        <v>30100</v>
      </c>
      <c r="J487" s="10" t="str">
        <f t="shared" ca="1" si="69"/>
        <v>Online</v>
      </c>
      <c r="K487" s="10">
        <f t="shared" ca="1" si="70"/>
        <v>30100</v>
      </c>
      <c r="L487" s="10">
        <f t="shared" ca="1" si="71"/>
        <v>60200</v>
      </c>
      <c r="M487" s="12" t="str" cm="1">
        <f t="array" aca="1" ref="M487" ca="1">INDEX($R$33:$R$82, RANDBETWEEN(1, COUNTA($R$33:$R$82)))</f>
        <v>NV44</v>
      </c>
      <c r="N487">
        <f t="shared" ca="1" si="72"/>
        <v>26</v>
      </c>
    </row>
    <row r="488" spans="1:14" ht="16.8" x14ac:dyDescent="0.3">
      <c r="A488" s="7" t="str">
        <f t="shared" si="64"/>
        <v>S0487</v>
      </c>
      <c r="B488" s="8">
        <f t="shared" ca="1" si="65"/>
        <v>44480</v>
      </c>
      <c r="C488" s="15" t="str" cm="1">
        <f t="array" aca="1" ref="C488" ca="1">INDEX($Q$2:$Q$31, RANDBETWEEN(1, COUNTA($Q$2:$Q$31)))</f>
        <v>Cookies &amp; Cream</v>
      </c>
      <c r="D488" s="10" t="str" cm="1">
        <f t="array" aca="1" ref="D488" ca="1">INDEX($R$2:$R$310, RANDBETWEEN(1, COUNTA($Q$2:$Q$310)))</f>
        <v>M</v>
      </c>
      <c r="E488">
        <f t="shared" ca="1" si="66"/>
        <v>4</v>
      </c>
      <c r="F488" cm="1">
        <f t="array" aca="1" ref="F488" ca="1">INDEX($S$2:$S$31, RANDBETWEEN(1, COUNTA($S$2:$S$31)))</f>
        <v>65000</v>
      </c>
      <c r="G488" cm="1">
        <f t="array" aca="1" ref="G488" ca="1">INDEX($S$2:$S$31, RANDBETWEEN(1, COUNTA($S$2:$S$31)))</f>
        <v>69000</v>
      </c>
      <c r="H488">
        <f t="shared" ca="1" si="67"/>
        <v>5</v>
      </c>
      <c r="I488">
        <f t="shared" ca="1" si="68"/>
        <v>69000</v>
      </c>
      <c r="J488" s="10" t="str">
        <f t="shared" ca="1" si="69"/>
        <v>Offline</v>
      </c>
      <c r="K488" s="10">
        <f t="shared" ca="1" si="70"/>
        <v>69000</v>
      </c>
      <c r="L488" s="10">
        <f t="shared" ca="1" si="71"/>
        <v>276000</v>
      </c>
      <c r="M488" s="12" t="str" cm="1">
        <f t="array" aca="1" ref="M488" ca="1">INDEX($R$33:$R$82, RANDBETWEEN(1, COUNTA($R$33:$R$82)))</f>
        <v>NV10</v>
      </c>
      <c r="N488">
        <f t="shared" ca="1" si="72"/>
        <v>7</v>
      </c>
    </row>
    <row r="489" spans="1:14" ht="16.8" x14ac:dyDescent="0.3">
      <c r="A489" s="7" t="str">
        <f t="shared" si="64"/>
        <v>S0488</v>
      </c>
      <c r="B489" s="8">
        <f t="shared" ca="1" si="65"/>
        <v>45158</v>
      </c>
      <c r="C489" s="15" t="str" cm="1">
        <f t="array" aca="1" ref="C489" ca="1">INDEX($Q$2:$Q$31, RANDBETWEEN(1, COUNTA($Q$2:$Q$31)))</f>
        <v>Mocha</v>
      </c>
      <c r="D489" s="10" t="str" cm="1">
        <f t="array" aca="1" ref="D489" ca="1">INDEX($R$2:$R$310, RANDBETWEEN(1, COUNTA($Q$2:$Q$310)))</f>
        <v>M</v>
      </c>
      <c r="E489">
        <f t="shared" ca="1" si="66"/>
        <v>3</v>
      </c>
      <c r="F489" cm="1">
        <f t="array" aca="1" ref="F489" ca="1">INDEX($S$2:$S$31, RANDBETWEEN(1, COUNTA($S$2:$S$31)))</f>
        <v>59000</v>
      </c>
      <c r="G489" cm="1">
        <f t="array" aca="1" ref="G489" ca="1">INDEX($S$2:$S$31, RANDBETWEEN(1, COUNTA($S$2:$S$31)))</f>
        <v>49000</v>
      </c>
      <c r="H489">
        <f t="shared" ca="1" si="67"/>
        <v>14</v>
      </c>
      <c r="I489">
        <f t="shared" ca="1" si="68"/>
        <v>50740</v>
      </c>
      <c r="J489" s="10" t="str">
        <f t="shared" ca="1" si="69"/>
        <v>Online</v>
      </c>
      <c r="K489" s="10">
        <f t="shared" ca="1" si="70"/>
        <v>50740</v>
      </c>
      <c r="L489" s="10">
        <f t="shared" ca="1" si="71"/>
        <v>152220</v>
      </c>
      <c r="M489" s="12" t="str" cm="1">
        <f t="array" aca="1" ref="M489" ca="1">INDEX($R$33:$R$82, RANDBETWEEN(1, COUNTA($R$33:$R$82)))</f>
        <v>NV47</v>
      </c>
      <c r="N489">
        <f t="shared" ca="1" si="72"/>
        <v>40</v>
      </c>
    </row>
    <row r="490" spans="1:14" ht="16.8" x14ac:dyDescent="0.3">
      <c r="A490" s="7" t="str">
        <f t="shared" si="64"/>
        <v>S0489</v>
      </c>
      <c r="B490" s="8">
        <f t="shared" ca="1" si="65"/>
        <v>44253</v>
      </c>
      <c r="C490" s="15" t="str" cm="1">
        <f t="array" aca="1" ref="C490" ca="1">INDEX($Q$2:$Q$31, RANDBETWEEN(1, COUNTA($Q$2:$Q$31)))</f>
        <v>Iced Black Coffee</v>
      </c>
      <c r="D490" s="10" t="str" cm="1">
        <f t="array" aca="1" ref="D490" ca="1">INDEX($R$2:$R$310, RANDBETWEEN(1, COUNTA($Q$2:$Q$310)))</f>
        <v>L</v>
      </c>
      <c r="E490">
        <f t="shared" ca="1" si="66"/>
        <v>1</v>
      </c>
      <c r="F490" cm="1">
        <f t="array" aca="1" ref="F490" ca="1">INDEX($S$2:$S$31, RANDBETWEEN(1, COUNTA($S$2:$S$31)))</f>
        <v>69000</v>
      </c>
      <c r="G490" cm="1">
        <f t="array" aca="1" ref="G490" ca="1">INDEX($S$2:$S$31, RANDBETWEEN(1, COUNTA($S$2:$S$31)))</f>
        <v>69000</v>
      </c>
      <c r="H490">
        <f t="shared" ca="1" si="67"/>
        <v>8</v>
      </c>
      <c r="I490">
        <f t="shared" ca="1" si="68"/>
        <v>69000</v>
      </c>
      <c r="J490" s="10" t="str">
        <f t="shared" ca="1" si="69"/>
        <v>Offline</v>
      </c>
      <c r="K490" s="10">
        <f t="shared" ca="1" si="70"/>
        <v>69000</v>
      </c>
      <c r="L490" s="10">
        <f t="shared" ca="1" si="71"/>
        <v>69000</v>
      </c>
      <c r="M490" s="12" t="str" cm="1">
        <f t="array" aca="1" ref="M490" ca="1">INDEX($R$33:$R$82, RANDBETWEEN(1, COUNTA($R$33:$R$82)))</f>
        <v>NV44</v>
      </c>
      <c r="N490">
        <f t="shared" ca="1" si="72"/>
        <v>20</v>
      </c>
    </row>
    <row r="491" spans="1:14" ht="16.8" x14ac:dyDescent="0.3">
      <c r="A491" s="7" t="str">
        <f t="shared" si="64"/>
        <v>S0490</v>
      </c>
      <c r="B491" s="8">
        <f t="shared" ca="1" si="65"/>
        <v>44551</v>
      </c>
      <c r="C491" s="15" t="str" cm="1">
        <f t="array" aca="1" ref="C491" ca="1">INDEX($Q$2:$Q$31, RANDBETWEEN(1, COUNTA($Q$2:$Q$31)))</f>
        <v>Latte</v>
      </c>
      <c r="D491" s="10" t="str" cm="1">
        <f t="array" aca="1" ref="D491" ca="1">INDEX($R$2:$R$310, RANDBETWEEN(1, COUNTA($Q$2:$Q$310)))</f>
        <v>S</v>
      </c>
      <c r="E491">
        <f t="shared" ca="1" si="66"/>
        <v>4</v>
      </c>
      <c r="F491" cm="1">
        <f t="array" aca="1" ref="F491" ca="1">INDEX($S$2:$S$31, RANDBETWEEN(1, COUNTA($S$2:$S$31)))</f>
        <v>59000</v>
      </c>
      <c r="G491" cm="1">
        <f t="array" aca="1" ref="G491" ca="1">INDEX($S$2:$S$31, RANDBETWEEN(1, COUNTA($S$2:$S$31)))</f>
        <v>69000</v>
      </c>
      <c r="H491">
        <f t="shared" ca="1" si="67"/>
        <v>5</v>
      </c>
      <c r="I491">
        <f t="shared" ca="1" si="68"/>
        <v>56050</v>
      </c>
      <c r="J491" s="10" t="str">
        <f t="shared" ca="1" si="69"/>
        <v>Online</v>
      </c>
      <c r="K491" s="10">
        <f t="shared" ca="1" si="70"/>
        <v>56050</v>
      </c>
      <c r="L491" s="10">
        <f t="shared" ca="1" si="71"/>
        <v>224200</v>
      </c>
      <c r="M491" s="12" t="str" cm="1">
        <f t="array" aca="1" ref="M491" ca="1">INDEX($R$33:$R$82, RANDBETWEEN(1, COUNTA($R$33:$R$82)))</f>
        <v>NV27</v>
      </c>
      <c r="N491">
        <f t="shared" ca="1" si="72"/>
        <v>21</v>
      </c>
    </row>
    <row r="492" spans="1:14" ht="16.8" x14ac:dyDescent="0.3">
      <c r="A492" s="7" t="str">
        <f t="shared" si="64"/>
        <v>S0491</v>
      </c>
      <c r="B492" s="8">
        <f t="shared" ca="1" si="65"/>
        <v>44869</v>
      </c>
      <c r="C492" s="15" t="str" cm="1">
        <f t="array" aca="1" ref="C492" ca="1">INDEX($Q$2:$Q$31, RANDBETWEEN(1, COUNTA($Q$2:$Q$31)))</f>
        <v>Caramel Phin Freeze</v>
      </c>
      <c r="D492" s="10" t="str" cm="1">
        <f t="array" aca="1" ref="D492" ca="1">INDEX($R$2:$R$310, RANDBETWEEN(1, COUNTA($Q$2:$Q$310)))</f>
        <v>S</v>
      </c>
      <c r="E492">
        <f t="shared" ca="1" si="66"/>
        <v>1</v>
      </c>
      <c r="F492" cm="1">
        <f t="array" aca="1" ref="F492" ca="1">INDEX($S$2:$S$31, RANDBETWEEN(1, COUNTA($S$2:$S$31)))</f>
        <v>55000</v>
      </c>
      <c r="G492" cm="1">
        <f t="array" aca="1" ref="G492" ca="1">INDEX($S$2:$S$31, RANDBETWEEN(1, COUNTA($S$2:$S$31)))</f>
        <v>49000</v>
      </c>
      <c r="H492">
        <f t="shared" ca="1" si="67"/>
        <v>12</v>
      </c>
      <c r="I492">
        <f t="shared" ca="1" si="68"/>
        <v>49000</v>
      </c>
      <c r="J492" s="10" t="str">
        <f t="shared" ca="1" si="69"/>
        <v>Offline</v>
      </c>
      <c r="K492" s="10">
        <f t="shared" ca="1" si="70"/>
        <v>49000</v>
      </c>
      <c r="L492" s="10">
        <f t="shared" ca="1" si="71"/>
        <v>49000</v>
      </c>
      <c r="M492" s="12" t="str" cm="1">
        <f t="array" aca="1" ref="M492" ca="1">INDEX($R$33:$R$82, RANDBETWEEN(1, COUNTA($R$33:$R$82)))</f>
        <v>NV36</v>
      </c>
      <c r="N492">
        <f t="shared" ca="1" si="72"/>
        <v>51</v>
      </c>
    </row>
    <row r="493" spans="1:14" ht="16.8" x14ac:dyDescent="0.3">
      <c r="A493" s="7" t="str">
        <f t="shared" si="64"/>
        <v>S0492</v>
      </c>
      <c r="B493" s="8">
        <f t="shared" ca="1" si="65"/>
        <v>45104</v>
      </c>
      <c r="C493" s="15" t="str" cm="1">
        <f t="array" aca="1" ref="C493" ca="1">INDEX($Q$2:$Q$31, RANDBETWEEN(1, COUNTA($Q$2:$Q$31)))</f>
        <v>Cookies &amp; Cream</v>
      </c>
      <c r="D493" s="10" t="str" cm="1">
        <f t="array" aca="1" ref="D493" ca="1">INDEX($R$2:$R$310, RANDBETWEEN(1, COUNTA($Q$2:$Q$310)))</f>
        <v>M</v>
      </c>
      <c r="E493">
        <f t="shared" ca="1" si="66"/>
        <v>5</v>
      </c>
      <c r="F493" cm="1">
        <f t="array" aca="1" ref="F493" ca="1">INDEX($S$2:$S$31, RANDBETWEEN(1, COUNTA($S$2:$S$31)))</f>
        <v>59000</v>
      </c>
      <c r="G493" cm="1">
        <f t="array" aca="1" ref="G493" ca="1">INDEX($S$2:$S$31, RANDBETWEEN(1, COUNTA($S$2:$S$31)))</f>
        <v>59000</v>
      </c>
      <c r="H493">
        <f t="shared" ca="1" si="67"/>
        <v>14</v>
      </c>
      <c r="I493">
        <f t="shared" ca="1" si="68"/>
        <v>50740</v>
      </c>
      <c r="J493" s="10" t="str">
        <f t="shared" ca="1" si="69"/>
        <v>Online</v>
      </c>
      <c r="K493" s="10">
        <f t="shared" ca="1" si="70"/>
        <v>50740</v>
      </c>
      <c r="L493" s="10">
        <f t="shared" ca="1" si="71"/>
        <v>253700</v>
      </c>
      <c r="M493" s="12" t="str" cm="1">
        <f t="array" aca="1" ref="M493" ca="1">INDEX($R$33:$R$82, RANDBETWEEN(1, COUNTA($R$33:$R$82)))</f>
        <v>NV41</v>
      </c>
      <c r="N493">
        <f t="shared" ca="1" si="72"/>
        <v>20</v>
      </c>
    </row>
    <row r="494" spans="1:14" ht="16.8" x14ac:dyDescent="0.3">
      <c r="A494" s="7" t="str">
        <f t="shared" si="64"/>
        <v>S0493</v>
      </c>
      <c r="B494" s="8">
        <f t="shared" ca="1" si="65"/>
        <v>45116</v>
      </c>
      <c r="C494" s="15" t="str" cm="1">
        <f t="array" aca="1" ref="C494" ca="1">INDEX($Q$2:$Q$31, RANDBETWEEN(1, COUNTA($Q$2:$Q$31)))</f>
        <v>Americano</v>
      </c>
      <c r="D494" s="10" t="str" cm="1">
        <f t="array" aca="1" ref="D494" ca="1">INDEX($R$2:$R$310, RANDBETWEEN(1, COUNTA($Q$2:$Q$310)))</f>
        <v>L</v>
      </c>
      <c r="E494">
        <f t="shared" ca="1" si="66"/>
        <v>2</v>
      </c>
      <c r="F494" cm="1">
        <f t="array" aca="1" ref="F494" ca="1">INDEX($S$2:$S$31, RANDBETWEEN(1, COUNTA($S$2:$S$31)))</f>
        <v>39000</v>
      </c>
      <c r="G494" cm="1">
        <f t="array" aca="1" ref="G494" ca="1">INDEX($S$2:$S$31, RANDBETWEEN(1, COUNTA($S$2:$S$31)))</f>
        <v>65000</v>
      </c>
      <c r="H494">
        <f t="shared" ca="1" si="67"/>
        <v>7</v>
      </c>
      <c r="I494">
        <f t="shared" ca="1" si="68"/>
        <v>65000</v>
      </c>
      <c r="J494" s="10" t="str">
        <f t="shared" ca="1" si="69"/>
        <v>Offline</v>
      </c>
      <c r="K494" s="10">
        <f t="shared" ca="1" si="70"/>
        <v>65000</v>
      </c>
      <c r="L494" s="10">
        <f t="shared" ca="1" si="71"/>
        <v>130000</v>
      </c>
      <c r="M494" s="12" t="str" cm="1">
        <f t="array" aca="1" ref="M494" ca="1">INDEX($R$33:$R$82, RANDBETWEEN(1, COUNTA($R$33:$R$82)))</f>
        <v>NV11</v>
      </c>
      <c r="N494">
        <f t="shared" ca="1" si="72"/>
        <v>36</v>
      </c>
    </row>
    <row r="495" spans="1:14" ht="16.8" x14ac:dyDescent="0.3">
      <c r="A495" s="7" t="str">
        <f t="shared" si="64"/>
        <v>S0494</v>
      </c>
      <c r="B495" s="8">
        <f t="shared" ca="1" si="65"/>
        <v>44825</v>
      </c>
      <c r="C495" s="15" t="str" cm="1">
        <f t="array" aca="1" ref="C495" ca="1">INDEX($Q$2:$Q$31, RANDBETWEEN(1, COUNTA($Q$2:$Q$31)))</f>
        <v>Iced Black Coffee</v>
      </c>
      <c r="D495" s="10" t="str" cm="1">
        <f t="array" aca="1" ref="D495" ca="1">INDEX($R$2:$R$310, RANDBETWEEN(1, COUNTA($Q$2:$Q$310)))</f>
        <v>M</v>
      </c>
      <c r="E495">
        <f t="shared" ca="1" si="66"/>
        <v>3</v>
      </c>
      <c r="F495" cm="1">
        <f t="array" aca="1" ref="F495" ca="1">INDEX($S$2:$S$31, RANDBETWEEN(1, COUNTA($S$2:$S$31)))</f>
        <v>69000</v>
      </c>
      <c r="G495" cm="1">
        <f t="array" aca="1" ref="G495" ca="1">INDEX($S$2:$S$31, RANDBETWEEN(1, COUNTA($S$2:$S$31)))</f>
        <v>65000</v>
      </c>
      <c r="H495">
        <f t="shared" ca="1" si="67"/>
        <v>6</v>
      </c>
      <c r="I495">
        <f t="shared" ca="1" si="68"/>
        <v>65000</v>
      </c>
      <c r="J495" s="10" t="str">
        <f t="shared" ca="1" si="69"/>
        <v>Offline</v>
      </c>
      <c r="K495" s="10">
        <f t="shared" ca="1" si="70"/>
        <v>65000</v>
      </c>
      <c r="L495" s="10">
        <f t="shared" ca="1" si="71"/>
        <v>195000</v>
      </c>
      <c r="M495" s="12" t="str" cm="1">
        <f t="array" aca="1" ref="M495" ca="1">INDEX($R$33:$R$82, RANDBETWEEN(1, COUNTA($R$33:$R$82)))</f>
        <v>NV11</v>
      </c>
      <c r="N495">
        <f t="shared" ca="1" si="72"/>
        <v>20</v>
      </c>
    </row>
    <row r="496" spans="1:14" ht="16.8" x14ac:dyDescent="0.3">
      <c r="A496" s="7" t="str">
        <f t="shared" si="64"/>
        <v>S0495</v>
      </c>
      <c r="B496" s="8">
        <f t="shared" ca="1" si="65"/>
        <v>44595</v>
      </c>
      <c r="C496" s="15" t="str" cm="1">
        <f t="array" aca="1" ref="C496" ca="1">INDEX($Q$2:$Q$31, RANDBETWEEN(1, COUNTA($Q$2:$Q$31)))</f>
        <v xml:space="preserve">Green Tea Freeze </v>
      </c>
      <c r="D496" s="10" t="str" cm="1">
        <f t="array" aca="1" ref="D496" ca="1">INDEX($R$2:$R$310, RANDBETWEEN(1, COUNTA($Q$2:$Q$310)))</f>
        <v>L</v>
      </c>
      <c r="E496">
        <f t="shared" ca="1" si="66"/>
        <v>1</v>
      </c>
      <c r="F496" cm="1">
        <f t="array" aca="1" ref="F496" ca="1">INDEX($S$2:$S$31, RANDBETWEEN(1, COUNTA($S$2:$S$31)))</f>
        <v>49000</v>
      </c>
      <c r="G496" cm="1">
        <f t="array" aca="1" ref="G496" ca="1">INDEX($S$2:$S$31, RANDBETWEEN(1, COUNTA($S$2:$S$31)))</f>
        <v>39000</v>
      </c>
      <c r="H496">
        <f t="shared" ca="1" si="67"/>
        <v>13</v>
      </c>
      <c r="I496">
        <f t="shared" ca="1" si="68"/>
        <v>42630</v>
      </c>
      <c r="J496" s="10" t="str">
        <f t="shared" ca="1" si="69"/>
        <v>Online</v>
      </c>
      <c r="K496" s="10">
        <f t="shared" ca="1" si="70"/>
        <v>42630</v>
      </c>
      <c r="L496" s="10">
        <f t="shared" ca="1" si="71"/>
        <v>42630</v>
      </c>
      <c r="M496" s="12" t="str" cm="1">
        <f t="array" aca="1" ref="M496" ca="1">INDEX($R$33:$R$82, RANDBETWEEN(1, COUNTA($R$33:$R$82)))</f>
        <v>NV1</v>
      </c>
      <c r="N496">
        <f t="shared" ca="1" si="72"/>
        <v>49</v>
      </c>
    </row>
    <row r="497" spans="1:14" ht="16.8" x14ac:dyDescent="0.3">
      <c r="A497" s="7" t="str">
        <f t="shared" si="64"/>
        <v>S0496</v>
      </c>
      <c r="B497" s="8">
        <f t="shared" ca="1" si="65"/>
        <v>44564</v>
      </c>
      <c r="C497" s="15" t="str" cm="1">
        <f t="array" aca="1" ref="C497" ca="1">INDEX($Q$2:$Q$31, RANDBETWEEN(1, COUNTA($Q$2:$Q$31)))</f>
        <v>Cappuccino</v>
      </c>
      <c r="D497" s="10" t="str" cm="1">
        <f t="array" aca="1" ref="D497" ca="1">INDEX($R$2:$R$310, RANDBETWEEN(1, COUNTA($Q$2:$Q$310)))</f>
        <v>L</v>
      </c>
      <c r="E497">
        <f t="shared" ca="1" si="66"/>
        <v>5</v>
      </c>
      <c r="F497" cm="1">
        <f t="array" aca="1" ref="F497" ca="1">INDEX($S$2:$S$31, RANDBETWEEN(1, COUNTA($S$2:$S$31)))</f>
        <v>69000</v>
      </c>
      <c r="G497" cm="1">
        <f t="array" aca="1" ref="G497" ca="1">INDEX($S$2:$S$31, RANDBETWEEN(1, COUNTA($S$2:$S$31)))</f>
        <v>65000</v>
      </c>
      <c r="H497">
        <f t="shared" ca="1" si="67"/>
        <v>10</v>
      </c>
      <c r="I497">
        <f t="shared" ca="1" si="68"/>
        <v>62100</v>
      </c>
      <c r="J497" s="10" t="str">
        <f t="shared" ca="1" si="69"/>
        <v>Online</v>
      </c>
      <c r="K497" s="10">
        <f t="shared" ca="1" si="70"/>
        <v>62100</v>
      </c>
      <c r="L497" s="10">
        <f t="shared" ca="1" si="71"/>
        <v>310500</v>
      </c>
      <c r="M497" s="12" t="str" cm="1">
        <f t="array" aca="1" ref="M497" ca="1">INDEX($R$33:$R$82, RANDBETWEEN(1, COUNTA($R$33:$R$82)))</f>
        <v>NV4</v>
      </c>
      <c r="N497">
        <f t="shared" ca="1" si="72"/>
        <v>16</v>
      </c>
    </row>
    <row r="498" spans="1:14" ht="16.8" x14ac:dyDescent="0.3">
      <c r="A498" s="7" t="str">
        <f t="shared" si="64"/>
        <v>S0497</v>
      </c>
      <c r="B498" s="8">
        <f t="shared" ca="1" si="65"/>
        <v>44320</v>
      </c>
      <c r="C498" s="15" t="str" cm="1">
        <f t="array" aca="1" ref="C498" ca="1">INDEX($Q$2:$Q$31, RANDBETWEEN(1, COUNTA($Q$2:$Q$31)))</f>
        <v xml:space="preserve">Green Tea Freeze </v>
      </c>
      <c r="D498" s="10" t="str" cm="1">
        <f t="array" aca="1" ref="D498" ca="1">INDEX($R$2:$R$310, RANDBETWEEN(1, COUNTA($Q$2:$Q$310)))</f>
        <v>L</v>
      </c>
      <c r="E498">
        <f t="shared" ca="1" si="66"/>
        <v>5</v>
      </c>
      <c r="F498" cm="1">
        <f t="array" aca="1" ref="F498" ca="1">INDEX($S$2:$S$31, RANDBETWEEN(1, COUNTA($S$2:$S$31)))</f>
        <v>49000</v>
      </c>
      <c r="G498" cm="1">
        <f t="array" aca="1" ref="G498" ca="1">INDEX($S$2:$S$31, RANDBETWEEN(1, COUNTA($S$2:$S$31)))</f>
        <v>65000</v>
      </c>
      <c r="H498">
        <f t="shared" ca="1" si="67"/>
        <v>5</v>
      </c>
      <c r="I498">
        <f t="shared" ca="1" si="68"/>
        <v>65000</v>
      </c>
      <c r="J498" s="10" t="str">
        <f t="shared" ca="1" si="69"/>
        <v>Offline</v>
      </c>
      <c r="K498" s="10">
        <f t="shared" ca="1" si="70"/>
        <v>65000</v>
      </c>
      <c r="L498" s="10">
        <f t="shared" ca="1" si="71"/>
        <v>325000</v>
      </c>
      <c r="M498" s="12" t="str" cm="1">
        <f t="array" aca="1" ref="M498" ca="1">INDEX($R$33:$R$82, RANDBETWEEN(1, COUNTA($R$33:$R$82)))</f>
        <v>NV15</v>
      </c>
      <c r="N498">
        <f t="shared" ca="1" si="72"/>
        <v>30</v>
      </c>
    </row>
    <row r="499" spans="1:14" ht="16.8" x14ac:dyDescent="0.3">
      <c r="A499" s="7" t="str">
        <f t="shared" si="64"/>
        <v>S0498</v>
      </c>
      <c r="B499" s="8">
        <f t="shared" ca="1" si="65"/>
        <v>44861</v>
      </c>
      <c r="C499" s="15" t="str" cm="1">
        <f t="array" aca="1" ref="C499" ca="1">INDEX($Q$2:$Q$31, RANDBETWEEN(1, COUNTA($Q$2:$Q$31)))</f>
        <v xml:space="preserve">Green Tea Freeze </v>
      </c>
      <c r="D499" s="10" t="str" cm="1">
        <f t="array" aca="1" ref="D499" ca="1">INDEX($R$2:$R$310, RANDBETWEEN(1, COUNTA($Q$2:$Q$310)))</f>
        <v>M</v>
      </c>
      <c r="E499">
        <f t="shared" ca="1" si="66"/>
        <v>2</v>
      </c>
      <c r="F499" cm="1">
        <f t="array" aca="1" ref="F499" ca="1">INDEX($S$2:$S$31, RANDBETWEEN(1, COUNTA($S$2:$S$31)))</f>
        <v>65000</v>
      </c>
      <c r="G499" cm="1">
        <f t="array" aca="1" ref="G499" ca="1">INDEX($S$2:$S$31, RANDBETWEEN(1, COUNTA($S$2:$S$31)))</f>
        <v>49000</v>
      </c>
      <c r="H499">
        <f t="shared" ca="1" si="67"/>
        <v>11</v>
      </c>
      <c r="I499">
        <f t="shared" ca="1" si="68"/>
        <v>49000</v>
      </c>
      <c r="J499" s="10" t="str">
        <f t="shared" ca="1" si="69"/>
        <v>Offline</v>
      </c>
      <c r="K499" s="10">
        <f t="shared" ca="1" si="70"/>
        <v>49000</v>
      </c>
      <c r="L499" s="10">
        <f t="shared" ca="1" si="71"/>
        <v>98000</v>
      </c>
      <c r="M499" s="12" t="str" cm="1">
        <f t="array" aca="1" ref="M499" ca="1">INDEX($R$33:$R$82, RANDBETWEEN(1, COUNTA($R$33:$R$82)))</f>
        <v>NV3</v>
      </c>
      <c r="N499">
        <f t="shared" ca="1" si="72"/>
        <v>19</v>
      </c>
    </row>
    <row r="500" spans="1:14" ht="16.8" x14ac:dyDescent="0.3">
      <c r="A500" s="7" t="str">
        <f t="shared" si="64"/>
        <v>S0499</v>
      </c>
      <c r="B500" s="8">
        <f t="shared" ca="1" si="65"/>
        <v>44717</v>
      </c>
      <c r="C500" s="15" t="str" cm="1">
        <f t="array" aca="1" ref="C500" ca="1">INDEX($Q$2:$Q$31, RANDBETWEEN(1, COUNTA($Q$2:$Q$31)))</f>
        <v>Latte</v>
      </c>
      <c r="D500" s="10" t="str" cm="1">
        <f t="array" aca="1" ref="D500" ca="1">INDEX($R$2:$R$310, RANDBETWEEN(1, COUNTA($Q$2:$Q$310)))</f>
        <v>L</v>
      </c>
      <c r="E500">
        <f t="shared" ca="1" si="66"/>
        <v>5</v>
      </c>
      <c r="F500" cm="1">
        <f t="array" aca="1" ref="F500" ca="1">INDEX($S$2:$S$31, RANDBETWEEN(1, COUNTA($S$2:$S$31)))</f>
        <v>65000</v>
      </c>
      <c r="G500" cm="1">
        <f t="array" aca="1" ref="G500" ca="1">INDEX($S$2:$S$31, RANDBETWEEN(1, COUNTA($S$2:$S$31)))</f>
        <v>65000</v>
      </c>
      <c r="H500">
        <f t="shared" ca="1" si="67"/>
        <v>7</v>
      </c>
      <c r="I500">
        <f t="shared" ca="1" si="68"/>
        <v>65000</v>
      </c>
      <c r="J500" s="10" t="str">
        <f t="shared" ca="1" si="69"/>
        <v>Offline</v>
      </c>
      <c r="K500" s="10">
        <f t="shared" ca="1" si="70"/>
        <v>65000</v>
      </c>
      <c r="L500" s="10">
        <f t="shared" ca="1" si="71"/>
        <v>325000</v>
      </c>
      <c r="M500" s="12" t="str" cm="1">
        <f t="array" aca="1" ref="M500" ca="1">INDEX($R$33:$R$82, RANDBETWEEN(1, COUNTA($R$33:$R$82)))</f>
        <v>NV20</v>
      </c>
      <c r="N500">
        <f t="shared" ca="1" si="72"/>
        <v>36</v>
      </c>
    </row>
    <row r="501" spans="1:14" ht="16.8" x14ac:dyDescent="0.3">
      <c r="A501" s="7" t="str">
        <f t="shared" si="64"/>
        <v>S0500</v>
      </c>
      <c r="B501" s="8">
        <f t="shared" ca="1" si="65"/>
        <v>45040</v>
      </c>
      <c r="C501" s="15" t="str" cm="1">
        <f t="array" aca="1" ref="C501" ca="1">INDEX($Q$2:$Q$31, RANDBETWEEN(1, COUNTA($Q$2:$Q$31)))</f>
        <v xml:space="preserve">Green Tea Freeze </v>
      </c>
      <c r="D501" s="10" t="str" cm="1">
        <f t="array" aca="1" ref="D501" ca="1">INDEX($R$2:$R$310, RANDBETWEEN(1, COUNTA($Q$2:$Q$310)))</f>
        <v>M</v>
      </c>
      <c r="E501">
        <f t="shared" ca="1" si="66"/>
        <v>1</v>
      </c>
      <c r="F501" cm="1">
        <f t="array" aca="1" ref="F501" ca="1">INDEX($S$2:$S$31, RANDBETWEEN(1, COUNTA($S$2:$S$31)))</f>
        <v>69000</v>
      </c>
      <c r="G501" cm="1">
        <f t="array" aca="1" ref="G501" ca="1">INDEX($S$2:$S$31, RANDBETWEEN(1, COUNTA($S$2:$S$31)))</f>
        <v>69000</v>
      </c>
      <c r="H501">
        <f t="shared" ca="1" si="67"/>
        <v>6</v>
      </c>
      <c r="I501">
        <f t="shared" ca="1" si="68"/>
        <v>64859.999999999993</v>
      </c>
      <c r="J501" s="10" t="str">
        <f t="shared" ca="1" si="69"/>
        <v>Online</v>
      </c>
      <c r="K501" s="10">
        <f t="shared" ca="1" si="70"/>
        <v>64859.999999999993</v>
      </c>
      <c r="L501" s="10">
        <f t="shared" ca="1" si="71"/>
        <v>64859.999999999993</v>
      </c>
      <c r="M501" s="12" t="str" cm="1">
        <f t="array" aca="1" ref="M501" ca="1">INDEX($R$33:$R$82, RANDBETWEEN(1, COUNTA($R$33:$R$82)))</f>
        <v>NV16</v>
      </c>
      <c r="N501">
        <f t="shared" ca="1" si="72"/>
        <v>27</v>
      </c>
    </row>
    <row r="502" spans="1:14" ht="16.8" x14ac:dyDescent="0.3">
      <c r="A502" s="7" t="str">
        <f t="shared" si="64"/>
        <v>S0501</v>
      </c>
      <c r="B502" s="8">
        <f t="shared" ca="1" si="65"/>
        <v>44335</v>
      </c>
      <c r="C502" s="15" t="str" cm="1">
        <f t="array" aca="1" ref="C502" ca="1">INDEX($Q$2:$Q$31, RANDBETWEEN(1, COUNTA($Q$2:$Q$31)))</f>
        <v xml:space="preserve">Green Tea Freeze </v>
      </c>
      <c r="D502" s="10" t="str" cm="1">
        <f t="array" aca="1" ref="D502" ca="1">INDEX($R$2:$R$310, RANDBETWEEN(1, COUNTA($Q$2:$Q$310)))</f>
        <v>S</v>
      </c>
      <c r="E502">
        <f t="shared" ca="1" si="66"/>
        <v>2</v>
      </c>
      <c r="F502" cm="1">
        <f t="array" aca="1" ref="F502" ca="1">INDEX($S$2:$S$31, RANDBETWEEN(1, COUNTA($S$2:$S$31)))</f>
        <v>65000</v>
      </c>
      <c r="G502" cm="1">
        <f t="array" aca="1" ref="G502" ca="1">INDEX($S$2:$S$31, RANDBETWEEN(1, COUNTA($S$2:$S$31)))</f>
        <v>55000</v>
      </c>
      <c r="H502">
        <f t="shared" ca="1" si="67"/>
        <v>8</v>
      </c>
      <c r="I502">
        <f t="shared" ca="1" si="68"/>
        <v>55000</v>
      </c>
      <c r="J502" s="10" t="str">
        <f t="shared" ca="1" si="69"/>
        <v>Offline</v>
      </c>
      <c r="K502" s="10">
        <f t="shared" ca="1" si="70"/>
        <v>55000</v>
      </c>
      <c r="L502" s="10">
        <f t="shared" ca="1" si="71"/>
        <v>110000</v>
      </c>
      <c r="M502" s="12" t="str" cm="1">
        <f t="array" aca="1" ref="M502" ca="1">INDEX($R$33:$R$82, RANDBETWEEN(1, COUNTA($R$33:$R$82)))</f>
        <v>NV26</v>
      </c>
      <c r="N502">
        <f t="shared" ca="1" si="72"/>
        <v>48</v>
      </c>
    </row>
    <row r="503" spans="1:14" ht="16.8" x14ac:dyDescent="0.3">
      <c r="A503" s="7" t="str">
        <f t="shared" si="64"/>
        <v>S0502</v>
      </c>
      <c r="B503" s="8">
        <f t="shared" ca="1" si="65"/>
        <v>45268</v>
      </c>
      <c r="C503" s="15" t="str" cm="1">
        <f t="array" aca="1" ref="C503" ca="1">INDEX($Q$2:$Q$31, RANDBETWEEN(1, COUNTA($Q$2:$Q$31)))</f>
        <v>Cookies &amp; Cream</v>
      </c>
      <c r="D503" s="10" t="str" cm="1">
        <f t="array" aca="1" ref="D503" ca="1">INDEX($R$2:$R$310, RANDBETWEEN(1, COUNTA($Q$2:$Q$310)))</f>
        <v>S</v>
      </c>
      <c r="E503">
        <f t="shared" ca="1" si="66"/>
        <v>1</v>
      </c>
      <c r="F503" cm="1">
        <f t="array" aca="1" ref="F503" ca="1">INDEX($S$2:$S$31, RANDBETWEEN(1, COUNTA($S$2:$S$31)))</f>
        <v>65000</v>
      </c>
      <c r="G503" cm="1">
        <f t="array" aca="1" ref="G503" ca="1">INDEX($S$2:$S$31, RANDBETWEEN(1, COUNTA($S$2:$S$31)))</f>
        <v>55000</v>
      </c>
      <c r="H503">
        <f t="shared" ca="1" si="67"/>
        <v>10</v>
      </c>
      <c r="I503">
        <f t="shared" ca="1" si="68"/>
        <v>58500</v>
      </c>
      <c r="J503" s="10" t="str">
        <f t="shared" ca="1" si="69"/>
        <v>Online</v>
      </c>
      <c r="K503" s="10">
        <f t="shared" ca="1" si="70"/>
        <v>58500</v>
      </c>
      <c r="L503" s="10">
        <f t="shared" ca="1" si="71"/>
        <v>58500</v>
      </c>
      <c r="M503" s="12" t="str" cm="1">
        <f t="array" aca="1" ref="M503" ca="1">INDEX($R$33:$R$82, RANDBETWEEN(1, COUNTA($R$33:$R$82)))</f>
        <v>NV6</v>
      </c>
      <c r="N503">
        <f t="shared" ca="1" si="72"/>
        <v>30</v>
      </c>
    </row>
    <row r="504" spans="1:14" ht="16.8" x14ac:dyDescent="0.3">
      <c r="A504" s="7" t="str">
        <f t="shared" si="64"/>
        <v>S0503</v>
      </c>
      <c r="B504" s="8">
        <f t="shared" ca="1" si="65"/>
        <v>44817</v>
      </c>
      <c r="C504" s="15" t="str" cm="1">
        <f t="array" aca="1" ref="C504" ca="1">INDEX($Q$2:$Q$31, RANDBETWEEN(1, COUNTA($Q$2:$Q$31)))</f>
        <v xml:space="preserve">Chocolate Freeze </v>
      </c>
      <c r="D504" s="10" t="str" cm="1">
        <f t="array" aca="1" ref="D504" ca="1">INDEX($R$2:$R$310, RANDBETWEEN(1, COUNTA($Q$2:$Q$310)))</f>
        <v>M</v>
      </c>
      <c r="E504">
        <f t="shared" ca="1" si="66"/>
        <v>2</v>
      </c>
      <c r="F504" cm="1">
        <f t="array" aca="1" ref="F504" ca="1">INDEX($S$2:$S$31, RANDBETWEEN(1, COUNTA($S$2:$S$31)))</f>
        <v>35000</v>
      </c>
      <c r="G504" cm="1">
        <f t="array" aca="1" ref="G504" ca="1">INDEX($S$2:$S$31, RANDBETWEEN(1, COUNTA($S$2:$S$31)))</f>
        <v>49000</v>
      </c>
      <c r="H504">
        <f t="shared" ca="1" si="67"/>
        <v>8</v>
      </c>
      <c r="I504">
        <f t="shared" ca="1" si="68"/>
        <v>49000</v>
      </c>
      <c r="J504" s="10" t="str">
        <f t="shared" ca="1" si="69"/>
        <v>Offline</v>
      </c>
      <c r="K504" s="10">
        <f t="shared" ca="1" si="70"/>
        <v>49000</v>
      </c>
      <c r="L504" s="10">
        <f t="shared" ca="1" si="71"/>
        <v>98000</v>
      </c>
      <c r="M504" s="12" t="str" cm="1">
        <f t="array" aca="1" ref="M504" ca="1">INDEX($R$33:$R$82, RANDBETWEEN(1, COUNTA($R$33:$R$82)))</f>
        <v>NV11</v>
      </c>
      <c r="N504">
        <f t="shared" ca="1" si="72"/>
        <v>33</v>
      </c>
    </row>
    <row r="505" spans="1:14" ht="16.8" x14ac:dyDescent="0.3">
      <c r="A505" s="7" t="str">
        <f t="shared" si="64"/>
        <v>S0504</v>
      </c>
      <c r="B505" s="8">
        <f t="shared" ca="1" si="65"/>
        <v>45240</v>
      </c>
      <c r="C505" s="15" t="str" cm="1">
        <f t="array" aca="1" ref="C505" ca="1">INDEX($Q$2:$Q$31, RANDBETWEEN(1, COUNTA($Q$2:$Q$31)))</f>
        <v>Mocha</v>
      </c>
      <c r="D505" s="10" t="str" cm="1">
        <f t="array" aca="1" ref="D505" ca="1">INDEX($R$2:$R$310, RANDBETWEEN(1, COUNTA($Q$2:$Q$310)))</f>
        <v>M</v>
      </c>
      <c r="E505">
        <f t="shared" ca="1" si="66"/>
        <v>2</v>
      </c>
      <c r="F505" cm="1">
        <f t="array" aca="1" ref="F505" ca="1">INDEX($S$2:$S$31, RANDBETWEEN(1, COUNTA($S$2:$S$31)))</f>
        <v>35000</v>
      </c>
      <c r="G505" cm="1">
        <f t="array" aca="1" ref="G505" ca="1">INDEX($S$2:$S$31, RANDBETWEEN(1, COUNTA($S$2:$S$31)))</f>
        <v>65000</v>
      </c>
      <c r="H505">
        <f t="shared" ca="1" si="67"/>
        <v>6</v>
      </c>
      <c r="I505">
        <f t="shared" ca="1" si="68"/>
        <v>32900</v>
      </c>
      <c r="J505" s="10" t="str">
        <f t="shared" ca="1" si="69"/>
        <v>Online</v>
      </c>
      <c r="K505" s="10">
        <f t="shared" ca="1" si="70"/>
        <v>32900</v>
      </c>
      <c r="L505" s="10">
        <f t="shared" ca="1" si="71"/>
        <v>65800</v>
      </c>
      <c r="M505" s="12" t="str" cm="1">
        <f t="array" aca="1" ref="M505" ca="1">INDEX($R$33:$R$82, RANDBETWEEN(1, COUNTA($R$33:$R$82)))</f>
        <v>NV35</v>
      </c>
      <c r="N505">
        <f t="shared" ca="1" si="72"/>
        <v>45</v>
      </c>
    </row>
    <row r="506" spans="1:14" ht="16.8" x14ac:dyDescent="0.3">
      <c r="A506" s="7" t="str">
        <f t="shared" si="64"/>
        <v>S0505</v>
      </c>
      <c r="B506" s="8">
        <f t="shared" ca="1" si="65"/>
        <v>44603</v>
      </c>
      <c r="C506" s="15" t="str" cm="1">
        <f t="array" aca="1" ref="C506" ca="1">INDEX($Q$2:$Q$31, RANDBETWEEN(1, COUNTA($Q$2:$Q$31)))</f>
        <v>Latte</v>
      </c>
      <c r="D506" s="10" t="str" cm="1">
        <f t="array" aca="1" ref="D506" ca="1">INDEX($R$2:$R$310, RANDBETWEEN(1, COUNTA($Q$2:$Q$310)))</f>
        <v>M</v>
      </c>
      <c r="E506">
        <f t="shared" ca="1" si="66"/>
        <v>3</v>
      </c>
      <c r="F506" cm="1">
        <f t="array" aca="1" ref="F506" ca="1">INDEX($S$2:$S$31, RANDBETWEEN(1, COUNTA($S$2:$S$31)))</f>
        <v>39000</v>
      </c>
      <c r="G506" cm="1">
        <f t="array" aca="1" ref="G506" ca="1">INDEX($S$2:$S$31, RANDBETWEEN(1, COUNTA($S$2:$S$31)))</f>
        <v>49000</v>
      </c>
      <c r="H506">
        <f t="shared" ca="1" si="67"/>
        <v>5</v>
      </c>
      <c r="I506">
        <f t="shared" ca="1" si="68"/>
        <v>37050</v>
      </c>
      <c r="J506" s="10" t="str">
        <f t="shared" ca="1" si="69"/>
        <v>Online</v>
      </c>
      <c r="K506" s="10">
        <f t="shared" ca="1" si="70"/>
        <v>37050</v>
      </c>
      <c r="L506" s="10">
        <f t="shared" ca="1" si="71"/>
        <v>111150</v>
      </c>
      <c r="M506" s="12" t="str" cm="1">
        <f t="array" aca="1" ref="M506" ca="1">INDEX($R$33:$R$82, RANDBETWEEN(1, COUNTA($R$33:$R$82)))</f>
        <v>NV19</v>
      </c>
      <c r="N506">
        <f t="shared" ca="1" si="72"/>
        <v>39</v>
      </c>
    </row>
    <row r="507" spans="1:14" ht="16.8" x14ac:dyDescent="0.3">
      <c r="A507" s="7" t="str">
        <f t="shared" si="64"/>
        <v>S0506</v>
      </c>
      <c r="B507" s="8">
        <f t="shared" ca="1" si="65"/>
        <v>44725</v>
      </c>
      <c r="C507" s="15" t="str" cm="1">
        <f t="array" aca="1" ref="C507" ca="1">INDEX($Q$2:$Q$31, RANDBETWEEN(1, COUNTA($Q$2:$Q$31)))</f>
        <v>Cappuccino</v>
      </c>
      <c r="D507" s="10" t="str" cm="1">
        <f t="array" aca="1" ref="D507" ca="1">INDEX($R$2:$R$310, RANDBETWEEN(1, COUNTA($Q$2:$Q$310)))</f>
        <v>S</v>
      </c>
      <c r="E507">
        <f t="shared" ca="1" si="66"/>
        <v>5</v>
      </c>
      <c r="F507" cm="1">
        <f t="array" aca="1" ref="F507" ca="1">INDEX($S$2:$S$31, RANDBETWEEN(1, COUNTA($S$2:$S$31)))</f>
        <v>65000</v>
      </c>
      <c r="G507" cm="1">
        <f t="array" aca="1" ref="G507" ca="1">INDEX($S$2:$S$31, RANDBETWEEN(1, COUNTA($S$2:$S$31)))</f>
        <v>69000</v>
      </c>
      <c r="H507">
        <f t="shared" ca="1" si="67"/>
        <v>9</v>
      </c>
      <c r="I507">
        <f t="shared" ca="1" si="68"/>
        <v>69000</v>
      </c>
      <c r="J507" s="10" t="str">
        <f t="shared" ca="1" si="69"/>
        <v>Offline</v>
      </c>
      <c r="K507" s="10">
        <f t="shared" ca="1" si="70"/>
        <v>69000</v>
      </c>
      <c r="L507" s="10">
        <f t="shared" ca="1" si="71"/>
        <v>345000</v>
      </c>
      <c r="M507" s="12" t="str" cm="1">
        <f t="array" aca="1" ref="M507" ca="1">INDEX($R$33:$R$82, RANDBETWEEN(1, COUNTA($R$33:$R$82)))</f>
        <v>NV35</v>
      </c>
      <c r="N507">
        <f t="shared" ca="1" si="72"/>
        <v>17</v>
      </c>
    </row>
    <row r="508" spans="1:14" ht="16.8" x14ac:dyDescent="0.3">
      <c r="A508" s="7" t="str">
        <f t="shared" si="64"/>
        <v>S0507</v>
      </c>
      <c r="B508" s="8">
        <f t="shared" ca="1" si="65"/>
        <v>45042</v>
      </c>
      <c r="C508" s="15" t="str" cm="1">
        <f t="array" aca="1" ref="C508" ca="1">INDEX($Q$2:$Q$31, RANDBETWEEN(1, COUNTA($Q$2:$Q$31)))</f>
        <v xml:space="preserve">Green Tea Freeze </v>
      </c>
      <c r="D508" s="10" t="str" cm="1">
        <f t="array" aca="1" ref="D508" ca="1">INDEX($R$2:$R$310, RANDBETWEEN(1, COUNTA($Q$2:$Q$310)))</f>
        <v>S</v>
      </c>
      <c r="E508">
        <f t="shared" ca="1" si="66"/>
        <v>5</v>
      </c>
      <c r="F508" cm="1">
        <f t="array" aca="1" ref="F508" ca="1">INDEX($S$2:$S$31, RANDBETWEEN(1, COUNTA($S$2:$S$31)))</f>
        <v>69000</v>
      </c>
      <c r="G508" cm="1">
        <f t="array" aca="1" ref="G508" ca="1">INDEX($S$2:$S$31, RANDBETWEEN(1, COUNTA($S$2:$S$31)))</f>
        <v>49000</v>
      </c>
      <c r="H508">
        <f t="shared" ca="1" si="67"/>
        <v>14</v>
      </c>
      <c r="I508">
        <f t="shared" ca="1" si="68"/>
        <v>49000</v>
      </c>
      <c r="J508" s="10" t="str">
        <f t="shared" ca="1" si="69"/>
        <v>Offline</v>
      </c>
      <c r="K508" s="10">
        <f t="shared" ca="1" si="70"/>
        <v>49000</v>
      </c>
      <c r="L508" s="10">
        <f t="shared" ca="1" si="71"/>
        <v>245000</v>
      </c>
      <c r="M508" s="12" t="str" cm="1">
        <f t="array" aca="1" ref="M508" ca="1">INDEX($R$33:$R$82, RANDBETWEEN(1, COUNTA($R$33:$R$82)))</f>
        <v>NV6</v>
      </c>
      <c r="N508">
        <f t="shared" ca="1" si="72"/>
        <v>8</v>
      </c>
    </row>
    <row r="509" spans="1:14" ht="16.8" x14ac:dyDescent="0.3">
      <c r="A509" s="7" t="str">
        <f t="shared" si="64"/>
        <v>S0508</v>
      </c>
      <c r="B509" s="8">
        <f t="shared" ca="1" si="65"/>
        <v>45144</v>
      </c>
      <c r="C509" s="15" t="str" cm="1">
        <f t="array" aca="1" ref="C509" ca="1">INDEX($Q$2:$Q$31, RANDBETWEEN(1, COUNTA($Q$2:$Q$31)))</f>
        <v>Iced Black Coffee</v>
      </c>
      <c r="D509" s="10" t="str" cm="1">
        <f t="array" aca="1" ref="D509" ca="1">INDEX($R$2:$R$310, RANDBETWEEN(1, COUNTA($Q$2:$Q$310)))</f>
        <v>M</v>
      </c>
      <c r="E509">
        <f t="shared" ca="1" si="66"/>
        <v>2</v>
      </c>
      <c r="F509" cm="1">
        <f t="array" aca="1" ref="F509" ca="1">INDEX($S$2:$S$31, RANDBETWEEN(1, COUNTA($S$2:$S$31)))</f>
        <v>65000</v>
      </c>
      <c r="G509" cm="1">
        <f t="array" aca="1" ref="G509" ca="1">INDEX($S$2:$S$31, RANDBETWEEN(1, COUNTA($S$2:$S$31)))</f>
        <v>75000</v>
      </c>
      <c r="H509">
        <f t="shared" ca="1" si="67"/>
        <v>13</v>
      </c>
      <c r="I509">
        <f t="shared" ca="1" si="68"/>
        <v>56550</v>
      </c>
      <c r="J509" s="10" t="str">
        <f t="shared" ca="1" si="69"/>
        <v>Online</v>
      </c>
      <c r="K509" s="10">
        <f t="shared" ca="1" si="70"/>
        <v>56550</v>
      </c>
      <c r="L509" s="10">
        <f t="shared" ca="1" si="71"/>
        <v>113100</v>
      </c>
      <c r="M509" s="12" t="str" cm="1">
        <f t="array" aca="1" ref="M509" ca="1">INDEX($R$33:$R$82, RANDBETWEEN(1, COUNTA($R$33:$R$82)))</f>
        <v>NV13</v>
      </c>
      <c r="N509">
        <f t="shared" ca="1" si="72"/>
        <v>13</v>
      </c>
    </row>
    <row r="510" spans="1:14" ht="16.8" x14ac:dyDescent="0.3">
      <c r="A510" s="7" t="str">
        <f t="shared" si="64"/>
        <v>S0509</v>
      </c>
      <c r="B510" s="8">
        <f t="shared" ca="1" si="65"/>
        <v>44468</v>
      </c>
      <c r="C510" s="15" t="str" cm="1">
        <f t="array" aca="1" ref="C510" ca="1">INDEX($Q$2:$Q$31, RANDBETWEEN(1, COUNTA($Q$2:$Q$31)))</f>
        <v>Cappuccino</v>
      </c>
      <c r="D510" s="10" t="str" cm="1">
        <f t="array" aca="1" ref="D510" ca="1">INDEX($R$2:$R$310, RANDBETWEEN(1, COUNTA($Q$2:$Q$310)))</f>
        <v>S</v>
      </c>
      <c r="E510">
        <f t="shared" ca="1" si="66"/>
        <v>3</v>
      </c>
      <c r="F510" cm="1">
        <f t="array" aca="1" ref="F510" ca="1">INDEX($S$2:$S$31, RANDBETWEEN(1, COUNTA($S$2:$S$31)))</f>
        <v>55000</v>
      </c>
      <c r="G510" cm="1">
        <f t="array" aca="1" ref="G510" ca="1">INDEX($S$2:$S$31, RANDBETWEEN(1, COUNTA($S$2:$S$31)))</f>
        <v>69000</v>
      </c>
      <c r="H510">
        <f t="shared" ca="1" si="67"/>
        <v>7</v>
      </c>
      <c r="I510">
        <f t="shared" ca="1" si="68"/>
        <v>69000</v>
      </c>
      <c r="J510" s="10" t="str">
        <f t="shared" ca="1" si="69"/>
        <v>Offline</v>
      </c>
      <c r="K510" s="10">
        <f t="shared" ca="1" si="70"/>
        <v>69000</v>
      </c>
      <c r="L510" s="10">
        <f t="shared" ca="1" si="71"/>
        <v>207000</v>
      </c>
      <c r="M510" s="12" t="str" cm="1">
        <f t="array" aca="1" ref="M510" ca="1">INDEX($R$33:$R$82, RANDBETWEEN(1, COUNTA($R$33:$R$82)))</f>
        <v>NV25</v>
      </c>
      <c r="N510">
        <f t="shared" ca="1" si="72"/>
        <v>3</v>
      </c>
    </row>
    <row r="511" spans="1:14" ht="16.8" x14ac:dyDescent="0.3">
      <c r="A511" s="7" t="str">
        <f t="shared" ref="A511:A574" si="73">"S"&amp;TEXT(ROW()-1,"0000")</f>
        <v>S0510</v>
      </c>
      <c r="B511" s="8">
        <f t="shared" ref="B511:B574" ca="1" si="74">DATE(2021,1,1) + RANDBETWEEN(0,1095)</f>
        <v>44223</v>
      </c>
      <c r="C511" s="15" t="str" cm="1">
        <f t="array" aca="1" ref="C511" ca="1">INDEX($Q$2:$Q$31, RANDBETWEEN(1, COUNTA($Q$2:$Q$31)))</f>
        <v>Iced Black Coffee</v>
      </c>
      <c r="D511" s="10" t="str" cm="1">
        <f t="array" aca="1" ref="D511" ca="1">INDEX($R$2:$R$310, RANDBETWEEN(1, COUNTA($Q$2:$Q$310)))</f>
        <v>S</v>
      </c>
      <c r="E511">
        <f t="shared" ref="E511:E574" ca="1" si="75">RANDBETWEEN(1,5)</f>
        <v>3</v>
      </c>
      <c r="F511" cm="1">
        <f t="array" aca="1" ref="F511" ca="1">INDEX($S$2:$S$31, RANDBETWEEN(1, COUNTA($S$2:$S$31)))</f>
        <v>69000</v>
      </c>
      <c r="G511" cm="1">
        <f t="array" aca="1" ref="G511" ca="1">INDEX($S$2:$S$31, RANDBETWEEN(1, COUNTA($S$2:$S$31)))</f>
        <v>59000</v>
      </c>
      <c r="H511">
        <f t="shared" ca="1" si="67"/>
        <v>10</v>
      </c>
      <c r="I511">
        <f t="shared" ca="1" si="68"/>
        <v>59000</v>
      </c>
      <c r="J511" s="10" t="str">
        <f t="shared" ca="1" si="69"/>
        <v>Offline</v>
      </c>
      <c r="K511" s="10">
        <f t="shared" ca="1" si="70"/>
        <v>59000</v>
      </c>
      <c r="L511" s="10">
        <f t="shared" ca="1" si="71"/>
        <v>177000</v>
      </c>
      <c r="M511" s="12" t="str" cm="1">
        <f t="array" aca="1" ref="M511" ca="1">INDEX($R$33:$R$82, RANDBETWEEN(1, COUNTA($R$33:$R$82)))</f>
        <v>NV3</v>
      </c>
      <c r="N511">
        <f t="shared" ca="1" si="72"/>
        <v>49</v>
      </c>
    </row>
    <row r="512" spans="1:14" ht="16.8" x14ac:dyDescent="0.3">
      <c r="A512" s="7" t="str">
        <f t="shared" si="73"/>
        <v>S0511</v>
      </c>
      <c r="B512" s="8">
        <f t="shared" ca="1" si="74"/>
        <v>44837</v>
      </c>
      <c r="C512" s="15" t="str" cm="1">
        <f t="array" aca="1" ref="C512" ca="1">INDEX($Q$2:$Q$31, RANDBETWEEN(1, COUNTA($Q$2:$Q$31)))</f>
        <v>Cookies &amp; Cream</v>
      </c>
      <c r="D512" s="10" t="str" cm="1">
        <f t="array" aca="1" ref="D512" ca="1">INDEX($R$2:$R$310, RANDBETWEEN(1, COUNTA($Q$2:$Q$310)))</f>
        <v>S</v>
      </c>
      <c r="E512">
        <f t="shared" ca="1" si="75"/>
        <v>4</v>
      </c>
      <c r="F512" cm="1">
        <f t="array" aca="1" ref="F512" ca="1">INDEX($S$2:$S$31, RANDBETWEEN(1, COUNTA($S$2:$S$31)))</f>
        <v>69000</v>
      </c>
      <c r="G512" cm="1">
        <f t="array" aca="1" ref="G512" ca="1">INDEX($S$2:$S$31, RANDBETWEEN(1, COUNTA($S$2:$S$31)))</f>
        <v>35000</v>
      </c>
      <c r="H512">
        <f t="shared" ca="1" si="67"/>
        <v>7</v>
      </c>
      <c r="I512">
        <f t="shared" ca="1" si="68"/>
        <v>64169.999999999993</v>
      </c>
      <c r="J512" s="10" t="str">
        <f t="shared" ca="1" si="69"/>
        <v>Online</v>
      </c>
      <c r="K512" s="10">
        <f t="shared" ca="1" si="70"/>
        <v>64169.999999999993</v>
      </c>
      <c r="L512" s="10">
        <f t="shared" ca="1" si="71"/>
        <v>256679.99999999997</v>
      </c>
      <c r="M512" s="12" t="str" cm="1">
        <f t="array" aca="1" ref="M512" ca="1">INDEX($R$33:$R$82, RANDBETWEEN(1, COUNTA($R$33:$R$82)))</f>
        <v>NV10</v>
      </c>
      <c r="N512">
        <f t="shared" ca="1" si="72"/>
        <v>26</v>
      </c>
    </row>
    <row r="513" spans="1:14" ht="16.8" x14ac:dyDescent="0.3">
      <c r="A513" s="7" t="str">
        <f t="shared" si="73"/>
        <v>S0512</v>
      </c>
      <c r="B513" s="8">
        <f t="shared" ca="1" si="74"/>
        <v>44828</v>
      </c>
      <c r="C513" s="15" t="str" cm="1">
        <f t="array" aca="1" ref="C513" ca="1">INDEX($Q$2:$Q$31, RANDBETWEEN(1, COUNTA($Q$2:$Q$31)))</f>
        <v xml:space="preserve">Green Tea Freeze </v>
      </c>
      <c r="D513" s="10" t="str" cm="1">
        <f t="array" aca="1" ref="D513" ca="1">INDEX($R$2:$R$310, RANDBETWEEN(1, COUNTA($Q$2:$Q$310)))</f>
        <v>L</v>
      </c>
      <c r="E513">
        <f t="shared" ca="1" si="75"/>
        <v>5</v>
      </c>
      <c r="F513" cm="1">
        <f t="array" aca="1" ref="F513" ca="1">INDEX($S$2:$S$31, RANDBETWEEN(1, COUNTA($S$2:$S$31)))</f>
        <v>39000</v>
      </c>
      <c r="G513" cm="1">
        <f t="array" aca="1" ref="G513" ca="1">INDEX($S$2:$S$31, RANDBETWEEN(1, COUNTA($S$2:$S$31)))</f>
        <v>65000</v>
      </c>
      <c r="H513">
        <f t="shared" ca="1" si="67"/>
        <v>6</v>
      </c>
      <c r="I513">
        <f t="shared" ca="1" si="68"/>
        <v>65000</v>
      </c>
      <c r="J513" s="10" t="str">
        <f t="shared" ca="1" si="69"/>
        <v>Offline</v>
      </c>
      <c r="K513" s="10">
        <f t="shared" ca="1" si="70"/>
        <v>65000</v>
      </c>
      <c r="L513" s="10">
        <f t="shared" ca="1" si="71"/>
        <v>325000</v>
      </c>
      <c r="M513" s="12" t="str" cm="1">
        <f t="array" aca="1" ref="M513" ca="1">INDEX($R$33:$R$82, RANDBETWEEN(1, COUNTA($R$33:$R$82)))</f>
        <v>NV29</v>
      </c>
      <c r="N513">
        <f t="shared" ca="1" si="72"/>
        <v>46</v>
      </c>
    </row>
    <row r="514" spans="1:14" ht="16.8" x14ac:dyDescent="0.3">
      <c r="A514" s="7" t="str">
        <f t="shared" si="73"/>
        <v>S0513</v>
      </c>
      <c r="B514" s="8">
        <f t="shared" ca="1" si="74"/>
        <v>44382</v>
      </c>
      <c r="C514" s="15" t="str" cm="1">
        <f t="array" aca="1" ref="C514" ca="1">INDEX($Q$2:$Q$31, RANDBETWEEN(1, COUNTA($Q$2:$Q$31)))</f>
        <v>Cookies &amp; Cream</v>
      </c>
      <c r="D514" s="10" t="str" cm="1">
        <f t="array" aca="1" ref="D514" ca="1">INDEX($R$2:$R$310, RANDBETWEEN(1, COUNTA($Q$2:$Q$310)))</f>
        <v>L</v>
      </c>
      <c r="E514">
        <f t="shared" ca="1" si="75"/>
        <v>3</v>
      </c>
      <c r="F514" cm="1">
        <f t="array" aca="1" ref="F514" ca="1">INDEX($S$2:$S$31, RANDBETWEEN(1, COUNTA($S$2:$S$31)))</f>
        <v>75000</v>
      </c>
      <c r="G514" cm="1">
        <f t="array" aca="1" ref="G514" ca="1">INDEX($S$2:$S$31, RANDBETWEEN(1, COUNTA($S$2:$S$31)))</f>
        <v>69000</v>
      </c>
      <c r="H514">
        <f t="shared" ca="1" si="67"/>
        <v>10</v>
      </c>
      <c r="I514">
        <f t="shared" ca="1" si="68"/>
        <v>67500</v>
      </c>
      <c r="J514" s="10" t="str">
        <f t="shared" ca="1" si="69"/>
        <v>Online</v>
      </c>
      <c r="K514" s="10">
        <f t="shared" ca="1" si="70"/>
        <v>67500</v>
      </c>
      <c r="L514" s="10">
        <f t="shared" ca="1" si="71"/>
        <v>202500</v>
      </c>
      <c r="M514" s="12" t="str" cm="1">
        <f t="array" aca="1" ref="M514" ca="1">INDEX($R$33:$R$82, RANDBETWEEN(1, COUNTA($R$33:$R$82)))</f>
        <v>NV16</v>
      </c>
      <c r="N514">
        <f t="shared" ca="1" si="72"/>
        <v>36</v>
      </c>
    </row>
    <row r="515" spans="1:14" ht="16.8" x14ac:dyDescent="0.3">
      <c r="A515" s="7" t="str">
        <f t="shared" si="73"/>
        <v>S0514</v>
      </c>
      <c r="B515" s="8">
        <f t="shared" ca="1" si="74"/>
        <v>44385</v>
      </c>
      <c r="C515" s="15" t="str" cm="1">
        <f t="array" aca="1" ref="C515" ca="1">INDEX($Q$2:$Q$31, RANDBETWEEN(1, COUNTA($Q$2:$Q$31)))</f>
        <v xml:space="preserve">Chocolate Freeze </v>
      </c>
      <c r="D515" s="10" t="str" cm="1">
        <f t="array" aca="1" ref="D515" ca="1">INDEX($R$2:$R$310, RANDBETWEEN(1, COUNTA($Q$2:$Q$310)))</f>
        <v>M</v>
      </c>
      <c r="E515">
        <f t="shared" ca="1" si="75"/>
        <v>5</v>
      </c>
      <c r="F515" cm="1">
        <f t="array" aca="1" ref="F515" ca="1">INDEX($S$2:$S$31, RANDBETWEEN(1, COUNTA($S$2:$S$31)))</f>
        <v>39000</v>
      </c>
      <c r="G515" cm="1">
        <f t="array" aca="1" ref="G515" ca="1">INDEX($S$2:$S$31, RANDBETWEEN(1, COUNTA($S$2:$S$31)))</f>
        <v>49000</v>
      </c>
      <c r="H515">
        <f t="shared" ref="H515:H578" ca="1" si="76">RANDBETWEEN(5,15)</f>
        <v>15</v>
      </c>
      <c r="I515">
        <f t="shared" ref="I515:I578" ca="1" si="77">IF(J515="Online", F515*(1-H515/100), G515)</f>
        <v>49000</v>
      </c>
      <c r="J515" s="10" t="str">
        <f t="shared" ref="J515:J578" ca="1" si="78">IF(RANDBETWEEN(1,2)=1,"Online","Offline")</f>
        <v>Offline</v>
      </c>
      <c r="K515" s="10">
        <f t="shared" ref="K515:K578" ca="1" si="79">I515</f>
        <v>49000</v>
      </c>
      <c r="L515" s="10">
        <f t="shared" ref="L515:L578" ca="1" si="80">E515*K515</f>
        <v>245000</v>
      </c>
      <c r="M515" s="12" t="str" cm="1">
        <f t="array" aca="1" ref="M515" ca="1">INDEX($R$33:$R$82, RANDBETWEEN(1, COUNTA($R$33:$R$82)))</f>
        <v>NV37</v>
      </c>
      <c r="N515">
        <f t="shared" ref="N515:N578" ca="1" si="81" xml:space="preserve"> RANDBETWEEN(2,51)</f>
        <v>7</v>
      </c>
    </row>
    <row r="516" spans="1:14" ht="16.8" x14ac:dyDescent="0.3">
      <c r="A516" s="7" t="str">
        <f t="shared" si="73"/>
        <v>S0515</v>
      </c>
      <c r="B516" s="8">
        <f t="shared" ca="1" si="74"/>
        <v>44348</v>
      </c>
      <c r="C516" s="15" t="str" cm="1">
        <f t="array" aca="1" ref="C516" ca="1">INDEX($Q$2:$Q$31, RANDBETWEEN(1, COUNTA($Q$2:$Q$31)))</f>
        <v>Latte</v>
      </c>
      <c r="D516" s="10" t="str" cm="1">
        <f t="array" aca="1" ref="D516" ca="1">INDEX($R$2:$R$310, RANDBETWEEN(1, COUNTA($Q$2:$Q$310)))</f>
        <v>S</v>
      </c>
      <c r="E516">
        <f t="shared" ca="1" si="75"/>
        <v>3</v>
      </c>
      <c r="F516" cm="1">
        <f t="array" aca="1" ref="F516" ca="1">INDEX($S$2:$S$31, RANDBETWEEN(1, COUNTA($S$2:$S$31)))</f>
        <v>35000</v>
      </c>
      <c r="G516" cm="1">
        <f t="array" aca="1" ref="G516" ca="1">INDEX($S$2:$S$31, RANDBETWEEN(1, COUNTA($S$2:$S$31)))</f>
        <v>65000</v>
      </c>
      <c r="H516">
        <f t="shared" ca="1" si="76"/>
        <v>14</v>
      </c>
      <c r="I516">
        <f t="shared" ca="1" si="77"/>
        <v>30100</v>
      </c>
      <c r="J516" s="10" t="str">
        <f t="shared" ca="1" si="78"/>
        <v>Online</v>
      </c>
      <c r="K516" s="10">
        <f t="shared" ca="1" si="79"/>
        <v>30100</v>
      </c>
      <c r="L516" s="10">
        <f t="shared" ca="1" si="80"/>
        <v>90300</v>
      </c>
      <c r="M516" s="12" t="str" cm="1">
        <f t="array" aca="1" ref="M516" ca="1">INDEX($R$33:$R$82, RANDBETWEEN(1, COUNTA($R$33:$R$82)))</f>
        <v>NV30</v>
      </c>
      <c r="N516">
        <f t="shared" ca="1" si="81"/>
        <v>37</v>
      </c>
    </row>
    <row r="517" spans="1:14" ht="16.8" x14ac:dyDescent="0.3">
      <c r="A517" s="7" t="str">
        <f t="shared" si="73"/>
        <v>S0516</v>
      </c>
      <c r="B517" s="8">
        <f t="shared" ca="1" si="74"/>
        <v>44208</v>
      </c>
      <c r="C517" s="15" t="str" cm="1">
        <f t="array" aca="1" ref="C517" ca="1">INDEX($Q$2:$Q$31, RANDBETWEEN(1, COUNTA($Q$2:$Q$31)))</f>
        <v>Cookies &amp; Cream</v>
      </c>
      <c r="D517" s="10" t="str" cm="1">
        <f t="array" aca="1" ref="D517" ca="1">INDEX($R$2:$R$310, RANDBETWEEN(1, COUNTA($Q$2:$Q$310)))</f>
        <v>L</v>
      </c>
      <c r="E517">
        <f t="shared" ca="1" si="75"/>
        <v>5</v>
      </c>
      <c r="F517" cm="1">
        <f t="array" aca="1" ref="F517" ca="1">INDEX($S$2:$S$31, RANDBETWEEN(1, COUNTA($S$2:$S$31)))</f>
        <v>59000</v>
      </c>
      <c r="G517" cm="1">
        <f t="array" aca="1" ref="G517" ca="1">INDEX($S$2:$S$31, RANDBETWEEN(1, COUNTA($S$2:$S$31)))</f>
        <v>49000</v>
      </c>
      <c r="H517">
        <f t="shared" ca="1" si="76"/>
        <v>8</v>
      </c>
      <c r="I517">
        <f t="shared" ca="1" si="77"/>
        <v>54280</v>
      </c>
      <c r="J517" s="10" t="str">
        <f t="shared" ca="1" si="78"/>
        <v>Online</v>
      </c>
      <c r="K517" s="10">
        <f t="shared" ca="1" si="79"/>
        <v>54280</v>
      </c>
      <c r="L517" s="10">
        <f t="shared" ca="1" si="80"/>
        <v>271400</v>
      </c>
      <c r="M517" s="12" t="str" cm="1">
        <f t="array" aca="1" ref="M517" ca="1">INDEX($R$33:$R$82, RANDBETWEEN(1, COUNTA($R$33:$R$82)))</f>
        <v>NV31</v>
      </c>
      <c r="N517">
        <f t="shared" ca="1" si="81"/>
        <v>6</v>
      </c>
    </row>
    <row r="518" spans="1:14" ht="16.8" x14ac:dyDescent="0.3">
      <c r="A518" s="7" t="str">
        <f t="shared" si="73"/>
        <v>S0517</v>
      </c>
      <c r="B518" s="8">
        <f t="shared" ca="1" si="74"/>
        <v>44356</v>
      </c>
      <c r="C518" s="15" t="str" cm="1">
        <f t="array" aca="1" ref="C518" ca="1">INDEX($Q$2:$Q$31, RANDBETWEEN(1, COUNTA($Q$2:$Q$31)))</f>
        <v>Caramel Phin Freeze</v>
      </c>
      <c r="D518" s="10" t="str" cm="1">
        <f t="array" aca="1" ref="D518" ca="1">INDEX($R$2:$R$310, RANDBETWEEN(1, COUNTA($Q$2:$Q$310)))</f>
        <v>L</v>
      </c>
      <c r="E518">
        <f t="shared" ca="1" si="75"/>
        <v>2</v>
      </c>
      <c r="F518" cm="1">
        <f t="array" aca="1" ref="F518" ca="1">INDEX($S$2:$S$31, RANDBETWEEN(1, COUNTA($S$2:$S$31)))</f>
        <v>59000</v>
      </c>
      <c r="G518" cm="1">
        <f t="array" aca="1" ref="G518" ca="1">INDEX($S$2:$S$31, RANDBETWEEN(1, COUNTA($S$2:$S$31)))</f>
        <v>59000</v>
      </c>
      <c r="H518">
        <f t="shared" ca="1" si="76"/>
        <v>10</v>
      </c>
      <c r="I518">
        <f t="shared" ca="1" si="77"/>
        <v>53100</v>
      </c>
      <c r="J518" s="10" t="str">
        <f t="shared" ca="1" si="78"/>
        <v>Online</v>
      </c>
      <c r="K518" s="10">
        <f t="shared" ca="1" si="79"/>
        <v>53100</v>
      </c>
      <c r="L518" s="10">
        <f t="shared" ca="1" si="80"/>
        <v>106200</v>
      </c>
      <c r="M518" s="12" t="str" cm="1">
        <f t="array" aca="1" ref="M518" ca="1">INDEX($R$33:$R$82, RANDBETWEEN(1, COUNTA($R$33:$R$82)))</f>
        <v>NV9</v>
      </c>
      <c r="N518">
        <f t="shared" ca="1" si="81"/>
        <v>6</v>
      </c>
    </row>
    <row r="519" spans="1:14" ht="16.8" x14ac:dyDescent="0.3">
      <c r="A519" s="7" t="str">
        <f t="shared" si="73"/>
        <v>S0518</v>
      </c>
      <c r="B519" s="8">
        <f t="shared" ca="1" si="74"/>
        <v>44603</v>
      </c>
      <c r="C519" s="15" t="str" cm="1">
        <f t="array" aca="1" ref="C519" ca="1">INDEX($Q$2:$Q$31, RANDBETWEEN(1, COUNTA($Q$2:$Q$31)))</f>
        <v xml:space="preserve">Green Tea Freeze </v>
      </c>
      <c r="D519" s="10" t="str" cm="1">
        <f t="array" aca="1" ref="D519" ca="1">INDEX($R$2:$R$310, RANDBETWEEN(1, COUNTA($Q$2:$Q$310)))</f>
        <v>S</v>
      </c>
      <c r="E519">
        <f t="shared" ca="1" si="75"/>
        <v>3</v>
      </c>
      <c r="F519" cm="1">
        <f t="array" aca="1" ref="F519" ca="1">INDEX($S$2:$S$31, RANDBETWEEN(1, COUNTA($S$2:$S$31)))</f>
        <v>65000</v>
      </c>
      <c r="G519" cm="1">
        <f t="array" aca="1" ref="G519" ca="1">INDEX($S$2:$S$31, RANDBETWEEN(1, COUNTA($S$2:$S$31)))</f>
        <v>75000</v>
      </c>
      <c r="H519">
        <f t="shared" ca="1" si="76"/>
        <v>14</v>
      </c>
      <c r="I519">
        <f t="shared" ca="1" si="77"/>
        <v>55900</v>
      </c>
      <c r="J519" s="10" t="str">
        <f t="shared" ca="1" si="78"/>
        <v>Online</v>
      </c>
      <c r="K519" s="10">
        <f t="shared" ca="1" si="79"/>
        <v>55900</v>
      </c>
      <c r="L519" s="10">
        <f t="shared" ca="1" si="80"/>
        <v>167700</v>
      </c>
      <c r="M519" s="12" t="str" cm="1">
        <f t="array" aca="1" ref="M519" ca="1">INDEX($R$33:$R$82, RANDBETWEEN(1, COUNTA($R$33:$R$82)))</f>
        <v>NV22</v>
      </c>
      <c r="N519">
        <f t="shared" ca="1" si="81"/>
        <v>37</v>
      </c>
    </row>
    <row r="520" spans="1:14" ht="16.8" x14ac:dyDescent="0.3">
      <c r="A520" s="7" t="str">
        <f t="shared" si="73"/>
        <v>S0519</v>
      </c>
      <c r="B520" s="8">
        <f t="shared" ca="1" si="74"/>
        <v>44828</v>
      </c>
      <c r="C520" s="15" t="str" cm="1">
        <f t="array" aca="1" ref="C520" ca="1">INDEX($Q$2:$Q$31, RANDBETWEEN(1, COUNTA($Q$2:$Q$31)))</f>
        <v>Classic Phin Freeze</v>
      </c>
      <c r="D520" s="10" t="str" cm="1">
        <f t="array" aca="1" ref="D520" ca="1">INDEX($R$2:$R$310, RANDBETWEEN(1, COUNTA($Q$2:$Q$310)))</f>
        <v>S</v>
      </c>
      <c r="E520">
        <f t="shared" ca="1" si="75"/>
        <v>5</v>
      </c>
      <c r="F520" cm="1">
        <f t="array" aca="1" ref="F520" ca="1">INDEX($S$2:$S$31, RANDBETWEEN(1, COUNTA($S$2:$S$31)))</f>
        <v>49000</v>
      </c>
      <c r="G520" cm="1">
        <f t="array" aca="1" ref="G520" ca="1">INDEX($S$2:$S$31, RANDBETWEEN(1, COUNTA($S$2:$S$31)))</f>
        <v>59000</v>
      </c>
      <c r="H520">
        <f t="shared" ca="1" si="76"/>
        <v>11</v>
      </c>
      <c r="I520">
        <f t="shared" ca="1" si="77"/>
        <v>59000</v>
      </c>
      <c r="J520" s="10" t="str">
        <f t="shared" ca="1" si="78"/>
        <v>Offline</v>
      </c>
      <c r="K520" s="10">
        <f t="shared" ca="1" si="79"/>
        <v>59000</v>
      </c>
      <c r="L520" s="10">
        <f t="shared" ca="1" si="80"/>
        <v>295000</v>
      </c>
      <c r="M520" s="12" t="str" cm="1">
        <f t="array" aca="1" ref="M520" ca="1">INDEX($R$33:$R$82, RANDBETWEEN(1, COUNTA($R$33:$R$82)))</f>
        <v>NV5</v>
      </c>
      <c r="N520">
        <f t="shared" ca="1" si="81"/>
        <v>17</v>
      </c>
    </row>
    <row r="521" spans="1:14" ht="16.8" x14ac:dyDescent="0.3">
      <c r="A521" s="7" t="str">
        <f t="shared" si="73"/>
        <v>S0520</v>
      </c>
      <c r="B521" s="8">
        <f t="shared" ca="1" si="74"/>
        <v>45100</v>
      </c>
      <c r="C521" s="15" t="str" cm="1">
        <f t="array" aca="1" ref="C521" ca="1">INDEX($Q$2:$Q$31, RANDBETWEEN(1, COUNTA($Q$2:$Q$31)))</f>
        <v>Classic Phin Freeze</v>
      </c>
      <c r="D521" s="10" t="str" cm="1">
        <f t="array" aca="1" ref="D521" ca="1">INDEX($R$2:$R$310, RANDBETWEEN(1, COUNTA($Q$2:$Q$310)))</f>
        <v>L</v>
      </c>
      <c r="E521">
        <f t="shared" ca="1" si="75"/>
        <v>5</v>
      </c>
      <c r="F521" cm="1">
        <f t="array" aca="1" ref="F521" ca="1">INDEX($S$2:$S$31, RANDBETWEEN(1, COUNTA($S$2:$S$31)))</f>
        <v>59000</v>
      </c>
      <c r="G521" cm="1">
        <f t="array" aca="1" ref="G521" ca="1">INDEX($S$2:$S$31, RANDBETWEEN(1, COUNTA($S$2:$S$31)))</f>
        <v>65000</v>
      </c>
      <c r="H521">
        <f t="shared" ca="1" si="76"/>
        <v>7</v>
      </c>
      <c r="I521">
        <f t="shared" ca="1" si="77"/>
        <v>54869.999999999993</v>
      </c>
      <c r="J521" s="10" t="str">
        <f t="shared" ca="1" si="78"/>
        <v>Online</v>
      </c>
      <c r="K521" s="10">
        <f t="shared" ca="1" si="79"/>
        <v>54869.999999999993</v>
      </c>
      <c r="L521" s="10">
        <f t="shared" ca="1" si="80"/>
        <v>274349.99999999994</v>
      </c>
      <c r="M521" s="12" t="str" cm="1">
        <f t="array" aca="1" ref="M521" ca="1">INDEX($R$33:$R$82, RANDBETWEEN(1, COUNTA($R$33:$R$82)))</f>
        <v>NV47</v>
      </c>
      <c r="N521">
        <f t="shared" ca="1" si="81"/>
        <v>41</v>
      </c>
    </row>
    <row r="522" spans="1:14" ht="16.8" x14ac:dyDescent="0.3">
      <c r="A522" s="7" t="str">
        <f t="shared" si="73"/>
        <v>S0521</v>
      </c>
      <c r="B522" s="8">
        <f t="shared" ca="1" si="74"/>
        <v>44313</v>
      </c>
      <c r="C522" s="15" t="str" cm="1">
        <f t="array" aca="1" ref="C522" ca="1">INDEX($Q$2:$Q$31, RANDBETWEEN(1, COUNTA($Q$2:$Q$31)))</f>
        <v xml:space="preserve">Chocolate Freeze </v>
      </c>
      <c r="D522" s="10" t="str" cm="1">
        <f t="array" aca="1" ref="D522" ca="1">INDEX($R$2:$R$310, RANDBETWEEN(1, COUNTA($Q$2:$Q$310)))</f>
        <v>S</v>
      </c>
      <c r="E522">
        <f t="shared" ca="1" si="75"/>
        <v>3</v>
      </c>
      <c r="F522" cm="1">
        <f t="array" aca="1" ref="F522" ca="1">INDEX($S$2:$S$31, RANDBETWEEN(1, COUNTA($S$2:$S$31)))</f>
        <v>65000</v>
      </c>
      <c r="G522" cm="1">
        <f t="array" aca="1" ref="G522" ca="1">INDEX($S$2:$S$31, RANDBETWEEN(1, COUNTA($S$2:$S$31)))</f>
        <v>49000</v>
      </c>
      <c r="H522">
        <f t="shared" ca="1" si="76"/>
        <v>6</v>
      </c>
      <c r="I522">
        <f t="shared" ca="1" si="77"/>
        <v>61100</v>
      </c>
      <c r="J522" s="10" t="str">
        <f t="shared" ca="1" si="78"/>
        <v>Online</v>
      </c>
      <c r="K522" s="10">
        <f t="shared" ca="1" si="79"/>
        <v>61100</v>
      </c>
      <c r="L522" s="10">
        <f t="shared" ca="1" si="80"/>
        <v>183300</v>
      </c>
      <c r="M522" s="12" t="str" cm="1">
        <f t="array" aca="1" ref="M522" ca="1">INDEX($R$33:$R$82, RANDBETWEEN(1, COUNTA($R$33:$R$82)))</f>
        <v>NV50</v>
      </c>
      <c r="N522">
        <f t="shared" ca="1" si="81"/>
        <v>6</v>
      </c>
    </row>
    <row r="523" spans="1:14" ht="16.8" x14ac:dyDescent="0.3">
      <c r="A523" s="7" t="str">
        <f t="shared" si="73"/>
        <v>S0522</v>
      </c>
      <c r="B523" s="8">
        <f t="shared" ca="1" si="74"/>
        <v>44724</v>
      </c>
      <c r="C523" s="15" t="str" cm="1">
        <f t="array" aca="1" ref="C523" ca="1">INDEX($Q$2:$Q$31, RANDBETWEEN(1, COUNTA($Q$2:$Q$31)))</f>
        <v xml:space="preserve">Green Tea Freeze </v>
      </c>
      <c r="D523" s="10" t="str" cm="1">
        <f t="array" aca="1" ref="D523" ca="1">INDEX($R$2:$R$310, RANDBETWEEN(1, COUNTA($Q$2:$Q$310)))</f>
        <v>M</v>
      </c>
      <c r="E523">
        <f t="shared" ca="1" si="75"/>
        <v>5</v>
      </c>
      <c r="F523" cm="1">
        <f t="array" aca="1" ref="F523" ca="1">INDEX($S$2:$S$31, RANDBETWEEN(1, COUNTA($S$2:$S$31)))</f>
        <v>69000</v>
      </c>
      <c r="G523" cm="1">
        <f t="array" aca="1" ref="G523" ca="1">INDEX($S$2:$S$31, RANDBETWEEN(1, COUNTA($S$2:$S$31)))</f>
        <v>49000</v>
      </c>
      <c r="H523">
        <f t="shared" ca="1" si="76"/>
        <v>5</v>
      </c>
      <c r="I523">
        <f t="shared" ca="1" si="77"/>
        <v>65550</v>
      </c>
      <c r="J523" s="10" t="str">
        <f t="shared" ca="1" si="78"/>
        <v>Online</v>
      </c>
      <c r="K523" s="10">
        <f t="shared" ca="1" si="79"/>
        <v>65550</v>
      </c>
      <c r="L523" s="10">
        <f t="shared" ca="1" si="80"/>
        <v>327750</v>
      </c>
      <c r="M523" s="12" t="str" cm="1">
        <f t="array" aca="1" ref="M523" ca="1">INDEX($R$33:$R$82, RANDBETWEEN(1, COUNTA($R$33:$R$82)))</f>
        <v>NV37</v>
      </c>
      <c r="N523">
        <f t="shared" ca="1" si="81"/>
        <v>31</v>
      </c>
    </row>
    <row r="524" spans="1:14" ht="16.8" x14ac:dyDescent="0.3">
      <c r="A524" s="7" t="str">
        <f t="shared" si="73"/>
        <v>S0523</v>
      </c>
      <c r="B524" s="8">
        <f t="shared" ca="1" si="74"/>
        <v>45037</v>
      </c>
      <c r="C524" s="15" t="str" cm="1">
        <f t="array" aca="1" ref="C524" ca="1">INDEX($Q$2:$Q$31, RANDBETWEEN(1, COUNTA($Q$2:$Q$31)))</f>
        <v>Classic Phin Freeze</v>
      </c>
      <c r="D524" s="10" t="str" cm="1">
        <f t="array" aca="1" ref="D524" ca="1">INDEX($R$2:$R$310, RANDBETWEEN(1, COUNTA($Q$2:$Q$310)))</f>
        <v>S</v>
      </c>
      <c r="E524">
        <f t="shared" ca="1" si="75"/>
        <v>1</v>
      </c>
      <c r="F524" cm="1">
        <f t="array" aca="1" ref="F524" ca="1">INDEX($S$2:$S$31, RANDBETWEEN(1, COUNTA($S$2:$S$31)))</f>
        <v>49000</v>
      </c>
      <c r="G524" cm="1">
        <f t="array" aca="1" ref="G524" ca="1">INDEX($S$2:$S$31, RANDBETWEEN(1, COUNTA($S$2:$S$31)))</f>
        <v>65000</v>
      </c>
      <c r="H524">
        <f t="shared" ca="1" si="76"/>
        <v>7</v>
      </c>
      <c r="I524">
        <f t="shared" ca="1" si="77"/>
        <v>45570</v>
      </c>
      <c r="J524" s="10" t="str">
        <f t="shared" ca="1" si="78"/>
        <v>Online</v>
      </c>
      <c r="K524" s="10">
        <f t="shared" ca="1" si="79"/>
        <v>45570</v>
      </c>
      <c r="L524" s="10">
        <f t="shared" ca="1" si="80"/>
        <v>45570</v>
      </c>
      <c r="M524" s="12" t="str" cm="1">
        <f t="array" aca="1" ref="M524" ca="1">INDEX($R$33:$R$82, RANDBETWEEN(1, COUNTA($R$33:$R$82)))</f>
        <v>NV39</v>
      </c>
      <c r="N524">
        <f t="shared" ca="1" si="81"/>
        <v>7</v>
      </c>
    </row>
    <row r="525" spans="1:14" ht="16.8" x14ac:dyDescent="0.3">
      <c r="A525" s="7" t="str">
        <f t="shared" si="73"/>
        <v>S0524</v>
      </c>
      <c r="B525" s="8">
        <f t="shared" ca="1" si="74"/>
        <v>44716</v>
      </c>
      <c r="C525" s="15" t="str" cm="1">
        <f t="array" aca="1" ref="C525" ca="1">INDEX($Q$2:$Q$31, RANDBETWEEN(1, COUNTA($Q$2:$Q$31)))</f>
        <v>Americano</v>
      </c>
      <c r="D525" s="10" t="str" cm="1">
        <f t="array" aca="1" ref="D525" ca="1">INDEX($R$2:$R$310, RANDBETWEEN(1, COUNTA($Q$2:$Q$310)))</f>
        <v>S</v>
      </c>
      <c r="E525">
        <f t="shared" ca="1" si="75"/>
        <v>4</v>
      </c>
      <c r="F525" cm="1">
        <f t="array" aca="1" ref="F525" ca="1">INDEX($S$2:$S$31, RANDBETWEEN(1, COUNTA($S$2:$S$31)))</f>
        <v>75000</v>
      </c>
      <c r="G525" cm="1">
        <f t="array" aca="1" ref="G525" ca="1">INDEX($S$2:$S$31, RANDBETWEEN(1, COUNTA($S$2:$S$31)))</f>
        <v>49000</v>
      </c>
      <c r="H525">
        <f t="shared" ca="1" si="76"/>
        <v>10</v>
      </c>
      <c r="I525">
        <f t="shared" ca="1" si="77"/>
        <v>49000</v>
      </c>
      <c r="J525" s="10" t="str">
        <f t="shared" ca="1" si="78"/>
        <v>Offline</v>
      </c>
      <c r="K525" s="10">
        <f t="shared" ca="1" si="79"/>
        <v>49000</v>
      </c>
      <c r="L525" s="10">
        <f t="shared" ca="1" si="80"/>
        <v>196000</v>
      </c>
      <c r="M525" s="12" t="str" cm="1">
        <f t="array" aca="1" ref="M525" ca="1">INDEX($R$33:$R$82, RANDBETWEEN(1, COUNTA($R$33:$R$82)))</f>
        <v>NV18</v>
      </c>
      <c r="N525">
        <f t="shared" ca="1" si="81"/>
        <v>32</v>
      </c>
    </row>
    <row r="526" spans="1:14" ht="16.8" x14ac:dyDescent="0.3">
      <c r="A526" s="7" t="str">
        <f t="shared" si="73"/>
        <v>S0525</v>
      </c>
      <c r="B526" s="8">
        <f t="shared" ca="1" si="74"/>
        <v>45063</v>
      </c>
      <c r="C526" s="15" t="str" cm="1">
        <f t="array" aca="1" ref="C526" ca="1">INDEX($Q$2:$Q$31, RANDBETWEEN(1, COUNTA($Q$2:$Q$31)))</f>
        <v>Cookies &amp; Cream</v>
      </c>
      <c r="D526" s="10" t="str" cm="1">
        <f t="array" aca="1" ref="D526" ca="1">INDEX($R$2:$R$310, RANDBETWEEN(1, COUNTA($Q$2:$Q$310)))</f>
        <v>M</v>
      </c>
      <c r="E526">
        <f t="shared" ca="1" si="75"/>
        <v>4</v>
      </c>
      <c r="F526" cm="1">
        <f t="array" aca="1" ref="F526" ca="1">INDEX($S$2:$S$31, RANDBETWEEN(1, COUNTA($S$2:$S$31)))</f>
        <v>65000</v>
      </c>
      <c r="G526" cm="1">
        <f t="array" aca="1" ref="G526" ca="1">INDEX($S$2:$S$31, RANDBETWEEN(1, COUNTA($S$2:$S$31)))</f>
        <v>59000</v>
      </c>
      <c r="H526">
        <f t="shared" ca="1" si="76"/>
        <v>11</v>
      </c>
      <c r="I526">
        <f t="shared" ca="1" si="77"/>
        <v>57850</v>
      </c>
      <c r="J526" s="10" t="str">
        <f t="shared" ca="1" si="78"/>
        <v>Online</v>
      </c>
      <c r="K526" s="10">
        <f t="shared" ca="1" si="79"/>
        <v>57850</v>
      </c>
      <c r="L526" s="10">
        <f t="shared" ca="1" si="80"/>
        <v>231400</v>
      </c>
      <c r="M526" s="12" t="str" cm="1">
        <f t="array" aca="1" ref="M526" ca="1">INDEX($R$33:$R$82, RANDBETWEEN(1, COUNTA($R$33:$R$82)))</f>
        <v>NV35</v>
      </c>
      <c r="N526">
        <f t="shared" ca="1" si="81"/>
        <v>44</v>
      </c>
    </row>
    <row r="527" spans="1:14" ht="16.8" x14ac:dyDescent="0.3">
      <c r="A527" s="7" t="str">
        <f t="shared" si="73"/>
        <v>S0526</v>
      </c>
      <c r="B527" s="8">
        <f t="shared" ca="1" si="74"/>
        <v>44992</v>
      </c>
      <c r="C527" s="15" t="str" cm="1">
        <f t="array" aca="1" ref="C527" ca="1">INDEX($Q$2:$Q$31, RANDBETWEEN(1, COUNTA($Q$2:$Q$31)))</f>
        <v xml:space="preserve">Chocolate Freeze </v>
      </c>
      <c r="D527" s="10" t="str" cm="1">
        <f t="array" aca="1" ref="D527" ca="1">INDEX($R$2:$R$310, RANDBETWEEN(1, COUNTA($Q$2:$Q$310)))</f>
        <v>L</v>
      </c>
      <c r="E527">
        <f t="shared" ca="1" si="75"/>
        <v>3</v>
      </c>
      <c r="F527" cm="1">
        <f t="array" aca="1" ref="F527" ca="1">INDEX($S$2:$S$31, RANDBETWEEN(1, COUNTA($S$2:$S$31)))</f>
        <v>65000</v>
      </c>
      <c r="G527" cm="1">
        <f t="array" aca="1" ref="G527" ca="1">INDEX($S$2:$S$31, RANDBETWEEN(1, COUNTA($S$2:$S$31)))</f>
        <v>65000</v>
      </c>
      <c r="H527">
        <f t="shared" ca="1" si="76"/>
        <v>12</v>
      </c>
      <c r="I527">
        <f t="shared" ca="1" si="77"/>
        <v>57200</v>
      </c>
      <c r="J527" s="10" t="str">
        <f t="shared" ca="1" si="78"/>
        <v>Online</v>
      </c>
      <c r="K527" s="10">
        <f t="shared" ca="1" si="79"/>
        <v>57200</v>
      </c>
      <c r="L527" s="10">
        <f t="shared" ca="1" si="80"/>
        <v>171600</v>
      </c>
      <c r="M527" s="12" t="str" cm="1">
        <f t="array" aca="1" ref="M527" ca="1">INDEX($R$33:$R$82, RANDBETWEEN(1, COUNTA($R$33:$R$82)))</f>
        <v>NV16</v>
      </c>
      <c r="N527">
        <f t="shared" ca="1" si="81"/>
        <v>29</v>
      </c>
    </row>
    <row r="528" spans="1:14" ht="16.8" x14ac:dyDescent="0.3">
      <c r="A528" s="7" t="str">
        <f t="shared" si="73"/>
        <v>S0527</v>
      </c>
      <c r="B528" s="8">
        <f t="shared" ca="1" si="74"/>
        <v>45165</v>
      </c>
      <c r="C528" s="15" t="str" cm="1">
        <f t="array" aca="1" ref="C528" ca="1">INDEX($Q$2:$Q$31, RANDBETWEEN(1, COUNTA($Q$2:$Q$31)))</f>
        <v xml:space="preserve">Chocolate Freeze </v>
      </c>
      <c r="D528" s="10" t="str" cm="1">
        <f t="array" aca="1" ref="D528" ca="1">INDEX($R$2:$R$310, RANDBETWEEN(1, COUNTA($Q$2:$Q$310)))</f>
        <v>M</v>
      </c>
      <c r="E528">
        <f t="shared" ca="1" si="75"/>
        <v>5</v>
      </c>
      <c r="F528" cm="1">
        <f t="array" aca="1" ref="F528" ca="1">INDEX($S$2:$S$31, RANDBETWEEN(1, COUNTA($S$2:$S$31)))</f>
        <v>45000</v>
      </c>
      <c r="G528" cm="1">
        <f t="array" aca="1" ref="G528" ca="1">INDEX($S$2:$S$31, RANDBETWEEN(1, COUNTA($S$2:$S$31)))</f>
        <v>49000</v>
      </c>
      <c r="H528">
        <f t="shared" ca="1" si="76"/>
        <v>5</v>
      </c>
      <c r="I528">
        <f t="shared" ca="1" si="77"/>
        <v>49000</v>
      </c>
      <c r="J528" s="10" t="str">
        <f t="shared" ca="1" si="78"/>
        <v>Offline</v>
      </c>
      <c r="K528" s="10">
        <f t="shared" ca="1" si="79"/>
        <v>49000</v>
      </c>
      <c r="L528" s="10">
        <f t="shared" ca="1" si="80"/>
        <v>245000</v>
      </c>
      <c r="M528" s="12" t="str" cm="1">
        <f t="array" aca="1" ref="M528" ca="1">INDEX($R$33:$R$82, RANDBETWEEN(1, COUNTA($R$33:$R$82)))</f>
        <v>NV23</v>
      </c>
      <c r="N528">
        <f t="shared" ca="1" si="81"/>
        <v>15</v>
      </c>
    </row>
    <row r="529" spans="1:14" ht="16.8" x14ac:dyDescent="0.3">
      <c r="A529" s="7" t="str">
        <f t="shared" si="73"/>
        <v>S0528</v>
      </c>
      <c r="B529" s="8">
        <f t="shared" ca="1" si="74"/>
        <v>45258</v>
      </c>
      <c r="C529" s="15" t="str" cm="1">
        <f t="array" aca="1" ref="C529" ca="1">INDEX($Q$2:$Q$31, RANDBETWEEN(1, COUNTA($Q$2:$Q$31)))</f>
        <v xml:space="preserve">Green Tea Freeze </v>
      </c>
      <c r="D529" s="10" t="str" cm="1">
        <f t="array" aca="1" ref="D529" ca="1">INDEX($R$2:$R$310, RANDBETWEEN(1, COUNTA($Q$2:$Q$310)))</f>
        <v>L</v>
      </c>
      <c r="E529">
        <f t="shared" ca="1" si="75"/>
        <v>2</v>
      </c>
      <c r="F529" cm="1">
        <f t="array" aca="1" ref="F529" ca="1">INDEX($S$2:$S$31, RANDBETWEEN(1, COUNTA($S$2:$S$31)))</f>
        <v>59000</v>
      </c>
      <c r="G529" cm="1">
        <f t="array" aca="1" ref="G529" ca="1">INDEX($S$2:$S$31, RANDBETWEEN(1, COUNTA($S$2:$S$31)))</f>
        <v>69000</v>
      </c>
      <c r="H529">
        <f t="shared" ca="1" si="76"/>
        <v>7</v>
      </c>
      <c r="I529">
        <f t="shared" ca="1" si="77"/>
        <v>54869.999999999993</v>
      </c>
      <c r="J529" s="10" t="str">
        <f t="shared" ca="1" si="78"/>
        <v>Online</v>
      </c>
      <c r="K529" s="10">
        <f t="shared" ca="1" si="79"/>
        <v>54869.999999999993</v>
      </c>
      <c r="L529" s="10">
        <f t="shared" ca="1" si="80"/>
        <v>109739.99999999999</v>
      </c>
      <c r="M529" s="12" t="str" cm="1">
        <f t="array" aca="1" ref="M529" ca="1">INDEX($R$33:$R$82, RANDBETWEEN(1, COUNTA($R$33:$R$82)))</f>
        <v>NV6</v>
      </c>
      <c r="N529">
        <f t="shared" ca="1" si="81"/>
        <v>10</v>
      </c>
    </row>
    <row r="530" spans="1:14" ht="16.8" x14ac:dyDescent="0.3">
      <c r="A530" s="7" t="str">
        <f t="shared" si="73"/>
        <v>S0529</v>
      </c>
      <c r="B530" s="8">
        <f t="shared" ca="1" si="74"/>
        <v>44749</v>
      </c>
      <c r="C530" s="15" t="str" cm="1">
        <f t="array" aca="1" ref="C530" ca="1">INDEX($Q$2:$Q$31, RANDBETWEEN(1, COUNTA($Q$2:$Q$31)))</f>
        <v xml:space="preserve">Chocolate Freeze </v>
      </c>
      <c r="D530" s="10" t="str" cm="1">
        <f t="array" aca="1" ref="D530" ca="1">INDEX($R$2:$R$310, RANDBETWEEN(1, COUNTA($Q$2:$Q$310)))</f>
        <v>L</v>
      </c>
      <c r="E530">
        <f t="shared" ca="1" si="75"/>
        <v>4</v>
      </c>
      <c r="F530" cm="1">
        <f t="array" aca="1" ref="F530" ca="1">INDEX($S$2:$S$31, RANDBETWEEN(1, COUNTA($S$2:$S$31)))</f>
        <v>59000</v>
      </c>
      <c r="G530" cm="1">
        <f t="array" aca="1" ref="G530" ca="1">INDEX($S$2:$S$31, RANDBETWEEN(1, COUNTA($S$2:$S$31)))</f>
        <v>65000</v>
      </c>
      <c r="H530">
        <f t="shared" ca="1" si="76"/>
        <v>10</v>
      </c>
      <c r="I530">
        <f t="shared" ca="1" si="77"/>
        <v>53100</v>
      </c>
      <c r="J530" s="10" t="str">
        <f t="shared" ca="1" si="78"/>
        <v>Online</v>
      </c>
      <c r="K530" s="10">
        <f t="shared" ca="1" si="79"/>
        <v>53100</v>
      </c>
      <c r="L530" s="10">
        <f t="shared" ca="1" si="80"/>
        <v>212400</v>
      </c>
      <c r="M530" s="12" t="str" cm="1">
        <f t="array" aca="1" ref="M530" ca="1">INDEX($R$33:$R$82, RANDBETWEEN(1, COUNTA($R$33:$R$82)))</f>
        <v>NV44</v>
      </c>
      <c r="N530">
        <f t="shared" ca="1" si="81"/>
        <v>3</v>
      </c>
    </row>
    <row r="531" spans="1:14" ht="16.8" x14ac:dyDescent="0.3">
      <c r="A531" s="7" t="str">
        <f t="shared" si="73"/>
        <v>S0530</v>
      </c>
      <c r="B531" s="8">
        <f t="shared" ca="1" si="74"/>
        <v>45164</v>
      </c>
      <c r="C531" s="15" t="str" cm="1">
        <f t="array" aca="1" ref="C531" ca="1">INDEX($Q$2:$Q$31, RANDBETWEEN(1, COUNTA($Q$2:$Q$31)))</f>
        <v>Cookies &amp; Cream</v>
      </c>
      <c r="D531" s="10" t="str" cm="1">
        <f t="array" aca="1" ref="D531" ca="1">INDEX($R$2:$R$310, RANDBETWEEN(1, COUNTA($Q$2:$Q$310)))</f>
        <v>M</v>
      </c>
      <c r="E531">
        <f t="shared" ca="1" si="75"/>
        <v>5</v>
      </c>
      <c r="F531" cm="1">
        <f t="array" aca="1" ref="F531" ca="1">INDEX($S$2:$S$31, RANDBETWEEN(1, COUNTA($S$2:$S$31)))</f>
        <v>29000</v>
      </c>
      <c r="G531" cm="1">
        <f t="array" aca="1" ref="G531" ca="1">INDEX($S$2:$S$31, RANDBETWEEN(1, COUNTA($S$2:$S$31)))</f>
        <v>65000</v>
      </c>
      <c r="H531">
        <f t="shared" ca="1" si="76"/>
        <v>11</v>
      </c>
      <c r="I531">
        <f t="shared" ca="1" si="77"/>
        <v>25810</v>
      </c>
      <c r="J531" s="10" t="str">
        <f t="shared" ca="1" si="78"/>
        <v>Online</v>
      </c>
      <c r="K531" s="10">
        <f t="shared" ca="1" si="79"/>
        <v>25810</v>
      </c>
      <c r="L531" s="10">
        <f t="shared" ca="1" si="80"/>
        <v>129050</v>
      </c>
      <c r="M531" s="12" t="str" cm="1">
        <f t="array" aca="1" ref="M531" ca="1">INDEX($R$33:$R$82, RANDBETWEEN(1, COUNTA($R$33:$R$82)))</f>
        <v>NV29</v>
      </c>
      <c r="N531">
        <f t="shared" ca="1" si="81"/>
        <v>30</v>
      </c>
    </row>
    <row r="532" spans="1:14" ht="16.8" x14ac:dyDescent="0.3">
      <c r="A532" s="7" t="str">
        <f t="shared" si="73"/>
        <v>S0531</v>
      </c>
      <c r="B532" s="8">
        <f t="shared" ca="1" si="74"/>
        <v>44355</v>
      </c>
      <c r="C532" s="15" t="str" cm="1">
        <f t="array" aca="1" ref="C532" ca="1">INDEX($Q$2:$Q$31, RANDBETWEEN(1, COUNTA($Q$2:$Q$31)))</f>
        <v>Iced Black Coffee</v>
      </c>
      <c r="D532" s="10" t="str" cm="1">
        <f t="array" aca="1" ref="D532" ca="1">INDEX($R$2:$R$310, RANDBETWEEN(1, COUNTA($Q$2:$Q$310)))</f>
        <v>L</v>
      </c>
      <c r="E532">
        <f t="shared" ca="1" si="75"/>
        <v>4</v>
      </c>
      <c r="F532" cm="1">
        <f t="array" aca="1" ref="F532" ca="1">INDEX($S$2:$S$31, RANDBETWEEN(1, COUNTA($S$2:$S$31)))</f>
        <v>55000</v>
      </c>
      <c r="G532" cm="1">
        <f t="array" aca="1" ref="G532" ca="1">INDEX($S$2:$S$31, RANDBETWEEN(1, COUNTA($S$2:$S$31)))</f>
        <v>69000</v>
      </c>
      <c r="H532">
        <f t="shared" ca="1" si="76"/>
        <v>8</v>
      </c>
      <c r="I532">
        <f t="shared" ca="1" si="77"/>
        <v>69000</v>
      </c>
      <c r="J532" s="10" t="str">
        <f t="shared" ca="1" si="78"/>
        <v>Offline</v>
      </c>
      <c r="K532" s="10">
        <f t="shared" ca="1" si="79"/>
        <v>69000</v>
      </c>
      <c r="L532" s="10">
        <f t="shared" ca="1" si="80"/>
        <v>276000</v>
      </c>
      <c r="M532" s="12" t="str" cm="1">
        <f t="array" aca="1" ref="M532" ca="1">INDEX($R$33:$R$82, RANDBETWEEN(1, COUNTA($R$33:$R$82)))</f>
        <v>NV4</v>
      </c>
      <c r="N532">
        <f t="shared" ca="1" si="81"/>
        <v>20</v>
      </c>
    </row>
    <row r="533" spans="1:14" ht="16.8" x14ac:dyDescent="0.3">
      <c r="A533" s="7" t="str">
        <f t="shared" si="73"/>
        <v>S0532</v>
      </c>
      <c r="B533" s="8">
        <f t="shared" ca="1" si="74"/>
        <v>44611</v>
      </c>
      <c r="C533" s="15" t="str" cm="1">
        <f t="array" aca="1" ref="C533" ca="1">INDEX($Q$2:$Q$31, RANDBETWEEN(1, COUNTA($Q$2:$Q$31)))</f>
        <v>Cappuccino</v>
      </c>
      <c r="D533" s="10" t="str" cm="1">
        <f t="array" aca="1" ref="D533" ca="1">INDEX($R$2:$R$310, RANDBETWEEN(1, COUNTA($Q$2:$Q$310)))</f>
        <v>S</v>
      </c>
      <c r="E533">
        <f t="shared" ca="1" si="75"/>
        <v>4</v>
      </c>
      <c r="F533" cm="1">
        <f t="array" aca="1" ref="F533" ca="1">INDEX($S$2:$S$31, RANDBETWEEN(1, COUNTA($S$2:$S$31)))</f>
        <v>75000</v>
      </c>
      <c r="G533" cm="1">
        <f t="array" aca="1" ref="G533" ca="1">INDEX($S$2:$S$31, RANDBETWEEN(1, COUNTA($S$2:$S$31)))</f>
        <v>49000</v>
      </c>
      <c r="H533">
        <f t="shared" ca="1" si="76"/>
        <v>7</v>
      </c>
      <c r="I533">
        <f t="shared" ca="1" si="77"/>
        <v>49000</v>
      </c>
      <c r="J533" s="10" t="str">
        <f t="shared" ca="1" si="78"/>
        <v>Offline</v>
      </c>
      <c r="K533" s="10">
        <f t="shared" ca="1" si="79"/>
        <v>49000</v>
      </c>
      <c r="L533" s="10">
        <f t="shared" ca="1" si="80"/>
        <v>196000</v>
      </c>
      <c r="M533" s="12" t="str" cm="1">
        <f t="array" aca="1" ref="M533" ca="1">INDEX($R$33:$R$82, RANDBETWEEN(1, COUNTA($R$33:$R$82)))</f>
        <v>NV39</v>
      </c>
      <c r="N533">
        <f t="shared" ca="1" si="81"/>
        <v>38</v>
      </c>
    </row>
    <row r="534" spans="1:14" ht="16.8" x14ac:dyDescent="0.3">
      <c r="A534" s="7" t="str">
        <f t="shared" si="73"/>
        <v>S0533</v>
      </c>
      <c r="B534" s="8">
        <f t="shared" ca="1" si="74"/>
        <v>44471</v>
      </c>
      <c r="C534" s="15" t="str" cm="1">
        <f t="array" aca="1" ref="C534" ca="1">INDEX($Q$2:$Q$31, RANDBETWEEN(1, COUNTA($Q$2:$Q$31)))</f>
        <v xml:space="preserve">Green Tea Freeze </v>
      </c>
      <c r="D534" s="10" t="str" cm="1">
        <f t="array" aca="1" ref="D534" ca="1">INDEX($R$2:$R$310, RANDBETWEEN(1, COUNTA($Q$2:$Q$310)))</f>
        <v>L</v>
      </c>
      <c r="E534">
        <f t="shared" ca="1" si="75"/>
        <v>3</v>
      </c>
      <c r="F534" cm="1">
        <f t="array" aca="1" ref="F534" ca="1">INDEX($S$2:$S$31, RANDBETWEEN(1, COUNTA($S$2:$S$31)))</f>
        <v>35000</v>
      </c>
      <c r="G534" cm="1">
        <f t="array" aca="1" ref="G534" ca="1">INDEX($S$2:$S$31, RANDBETWEEN(1, COUNTA($S$2:$S$31)))</f>
        <v>59000</v>
      </c>
      <c r="H534">
        <f t="shared" ca="1" si="76"/>
        <v>14</v>
      </c>
      <c r="I534">
        <f t="shared" ca="1" si="77"/>
        <v>59000</v>
      </c>
      <c r="J534" s="10" t="str">
        <f t="shared" ca="1" si="78"/>
        <v>Offline</v>
      </c>
      <c r="K534" s="10">
        <f t="shared" ca="1" si="79"/>
        <v>59000</v>
      </c>
      <c r="L534" s="10">
        <f t="shared" ca="1" si="80"/>
        <v>177000</v>
      </c>
      <c r="M534" s="12" t="str" cm="1">
        <f t="array" aca="1" ref="M534" ca="1">INDEX($R$33:$R$82, RANDBETWEEN(1, COUNTA($R$33:$R$82)))</f>
        <v>NV27</v>
      </c>
      <c r="N534">
        <f t="shared" ca="1" si="81"/>
        <v>2</v>
      </c>
    </row>
    <row r="535" spans="1:14" ht="16.8" x14ac:dyDescent="0.3">
      <c r="A535" s="7" t="str">
        <f t="shared" si="73"/>
        <v>S0534</v>
      </c>
      <c r="B535" s="8">
        <f t="shared" ca="1" si="74"/>
        <v>45032</v>
      </c>
      <c r="C535" s="15" t="str" cm="1">
        <f t="array" aca="1" ref="C535" ca="1">INDEX($Q$2:$Q$31, RANDBETWEEN(1, COUNTA($Q$2:$Q$31)))</f>
        <v xml:space="preserve">Green Tea Freeze </v>
      </c>
      <c r="D535" s="10" t="str" cm="1">
        <f t="array" aca="1" ref="D535" ca="1">INDEX($R$2:$R$310, RANDBETWEEN(1, COUNTA($Q$2:$Q$310)))</f>
        <v>S</v>
      </c>
      <c r="E535">
        <f t="shared" ca="1" si="75"/>
        <v>2</v>
      </c>
      <c r="F535" cm="1">
        <f t="array" aca="1" ref="F535" ca="1">INDEX($S$2:$S$31, RANDBETWEEN(1, COUNTA($S$2:$S$31)))</f>
        <v>49000</v>
      </c>
      <c r="G535" cm="1">
        <f t="array" aca="1" ref="G535" ca="1">INDEX($S$2:$S$31, RANDBETWEEN(1, COUNTA($S$2:$S$31)))</f>
        <v>35000</v>
      </c>
      <c r="H535">
        <f t="shared" ca="1" si="76"/>
        <v>6</v>
      </c>
      <c r="I535">
        <f t="shared" ca="1" si="77"/>
        <v>35000</v>
      </c>
      <c r="J535" s="10" t="str">
        <f t="shared" ca="1" si="78"/>
        <v>Offline</v>
      </c>
      <c r="K535" s="10">
        <f t="shared" ca="1" si="79"/>
        <v>35000</v>
      </c>
      <c r="L535" s="10">
        <f t="shared" ca="1" si="80"/>
        <v>70000</v>
      </c>
      <c r="M535" s="12" t="str" cm="1">
        <f t="array" aca="1" ref="M535" ca="1">INDEX($R$33:$R$82, RANDBETWEEN(1, COUNTA($R$33:$R$82)))</f>
        <v>NV48</v>
      </c>
      <c r="N535">
        <f t="shared" ca="1" si="81"/>
        <v>4</v>
      </c>
    </row>
    <row r="536" spans="1:14" ht="16.8" x14ac:dyDescent="0.3">
      <c r="A536" s="7" t="str">
        <f t="shared" si="73"/>
        <v>S0535</v>
      </c>
      <c r="B536" s="8">
        <f t="shared" ca="1" si="74"/>
        <v>44373</v>
      </c>
      <c r="C536" s="15" t="str" cm="1">
        <f t="array" aca="1" ref="C536" ca="1">INDEX($Q$2:$Q$31, RANDBETWEEN(1, COUNTA($Q$2:$Q$31)))</f>
        <v>Iced Black Coffee</v>
      </c>
      <c r="D536" s="10" t="str" cm="1">
        <f t="array" aca="1" ref="D536" ca="1">INDEX($R$2:$R$310, RANDBETWEEN(1, COUNTA($Q$2:$Q$310)))</f>
        <v>S</v>
      </c>
      <c r="E536">
        <f t="shared" ca="1" si="75"/>
        <v>3</v>
      </c>
      <c r="F536" cm="1">
        <f t="array" aca="1" ref="F536" ca="1">INDEX($S$2:$S$31, RANDBETWEEN(1, COUNTA($S$2:$S$31)))</f>
        <v>49000</v>
      </c>
      <c r="G536" cm="1">
        <f t="array" aca="1" ref="G536" ca="1">INDEX($S$2:$S$31, RANDBETWEEN(1, COUNTA($S$2:$S$31)))</f>
        <v>29000</v>
      </c>
      <c r="H536">
        <f t="shared" ca="1" si="76"/>
        <v>7</v>
      </c>
      <c r="I536">
        <f t="shared" ca="1" si="77"/>
        <v>29000</v>
      </c>
      <c r="J536" s="10" t="str">
        <f t="shared" ca="1" si="78"/>
        <v>Offline</v>
      </c>
      <c r="K536" s="10">
        <f t="shared" ca="1" si="79"/>
        <v>29000</v>
      </c>
      <c r="L536" s="10">
        <f t="shared" ca="1" si="80"/>
        <v>87000</v>
      </c>
      <c r="M536" s="12" t="str" cm="1">
        <f t="array" aca="1" ref="M536" ca="1">INDEX($R$33:$R$82, RANDBETWEEN(1, COUNTA($R$33:$R$82)))</f>
        <v>NV45</v>
      </c>
      <c r="N536">
        <f t="shared" ca="1" si="81"/>
        <v>36</v>
      </c>
    </row>
    <row r="537" spans="1:14" ht="16.8" x14ac:dyDescent="0.3">
      <c r="A537" s="7" t="str">
        <f t="shared" si="73"/>
        <v>S0536</v>
      </c>
      <c r="B537" s="8">
        <f t="shared" ca="1" si="74"/>
        <v>44267</v>
      </c>
      <c r="C537" s="15" t="str" cm="1">
        <f t="array" aca="1" ref="C537" ca="1">INDEX($Q$2:$Q$31, RANDBETWEEN(1, COUNTA($Q$2:$Q$31)))</f>
        <v>Cappuccino</v>
      </c>
      <c r="D537" s="10" t="str" cm="1">
        <f t="array" aca="1" ref="D537" ca="1">INDEX($R$2:$R$310, RANDBETWEEN(1, COUNTA($Q$2:$Q$310)))</f>
        <v>L</v>
      </c>
      <c r="E537">
        <f t="shared" ca="1" si="75"/>
        <v>2</v>
      </c>
      <c r="F537" cm="1">
        <f t="array" aca="1" ref="F537" ca="1">INDEX($S$2:$S$31, RANDBETWEEN(1, COUNTA($S$2:$S$31)))</f>
        <v>39000</v>
      </c>
      <c r="G537" cm="1">
        <f t="array" aca="1" ref="G537" ca="1">INDEX($S$2:$S$31, RANDBETWEEN(1, COUNTA($S$2:$S$31)))</f>
        <v>59000</v>
      </c>
      <c r="H537">
        <f t="shared" ca="1" si="76"/>
        <v>7</v>
      </c>
      <c r="I537">
        <f t="shared" ca="1" si="77"/>
        <v>59000</v>
      </c>
      <c r="J537" s="10" t="str">
        <f t="shared" ca="1" si="78"/>
        <v>Offline</v>
      </c>
      <c r="K537" s="10">
        <f t="shared" ca="1" si="79"/>
        <v>59000</v>
      </c>
      <c r="L537" s="10">
        <f t="shared" ca="1" si="80"/>
        <v>118000</v>
      </c>
      <c r="M537" s="12" t="str" cm="1">
        <f t="array" aca="1" ref="M537" ca="1">INDEX($R$33:$R$82, RANDBETWEEN(1, COUNTA($R$33:$R$82)))</f>
        <v>NV16</v>
      </c>
      <c r="N537">
        <f t="shared" ca="1" si="81"/>
        <v>4</v>
      </c>
    </row>
    <row r="538" spans="1:14" ht="16.8" x14ac:dyDescent="0.3">
      <c r="A538" s="7" t="str">
        <f t="shared" si="73"/>
        <v>S0537</v>
      </c>
      <c r="B538" s="8">
        <f t="shared" ca="1" si="74"/>
        <v>45290</v>
      </c>
      <c r="C538" s="15" t="str" cm="1">
        <f t="array" aca="1" ref="C538" ca="1">INDEX($Q$2:$Q$31, RANDBETWEEN(1, COUNTA($Q$2:$Q$31)))</f>
        <v>Classic Phin Freeze</v>
      </c>
      <c r="D538" s="10" t="str" cm="1">
        <f t="array" aca="1" ref="D538" ca="1">INDEX($R$2:$R$310, RANDBETWEEN(1, COUNTA($Q$2:$Q$310)))</f>
        <v>M</v>
      </c>
      <c r="E538">
        <f t="shared" ca="1" si="75"/>
        <v>1</v>
      </c>
      <c r="F538" cm="1">
        <f t="array" aca="1" ref="F538" ca="1">INDEX($S$2:$S$31, RANDBETWEEN(1, COUNTA($S$2:$S$31)))</f>
        <v>49000</v>
      </c>
      <c r="G538" cm="1">
        <f t="array" aca="1" ref="G538" ca="1">INDEX($S$2:$S$31, RANDBETWEEN(1, COUNTA($S$2:$S$31)))</f>
        <v>65000</v>
      </c>
      <c r="H538">
        <f t="shared" ca="1" si="76"/>
        <v>12</v>
      </c>
      <c r="I538">
        <f t="shared" ca="1" si="77"/>
        <v>65000</v>
      </c>
      <c r="J538" s="10" t="str">
        <f t="shared" ca="1" si="78"/>
        <v>Offline</v>
      </c>
      <c r="K538" s="10">
        <f t="shared" ca="1" si="79"/>
        <v>65000</v>
      </c>
      <c r="L538" s="10">
        <f t="shared" ca="1" si="80"/>
        <v>65000</v>
      </c>
      <c r="M538" s="12" t="str" cm="1">
        <f t="array" aca="1" ref="M538" ca="1">INDEX($R$33:$R$82, RANDBETWEEN(1, COUNTA($R$33:$R$82)))</f>
        <v>NV37</v>
      </c>
      <c r="N538">
        <f t="shared" ca="1" si="81"/>
        <v>35</v>
      </c>
    </row>
    <row r="539" spans="1:14" ht="16.8" x14ac:dyDescent="0.3">
      <c r="A539" s="7" t="str">
        <f t="shared" si="73"/>
        <v>S0538</v>
      </c>
      <c r="B539" s="8">
        <f t="shared" ca="1" si="74"/>
        <v>44811</v>
      </c>
      <c r="C539" s="15" t="str" cm="1">
        <f t="array" aca="1" ref="C539" ca="1">INDEX($Q$2:$Q$31, RANDBETWEEN(1, COUNTA($Q$2:$Q$31)))</f>
        <v>Latte</v>
      </c>
      <c r="D539" s="10" t="str" cm="1">
        <f t="array" aca="1" ref="D539" ca="1">INDEX($R$2:$R$310, RANDBETWEEN(1, COUNTA($Q$2:$Q$310)))</f>
        <v>L</v>
      </c>
      <c r="E539">
        <f t="shared" ca="1" si="75"/>
        <v>3</v>
      </c>
      <c r="F539" cm="1">
        <f t="array" aca="1" ref="F539" ca="1">INDEX($S$2:$S$31, RANDBETWEEN(1, COUNTA($S$2:$S$31)))</f>
        <v>65000</v>
      </c>
      <c r="G539" cm="1">
        <f t="array" aca="1" ref="G539" ca="1">INDEX($S$2:$S$31, RANDBETWEEN(1, COUNTA($S$2:$S$31)))</f>
        <v>49000</v>
      </c>
      <c r="H539">
        <f t="shared" ca="1" si="76"/>
        <v>7</v>
      </c>
      <c r="I539">
        <f t="shared" ca="1" si="77"/>
        <v>49000</v>
      </c>
      <c r="J539" s="10" t="str">
        <f t="shared" ca="1" si="78"/>
        <v>Offline</v>
      </c>
      <c r="K539" s="10">
        <f t="shared" ca="1" si="79"/>
        <v>49000</v>
      </c>
      <c r="L539" s="10">
        <f t="shared" ca="1" si="80"/>
        <v>147000</v>
      </c>
      <c r="M539" s="12" t="str" cm="1">
        <f t="array" aca="1" ref="M539" ca="1">INDEX($R$33:$R$82, RANDBETWEEN(1, COUNTA($R$33:$R$82)))</f>
        <v>NV4</v>
      </c>
      <c r="N539">
        <f t="shared" ca="1" si="81"/>
        <v>14</v>
      </c>
    </row>
    <row r="540" spans="1:14" ht="16.8" x14ac:dyDescent="0.3">
      <c r="A540" s="7" t="str">
        <f t="shared" si="73"/>
        <v>S0539</v>
      </c>
      <c r="B540" s="8">
        <f t="shared" ca="1" si="74"/>
        <v>45003</v>
      </c>
      <c r="C540" s="15" t="str" cm="1">
        <f t="array" aca="1" ref="C540" ca="1">INDEX($Q$2:$Q$31, RANDBETWEEN(1, COUNTA($Q$2:$Q$31)))</f>
        <v xml:space="preserve">Green Tea Freeze </v>
      </c>
      <c r="D540" s="10" t="str" cm="1">
        <f t="array" aca="1" ref="D540" ca="1">INDEX($R$2:$R$310, RANDBETWEEN(1, COUNTA($Q$2:$Q$310)))</f>
        <v>S</v>
      </c>
      <c r="E540">
        <f t="shared" ca="1" si="75"/>
        <v>3</v>
      </c>
      <c r="F540" cm="1">
        <f t="array" aca="1" ref="F540" ca="1">INDEX($S$2:$S$31, RANDBETWEEN(1, COUNTA($S$2:$S$31)))</f>
        <v>65000</v>
      </c>
      <c r="G540" cm="1">
        <f t="array" aca="1" ref="G540" ca="1">INDEX($S$2:$S$31, RANDBETWEEN(1, COUNTA($S$2:$S$31)))</f>
        <v>65000</v>
      </c>
      <c r="H540">
        <f t="shared" ca="1" si="76"/>
        <v>11</v>
      </c>
      <c r="I540">
        <f t="shared" ca="1" si="77"/>
        <v>57850</v>
      </c>
      <c r="J540" s="10" t="str">
        <f t="shared" ca="1" si="78"/>
        <v>Online</v>
      </c>
      <c r="K540" s="10">
        <f t="shared" ca="1" si="79"/>
        <v>57850</v>
      </c>
      <c r="L540" s="10">
        <f t="shared" ca="1" si="80"/>
        <v>173550</v>
      </c>
      <c r="M540" s="12" t="str" cm="1">
        <f t="array" aca="1" ref="M540" ca="1">INDEX($R$33:$R$82, RANDBETWEEN(1, COUNTA($R$33:$R$82)))</f>
        <v>NV15</v>
      </c>
      <c r="N540">
        <f t="shared" ca="1" si="81"/>
        <v>36</v>
      </c>
    </row>
    <row r="541" spans="1:14" ht="16.8" x14ac:dyDescent="0.3">
      <c r="A541" s="7" t="str">
        <f t="shared" si="73"/>
        <v>S0540</v>
      </c>
      <c r="B541" s="8">
        <f t="shared" ca="1" si="74"/>
        <v>44991</v>
      </c>
      <c r="C541" s="15" t="str" cm="1">
        <f t="array" aca="1" ref="C541" ca="1">INDEX($Q$2:$Q$31, RANDBETWEEN(1, COUNTA($Q$2:$Q$31)))</f>
        <v>Cappuccino</v>
      </c>
      <c r="D541" s="10" t="str" cm="1">
        <f t="array" aca="1" ref="D541" ca="1">INDEX($R$2:$R$310, RANDBETWEEN(1, COUNTA($Q$2:$Q$310)))</f>
        <v>M</v>
      </c>
      <c r="E541">
        <f t="shared" ca="1" si="75"/>
        <v>1</v>
      </c>
      <c r="F541" cm="1">
        <f t="array" aca="1" ref="F541" ca="1">INDEX($S$2:$S$31, RANDBETWEEN(1, COUNTA($S$2:$S$31)))</f>
        <v>49000</v>
      </c>
      <c r="G541" cm="1">
        <f t="array" aca="1" ref="G541" ca="1">INDEX($S$2:$S$31, RANDBETWEEN(1, COUNTA($S$2:$S$31)))</f>
        <v>35000</v>
      </c>
      <c r="H541">
        <f t="shared" ca="1" si="76"/>
        <v>8</v>
      </c>
      <c r="I541">
        <f t="shared" ca="1" si="77"/>
        <v>35000</v>
      </c>
      <c r="J541" s="10" t="str">
        <f t="shared" ca="1" si="78"/>
        <v>Offline</v>
      </c>
      <c r="K541" s="10">
        <f t="shared" ca="1" si="79"/>
        <v>35000</v>
      </c>
      <c r="L541" s="10">
        <f t="shared" ca="1" si="80"/>
        <v>35000</v>
      </c>
      <c r="M541" s="12" t="str" cm="1">
        <f t="array" aca="1" ref="M541" ca="1">INDEX($R$33:$R$82, RANDBETWEEN(1, COUNTA($R$33:$R$82)))</f>
        <v>NV2</v>
      </c>
      <c r="N541">
        <f t="shared" ca="1" si="81"/>
        <v>7</v>
      </c>
    </row>
    <row r="542" spans="1:14" ht="16.8" x14ac:dyDescent="0.3">
      <c r="A542" s="7" t="str">
        <f t="shared" si="73"/>
        <v>S0541</v>
      </c>
      <c r="B542" s="8">
        <f t="shared" ca="1" si="74"/>
        <v>44814</v>
      </c>
      <c r="C542" s="15" t="str" cm="1">
        <f t="array" aca="1" ref="C542" ca="1">INDEX($Q$2:$Q$31, RANDBETWEEN(1, COUNTA($Q$2:$Q$31)))</f>
        <v>Cookies &amp; Cream</v>
      </c>
      <c r="D542" s="10" t="str" cm="1">
        <f t="array" aca="1" ref="D542" ca="1">INDEX($R$2:$R$310, RANDBETWEEN(1, COUNTA($Q$2:$Q$310)))</f>
        <v>L</v>
      </c>
      <c r="E542">
        <f t="shared" ca="1" si="75"/>
        <v>3</v>
      </c>
      <c r="F542" cm="1">
        <f t="array" aca="1" ref="F542" ca="1">INDEX($S$2:$S$31, RANDBETWEEN(1, COUNTA($S$2:$S$31)))</f>
        <v>65000</v>
      </c>
      <c r="G542" cm="1">
        <f t="array" aca="1" ref="G542" ca="1">INDEX($S$2:$S$31, RANDBETWEEN(1, COUNTA($S$2:$S$31)))</f>
        <v>55000</v>
      </c>
      <c r="H542">
        <f t="shared" ca="1" si="76"/>
        <v>14</v>
      </c>
      <c r="I542">
        <f t="shared" ca="1" si="77"/>
        <v>55900</v>
      </c>
      <c r="J542" s="10" t="str">
        <f t="shared" ca="1" si="78"/>
        <v>Online</v>
      </c>
      <c r="K542" s="10">
        <f t="shared" ca="1" si="79"/>
        <v>55900</v>
      </c>
      <c r="L542" s="10">
        <f t="shared" ca="1" si="80"/>
        <v>167700</v>
      </c>
      <c r="M542" s="12" t="str" cm="1">
        <f t="array" aca="1" ref="M542" ca="1">INDEX($R$33:$R$82, RANDBETWEEN(1, COUNTA($R$33:$R$82)))</f>
        <v>NV33</v>
      </c>
      <c r="N542">
        <f t="shared" ca="1" si="81"/>
        <v>41</v>
      </c>
    </row>
    <row r="543" spans="1:14" ht="16.8" x14ac:dyDescent="0.3">
      <c r="A543" s="7" t="str">
        <f t="shared" si="73"/>
        <v>S0542</v>
      </c>
      <c r="B543" s="8">
        <f t="shared" ca="1" si="74"/>
        <v>44645</v>
      </c>
      <c r="C543" s="15" t="str" cm="1">
        <f t="array" aca="1" ref="C543" ca="1">INDEX($Q$2:$Q$31, RANDBETWEEN(1, COUNTA($Q$2:$Q$31)))</f>
        <v xml:space="preserve">Chocolate Freeze </v>
      </c>
      <c r="D543" s="10" t="str" cm="1">
        <f t="array" aca="1" ref="D543" ca="1">INDEX($R$2:$R$310, RANDBETWEEN(1, COUNTA($Q$2:$Q$310)))</f>
        <v>M</v>
      </c>
      <c r="E543">
        <f t="shared" ca="1" si="75"/>
        <v>5</v>
      </c>
      <c r="F543" cm="1">
        <f t="array" aca="1" ref="F543" ca="1">INDEX($S$2:$S$31, RANDBETWEEN(1, COUNTA($S$2:$S$31)))</f>
        <v>59000</v>
      </c>
      <c r="G543" cm="1">
        <f t="array" aca="1" ref="G543" ca="1">INDEX($S$2:$S$31, RANDBETWEEN(1, COUNTA($S$2:$S$31)))</f>
        <v>69000</v>
      </c>
      <c r="H543">
        <f t="shared" ca="1" si="76"/>
        <v>15</v>
      </c>
      <c r="I543">
        <f t="shared" ca="1" si="77"/>
        <v>69000</v>
      </c>
      <c r="J543" s="10" t="str">
        <f t="shared" ca="1" si="78"/>
        <v>Offline</v>
      </c>
      <c r="K543" s="10">
        <f t="shared" ca="1" si="79"/>
        <v>69000</v>
      </c>
      <c r="L543" s="10">
        <f t="shared" ca="1" si="80"/>
        <v>345000</v>
      </c>
      <c r="M543" s="12" t="str" cm="1">
        <f t="array" aca="1" ref="M543" ca="1">INDEX($R$33:$R$82, RANDBETWEEN(1, COUNTA($R$33:$R$82)))</f>
        <v>NV20</v>
      </c>
      <c r="N543">
        <f t="shared" ca="1" si="81"/>
        <v>22</v>
      </c>
    </row>
    <row r="544" spans="1:14" ht="16.8" x14ac:dyDescent="0.3">
      <c r="A544" s="7" t="str">
        <f t="shared" si="73"/>
        <v>S0543</v>
      </c>
      <c r="B544" s="8">
        <f t="shared" ca="1" si="74"/>
        <v>44721</v>
      </c>
      <c r="C544" s="15" t="str" cm="1">
        <f t="array" aca="1" ref="C544" ca="1">INDEX($Q$2:$Q$31, RANDBETWEEN(1, COUNTA($Q$2:$Q$31)))</f>
        <v>Americano</v>
      </c>
      <c r="D544" s="10" t="str" cm="1">
        <f t="array" aca="1" ref="D544" ca="1">INDEX($R$2:$R$310, RANDBETWEEN(1, COUNTA($Q$2:$Q$310)))</f>
        <v>M</v>
      </c>
      <c r="E544">
        <f t="shared" ca="1" si="75"/>
        <v>2</v>
      </c>
      <c r="F544" cm="1">
        <f t="array" aca="1" ref="F544" ca="1">INDEX($S$2:$S$31, RANDBETWEEN(1, COUNTA($S$2:$S$31)))</f>
        <v>49000</v>
      </c>
      <c r="G544" cm="1">
        <f t="array" aca="1" ref="G544" ca="1">INDEX($S$2:$S$31, RANDBETWEEN(1, COUNTA($S$2:$S$31)))</f>
        <v>49000</v>
      </c>
      <c r="H544">
        <f t="shared" ca="1" si="76"/>
        <v>5</v>
      </c>
      <c r="I544">
        <f t="shared" ca="1" si="77"/>
        <v>49000</v>
      </c>
      <c r="J544" s="10" t="str">
        <f t="shared" ca="1" si="78"/>
        <v>Offline</v>
      </c>
      <c r="K544" s="10">
        <f t="shared" ca="1" si="79"/>
        <v>49000</v>
      </c>
      <c r="L544" s="10">
        <f t="shared" ca="1" si="80"/>
        <v>98000</v>
      </c>
      <c r="M544" s="12" t="str" cm="1">
        <f t="array" aca="1" ref="M544" ca="1">INDEX($R$33:$R$82, RANDBETWEEN(1, COUNTA($R$33:$R$82)))</f>
        <v>NV50</v>
      </c>
      <c r="N544">
        <f t="shared" ca="1" si="81"/>
        <v>25</v>
      </c>
    </row>
    <row r="545" spans="1:14" ht="16.8" x14ac:dyDescent="0.3">
      <c r="A545" s="7" t="str">
        <f t="shared" si="73"/>
        <v>S0544</v>
      </c>
      <c r="B545" s="8">
        <f t="shared" ca="1" si="74"/>
        <v>44947</v>
      </c>
      <c r="C545" s="15" t="str" cm="1">
        <f t="array" aca="1" ref="C545" ca="1">INDEX($Q$2:$Q$31, RANDBETWEEN(1, COUNTA($Q$2:$Q$31)))</f>
        <v>Classic Phin Freeze</v>
      </c>
      <c r="D545" s="10" t="str" cm="1">
        <f t="array" aca="1" ref="D545" ca="1">INDEX($R$2:$R$310, RANDBETWEEN(1, COUNTA($Q$2:$Q$310)))</f>
        <v>L</v>
      </c>
      <c r="E545">
        <f t="shared" ca="1" si="75"/>
        <v>4</v>
      </c>
      <c r="F545" cm="1">
        <f t="array" aca="1" ref="F545" ca="1">INDEX($S$2:$S$31, RANDBETWEEN(1, COUNTA($S$2:$S$31)))</f>
        <v>35000</v>
      </c>
      <c r="G545" cm="1">
        <f t="array" aca="1" ref="G545" ca="1">INDEX($S$2:$S$31, RANDBETWEEN(1, COUNTA($S$2:$S$31)))</f>
        <v>55000</v>
      </c>
      <c r="H545">
        <f t="shared" ca="1" si="76"/>
        <v>5</v>
      </c>
      <c r="I545">
        <f t="shared" ca="1" si="77"/>
        <v>33250</v>
      </c>
      <c r="J545" s="10" t="str">
        <f t="shared" ca="1" si="78"/>
        <v>Online</v>
      </c>
      <c r="K545" s="10">
        <f t="shared" ca="1" si="79"/>
        <v>33250</v>
      </c>
      <c r="L545" s="10">
        <f t="shared" ca="1" si="80"/>
        <v>133000</v>
      </c>
      <c r="M545" s="12" t="str" cm="1">
        <f t="array" aca="1" ref="M545" ca="1">INDEX($R$33:$R$82, RANDBETWEEN(1, COUNTA($R$33:$R$82)))</f>
        <v>NV27</v>
      </c>
      <c r="N545">
        <f t="shared" ca="1" si="81"/>
        <v>20</v>
      </c>
    </row>
    <row r="546" spans="1:14" ht="16.8" x14ac:dyDescent="0.3">
      <c r="A546" s="7" t="str">
        <f t="shared" si="73"/>
        <v>S0545</v>
      </c>
      <c r="B546" s="8">
        <f t="shared" ca="1" si="74"/>
        <v>45030</v>
      </c>
      <c r="C546" s="15" t="str" cm="1">
        <f t="array" aca="1" ref="C546" ca="1">INDEX($Q$2:$Q$31, RANDBETWEEN(1, COUNTA($Q$2:$Q$31)))</f>
        <v xml:space="preserve">Green Tea Freeze </v>
      </c>
      <c r="D546" s="10" t="str" cm="1">
        <f t="array" aca="1" ref="D546" ca="1">INDEX($R$2:$R$310, RANDBETWEEN(1, COUNTA($Q$2:$Q$310)))</f>
        <v>M</v>
      </c>
      <c r="E546">
        <f t="shared" ca="1" si="75"/>
        <v>1</v>
      </c>
      <c r="F546" cm="1">
        <f t="array" aca="1" ref="F546" ca="1">INDEX($S$2:$S$31, RANDBETWEEN(1, COUNTA($S$2:$S$31)))</f>
        <v>35000</v>
      </c>
      <c r="G546" cm="1">
        <f t="array" aca="1" ref="G546" ca="1">INDEX($S$2:$S$31, RANDBETWEEN(1, COUNTA($S$2:$S$31)))</f>
        <v>45000</v>
      </c>
      <c r="H546">
        <f t="shared" ca="1" si="76"/>
        <v>13</v>
      </c>
      <c r="I546">
        <f t="shared" ca="1" si="77"/>
        <v>30450</v>
      </c>
      <c r="J546" s="10" t="str">
        <f t="shared" ca="1" si="78"/>
        <v>Online</v>
      </c>
      <c r="K546" s="10">
        <f t="shared" ca="1" si="79"/>
        <v>30450</v>
      </c>
      <c r="L546" s="10">
        <f t="shared" ca="1" si="80"/>
        <v>30450</v>
      </c>
      <c r="M546" s="12" t="str" cm="1">
        <f t="array" aca="1" ref="M546" ca="1">INDEX($R$33:$R$82, RANDBETWEEN(1, COUNTA($R$33:$R$82)))</f>
        <v>NV29</v>
      </c>
      <c r="N546">
        <f t="shared" ca="1" si="81"/>
        <v>35</v>
      </c>
    </row>
    <row r="547" spans="1:14" ht="16.8" x14ac:dyDescent="0.3">
      <c r="A547" s="7" t="str">
        <f t="shared" si="73"/>
        <v>S0546</v>
      </c>
      <c r="B547" s="8">
        <f t="shared" ca="1" si="74"/>
        <v>45162</v>
      </c>
      <c r="C547" s="15" t="str" cm="1">
        <f t="array" aca="1" ref="C547" ca="1">INDEX($Q$2:$Q$31, RANDBETWEEN(1, COUNTA($Q$2:$Q$31)))</f>
        <v>Caramel Phin Freeze</v>
      </c>
      <c r="D547" s="10" t="str" cm="1">
        <f t="array" aca="1" ref="D547" ca="1">INDEX($R$2:$R$310, RANDBETWEEN(1, COUNTA($Q$2:$Q$310)))</f>
        <v>S</v>
      </c>
      <c r="E547">
        <f t="shared" ca="1" si="75"/>
        <v>5</v>
      </c>
      <c r="F547" cm="1">
        <f t="array" aca="1" ref="F547" ca="1">INDEX($S$2:$S$31, RANDBETWEEN(1, COUNTA($S$2:$S$31)))</f>
        <v>65000</v>
      </c>
      <c r="G547" cm="1">
        <f t="array" aca="1" ref="G547" ca="1">INDEX($S$2:$S$31, RANDBETWEEN(1, COUNTA($S$2:$S$31)))</f>
        <v>39000</v>
      </c>
      <c r="H547">
        <f t="shared" ca="1" si="76"/>
        <v>14</v>
      </c>
      <c r="I547">
        <f t="shared" ca="1" si="77"/>
        <v>39000</v>
      </c>
      <c r="J547" s="10" t="str">
        <f t="shared" ca="1" si="78"/>
        <v>Offline</v>
      </c>
      <c r="K547" s="10">
        <f t="shared" ca="1" si="79"/>
        <v>39000</v>
      </c>
      <c r="L547" s="10">
        <f t="shared" ca="1" si="80"/>
        <v>195000</v>
      </c>
      <c r="M547" s="12" t="str" cm="1">
        <f t="array" aca="1" ref="M547" ca="1">INDEX($R$33:$R$82, RANDBETWEEN(1, COUNTA($R$33:$R$82)))</f>
        <v>NV10</v>
      </c>
      <c r="N547">
        <f t="shared" ca="1" si="81"/>
        <v>10</v>
      </c>
    </row>
    <row r="548" spans="1:14" ht="16.8" x14ac:dyDescent="0.3">
      <c r="A548" s="7" t="str">
        <f t="shared" si="73"/>
        <v>S0547</v>
      </c>
      <c r="B548" s="8">
        <f t="shared" ca="1" si="74"/>
        <v>44537</v>
      </c>
      <c r="C548" s="15" t="str" cm="1">
        <f t="array" aca="1" ref="C548" ca="1">INDEX($Q$2:$Q$31, RANDBETWEEN(1, COUNTA($Q$2:$Q$31)))</f>
        <v>Classic Phin Freeze</v>
      </c>
      <c r="D548" s="10" t="str" cm="1">
        <f t="array" aca="1" ref="D548" ca="1">INDEX($R$2:$R$310, RANDBETWEEN(1, COUNTA($Q$2:$Q$310)))</f>
        <v>L</v>
      </c>
      <c r="E548">
        <f t="shared" ca="1" si="75"/>
        <v>5</v>
      </c>
      <c r="F548" cm="1">
        <f t="array" aca="1" ref="F548" ca="1">INDEX($S$2:$S$31, RANDBETWEEN(1, COUNTA($S$2:$S$31)))</f>
        <v>29000</v>
      </c>
      <c r="G548" cm="1">
        <f t="array" aca="1" ref="G548" ca="1">INDEX($S$2:$S$31, RANDBETWEEN(1, COUNTA($S$2:$S$31)))</f>
        <v>65000</v>
      </c>
      <c r="H548">
        <f t="shared" ca="1" si="76"/>
        <v>7</v>
      </c>
      <c r="I548">
        <f t="shared" ca="1" si="77"/>
        <v>65000</v>
      </c>
      <c r="J548" s="10" t="str">
        <f t="shared" ca="1" si="78"/>
        <v>Offline</v>
      </c>
      <c r="K548" s="10">
        <f t="shared" ca="1" si="79"/>
        <v>65000</v>
      </c>
      <c r="L548" s="10">
        <f t="shared" ca="1" si="80"/>
        <v>325000</v>
      </c>
      <c r="M548" s="12" t="str" cm="1">
        <f t="array" aca="1" ref="M548" ca="1">INDEX($R$33:$R$82, RANDBETWEEN(1, COUNTA($R$33:$R$82)))</f>
        <v>NV46</v>
      </c>
      <c r="N548">
        <f t="shared" ca="1" si="81"/>
        <v>42</v>
      </c>
    </row>
    <row r="549" spans="1:14" ht="16.8" x14ac:dyDescent="0.3">
      <c r="A549" s="7" t="str">
        <f t="shared" si="73"/>
        <v>S0548</v>
      </c>
      <c r="B549" s="8">
        <f t="shared" ca="1" si="74"/>
        <v>44508</v>
      </c>
      <c r="C549" s="15" t="str" cm="1">
        <f t="array" aca="1" ref="C549" ca="1">INDEX($Q$2:$Q$31, RANDBETWEEN(1, COUNTA($Q$2:$Q$31)))</f>
        <v xml:space="preserve">Green Tea Freeze </v>
      </c>
      <c r="D549" s="10" t="str" cm="1">
        <f t="array" aca="1" ref="D549" ca="1">INDEX($R$2:$R$310, RANDBETWEEN(1, COUNTA($Q$2:$Q$310)))</f>
        <v>M</v>
      </c>
      <c r="E549">
        <f t="shared" ca="1" si="75"/>
        <v>2</v>
      </c>
      <c r="F549" cm="1">
        <f t="array" aca="1" ref="F549" ca="1">INDEX($S$2:$S$31, RANDBETWEEN(1, COUNTA($S$2:$S$31)))</f>
        <v>65000</v>
      </c>
      <c r="G549" cm="1">
        <f t="array" aca="1" ref="G549" ca="1">INDEX($S$2:$S$31, RANDBETWEEN(1, COUNTA($S$2:$S$31)))</f>
        <v>35000</v>
      </c>
      <c r="H549">
        <f t="shared" ca="1" si="76"/>
        <v>14</v>
      </c>
      <c r="I549">
        <f t="shared" ca="1" si="77"/>
        <v>35000</v>
      </c>
      <c r="J549" s="10" t="str">
        <f t="shared" ca="1" si="78"/>
        <v>Offline</v>
      </c>
      <c r="K549" s="10">
        <f t="shared" ca="1" si="79"/>
        <v>35000</v>
      </c>
      <c r="L549" s="10">
        <f t="shared" ca="1" si="80"/>
        <v>70000</v>
      </c>
      <c r="M549" s="12" t="str" cm="1">
        <f t="array" aca="1" ref="M549" ca="1">INDEX($R$33:$R$82, RANDBETWEEN(1, COUNTA($R$33:$R$82)))</f>
        <v>NV37</v>
      </c>
      <c r="N549">
        <f t="shared" ca="1" si="81"/>
        <v>23</v>
      </c>
    </row>
    <row r="550" spans="1:14" ht="16.8" x14ac:dyDescent="0.3">
      <c r="A550" s="7" t="str">
        <f t="shared" si="73"/>
        <v>S0549</v>
      </c>
      <c r="B550" s="8">
        <f t="shared" ca="1" si="74"/>
        <v>44408</v>
      </c>
      <c r="C550" s="15" t="str" cm="1">
        <f t="array" aca="1" ref="C550" ca="1">INDEX($Q$2:$Q$31, RANDBETWEEN(1, COUNTA($Q$2:$Q$31)))</f>
        <v>Iced Black Coffee</v>
      </c>
      <c r="D550" s="10" t="str" cm="1">
        <f t="array" aca="1" ref="D550" ca="1">INDEX($R$2:$R$310, RANDBETWEEN(1, COUNTA($Q$2:$Q$310)))</f>
        <v>S</v>
      </c>
      <c r="E550">
        <f t="shared" ca="1" si="75"/>
        <v>4</v>
      </c>
      <c r="F550" cm="1">
        <f t="array" aca="1" ref="F550" ca="1">INDEX($S$2:$S$31, RANDBETWEEN(1, COUNTA($S$2:$S$31)))</f>
        <v>29000</v>
      </c>
      <c r="G550" cm="1">
        <f t="array" aca="1" ref="G550" ca="1">INDEX($S$2:$S$31, RANDBETWEEN(1, COUNTA($S$2:$S$31)))</f>
        <v>49000</v>
      </c>
      <c r="H550">
        <f t="shared" ca="1" si="76"/>
        <v>13</v>
      </c>
      <c r="I550">
        <f t="shared" ca="1" si="77"/>
        <v>49000</v>
      </c>
      <c r="J550" s="10" t="str">
        <f t="shared" ca="1" si="78"/>
        <v>Offline</v>
      </c>
      <c r="K550" s="10">
        <f t="shared" ca="1" si="79"/>
        <v>49000</v>
      </c>
      <c r="L550" s="10">
        <f t="shared" ca="1" si="80"/>
        <v>196000</v>
      </c>
      <c r="M550" s="12" t="str" cm="1">
        <f t="array" aca="1" ref="M550" ca="1">INDEX($R$33:$R$82, RANDBETWEEN(1, COUNTA($R$33:$R$82)))</f>
        <v>NV29</v>
      </c>
      <c r="N550">
        <f t="shared" ca="1" si="81"/>
        <v>25</v>
      </c>
    </row>
    <row r="551" spans="1:14" ht="16.8" x14ac:dyDescent="0.3">
      <c r="A551" s="7" t="str">
        <f t="shared" si="73"/>
        <v>S0550</v>
      </c>
      <c r="B551" s="8">
        <f t="shared" ca="1" si="74"/>
        <v>45170</v>
      </c>
      <c r="C551" s="15" t="str" cm="1">
        <f t="array" aca="1" ref="C551" ca="1">INDEX($Q$2:$Q$31, RANDBETWEEN(1, COUNTA($Q$2:$Q$31)))</f>
        <v>Classic Phin Freeze</v>
      </c>
      <c r="D551" s="10" t="str" cm="1">
        <f t="array" aca="1" ref="D551" ca="1">INDEX($R$2:$R$310, RANDBETWEEN(1, COUNTA($Q$2:$Q$310)))</f>
        <v>M</v>
      </c>
      <c r="E551">
        <f t="shared" ca="1" si="75"/>
        <v>5</v>
      </c>
      <c r="F551" cm="1">
        <f t="array" aca="1" ref="F551" ca="1">INDEX($S$2:$S$31, RANDBETWEEN(1, COUNTA($S$2:$S$31)))</f>
        <v>59000</v>
      </c>
      <c r="G551" cm="1">
        <f t="array" aca="1" ref="G551" ca="1">INDEX($S$2:$S$31, RANDBETWEEN(1, COUNTA($S$2:$S$31)))</f>
        <v>49000</v>
      </c>
      <c r="H551">
        <f t="shared" ca="1" si="76"/>
        <v>13</v>
      </c>
      <c r="I551">
        <f t="shared" ca="1" si="77"/>
        <v>51330</v>
      </c>
      <c r="J551" s="10" t="str">
        <f t="shared" ca="1" si="78"/>
        <v>Online</v>
      </c>
      <c r="K551" s="10">
        <f t="shared" ca="1" si="79"/>
        <v>51330</v>
      </c>
      <c r="L551" s="10">
        <f t="shared" ca="1" si="80"/>
        <v>256650</v>
      </c>
      <c r="M551" s="12" t="str" cm="1">
        <f t="array" aca="1" ref="M551" ca="1">INDEX($R$33:$R$82, RANDBETWEEN(1, COUNTA($R$33:$R$82)))</f>
        <v>NV49</v>
      </c>
      <c r="N551">
        <f t="shared" ca="1" si="81"/>
        <v>18</v>
      </c>
    </row>
    <row r="552" spans="1:14" ht="16.8" x14ac:dyDescent="0.3">
      <c r="A552" s="7" t="str">
        <f t="shared" si="73"/>
        <v>S0551</v>
      </c>
      <c r="B552" s="8">
        <f t="shared" ca="1" si="74"/>
        <v>44869</v>
      </c>
      <c r="C552" s="15" t="str" cm="1">
        <f t="array" aca="1" ref="C552" ca="1">INDEX($Q$2:$Q$31, RANDBETWEEN(1, COUNTA($Q$2:$Q$31)))</f>
        <v>Latte</v>
      </c>
      <c r="D552" s="10" t="str" cm="1">
        <f t="array" aca="1" ref="D552" ca="1">INDEX($R$2:$R$310, RANDBETWEEN(1, COUNTA($Q$2:$Q$310)))</f>
        <v>M</v>
      </c>
      <c r="E552">
        <f t="shared" ca="1" si="75"/>
        <v>4</v>
      </c>
      <c r="F552" cm="1">
        <f t="array" aca="1" ref="F552" ca="1">INDEX($S$2:$S$31, RANDBETWEEN(1, COUNTA($S$2:$S$31)))</f>
        <v>65000</v>
      </c>
      <c r="G552" cm="1">
        <f t="array" aca="1" ref="G552" ca="1">INDEX($S$2:$S$31, RANDBETWEEN(1, COUNTA($S$2:$S$31)))</f>
        <v>55000</v>
      </c>
      <c r="H552">
        <f t="shared" ca="1" si="76"/>
        <v>9</v>
      </c>
      <c r="I552">
        <f t="shared" ca="1" si="77"/>
        <v>55000</v>
      </c>
      <c r="J552" s="10" t="str">
        <f t="shared" ca="1" si="78"/>
        <v>Offline</v>
      </c>
      <c r="K552" s="10">
        <f t="shared" ca="1" si="79"/>
        <v>55000</v>
      </c>
      <c r="L552" s="10">
        <f t="shared" ca="1" si="80"/>
        <v>220000</v>
      </c>
      <c r="M552" s="12" t="str" cm="1">
        <f t="array" aca="1" ref="M552" ca="1">INDEX($R$33:$R$82, RANDBETWEEN(1, COUNTA($R$33:$R$82)))</f>
        <v>NV23</v>
      </c>
      <c r="N552">
        <f t="shared" ca="1" si="81"/>
        <v>14</v>
      </c>
    </row>
    <row r="553" spans="1:14" ht="16.8" x14ac:dyDescent="0.3">
      <c r="A553" s="7" t="str">
        <f t="shared" si="73"/>
        <v>S0552</v>
      </c>
      <c r="B553" s="8">
        <f t="shared" ca="1" si="74"/>
        <v>44308</v>
      </c>
      <c r="C553" s="15" t="str" cm="1">
        <f t="array" aca="1" ref="C553" ca="1">INDEX($Q$2:$Q$31, RANDBETWEEN(1, COUNTA($Q$2:$Q$31)))</f>
        <v>Iced Black Coffee</v>
      </c>
      <c r="D553" s="10" t="str" cm="1">
        <f t="array" aca="1" ref="D553" ca="1">INDEX($R$2:$R$310, RANDBETWEEN(1, COUNTA($Q$2:$Q$310)))</f>
        <v>M</v>
      </c>
      <c r="E553">
        <f t="shared" ca="1" si="75"/>
        <v>3</v>
      </c>
      <c r="F553" cm="1">
        <f t="array" aca="1" ref="F553" ca="1">INDEX($S$2:$S$31, RANDBETWEEN(1, COUNTA($S$2:$S$31)))</f>
        <v>59000</v>
      </c>
      <c r="G553" cm="1">
        <f t="array" aca="1" ref="G553" ca="1">INDEX($S$2:$S$31, RANDBETWEEN(1, COUNTA($S$2:$S$31)))</f>
        <v>65000</v>
      </c>
      <c r="H553">
        <f t="shared" ca="1" si="76"/>
        <v>6</v>
      </c>
      <c r="I553">
        <f t="shared" ca="1" si="77"/>
        <v>55460</v>
      </c>
      <c r="J553" s="10" t="str">
        <f t="shared" ca="1" si="78"/>
        <v>Online</v>
      </c>
      <c r="K553" s="10">
        <f t="shared" ca="1" si="79"/>
        <v>55460</v>
      </c>
      <c r="L553" s="10">
        <f t="shared" ca="1" si="80"/>
        <v>166380</v>
      </c>
      <c r="M553" s="12" t="str" cm="1">
        <f t="array" aca="1" ref="M553" ca="1">INDEX($R$33:$R$82, RANDBETWEEN(1, COUNTA($R$33:$R$82)))</f>
        <v>NV39</v>
      </c>
      <c r="N553">
        <f t="shared" ca="1" si="81"/>
        <v>12</v>
      </c>
    </row>
    <row r="554" spans="1:14" ht="16.8" x14ac:dyDescent="0.3">
      <c r="A554" s="7" t="str">
        <f t="shared" si="73"/>
        <v>S0553</v>
      </c>
      <c r="B554" s="8">
        <f t="shared" ca="1" si="74"/>
        <v>44825</v>
      </c>
      <c r="C554" s="15" t="str" cm="1">
        <f t="array" aca="1" ref="C554" ca="1">INDEX($Q$2:$Q$31, RANDBETWEEN(1, COUNTA($Q$2:$Q$31)))</f>
        <v>Latte</v>
      </c>
      <c r="D554" s="10" t="str" cm="1">
        <f t="array" aca="1" ref="D554" ca="1">INDEX($R$2:$R$310, RANDBETWEEN(1, COUNTA($Q$2:$Q$310)))</f>
        <v>S</v>
      </c>
      <c r="E554">
        <f t="shared" ca="1" si="75"/>
        <v>4</v>
      </c>
      <c r="F554" cm="1">
        <f t="array" aca="1" ref="F554" ca="1">INDEX($S$2:$S$31, RANDBETWEEN(1, COUNTA($S$2:$S$31)))</f>
        <v>69000</v>
      </c>
      <c r="G554" cm="1">
        <f t="array" aca="1" ref="G554" ca="1">INDEX($S$2:$S$31, RANDBETWEEN(1, COUNTA($S$2:$S$31)))</f>
        <v>65000</v>
      </c>
      <c r="H554">
        <f t="shared" ca="1" si="76"/>
        <v>7</v>
      </c>
      <c r="I554">
        <f t="shared" ca="1" si="77"/>
        <v>65000</v>
      </c>
      <c r="J554" s="10" t="str">
        <f t="shared" ca="1" si="78"/>
        <v>Offline</v>
      </c>
      <c r="K554" s="10">
        <f t="shared" ca="1" si="79"/>
        <v>65000</v>
      </c>
      <c r="L554" s="10">
        <f t="shared" ca="1" si="80"/>
        <v>260000</v>
      </c>
      <c r="M554" s="12" t="str" cm="1">
        <f t="array" aca="1" ref="M554" ca="1">INDEX($R$33:$R$82, RANDBETWEEN(1, COUNTA($R$33:$R$82)))</f>
        <v>NV29</v>
      </c>
      <c r="N554">
        <f t="shared" ca="1" si="81"/>
        <v>10</v>
      </c>
    </row>
    <row r="555" spans="1:14" ht="16.8" x14ac:dyDescent="0.3">
      <c r="A555" s="7" t="str">
        <f t="shared" si="73"/>
        <v>S0554</v>
      </c>
      <c r="B555" s="8">
        <f t="shared" ca="1" si="74"/>
        <v>45042</v>
      </c>
      <c r="C555" s="15" t="str" cm="1">
        <f t="array" aca="1" ref="C555" ca="1">INDEX($Q$2:$Q$31, RANDBETWEEN(1, COUNTA($Q$2:$Q$31)))</f>
        <v>Classic Phin Freeze</v>
      </c>
      <c r="D555" s="10" t="str" cm="1">
        <f t="array" aca="1" ref="D555" ca="1">INDEX($R$2:$R$310, RANDBETWEEN(1, COUNTA($Q$2:$Q$310)))</f>
        <v>S</v>
      </c>
      <c r="E555">
        <f t="shared" ca="1" si="75"/>
        <v>2</v>
      </c>
      <c r="F555" cm="1">
        <f t="array" aca="1" ref="F555" ca="1">INDEX($S$2:$S$31, RANDBETWEEN(1, COUNTA($S$2:$S$31)))</f>
        <v>75000</v>
      </c>
      <c r="G555" cm="1">
        <f t="array" aca="1" ref="G555" ca="1">INDEX($S$2:$S$31, RANDBETWEEN(1, COUNTA($S$2:$S$31)))</f>
        <v>49000</v>
      </c>
      <c r="H555">
        <f t="shared" ca="1" si="76"/>
        <v>6</v>
      </c>
      <c r="I555">
        <f t="shared" ca="1" si="77"/>
        <v>70500</v>
      </c>
      <c r="J555" s="10" t="str">
        <f t="shared" ca="1" si="78"/>
        <v>Online</v>
      </c>
      <c r="K555" s="10">
        <f t="shared" ca="1" si="79"/>
        <v>70500</v>
      </c>
      <c r="L555" s="10">
        <f t="shared" ca="1" si="80"/>
        <v>141000</v>
      </c>
      <c r="M555" s="12" t="str" cm="1">
        <f t="array" aca="1" ref="M555" ca="1">INDEX($R$33:$R$82, RANDBETWEEN(1, COUNTA($R$33:$R$82)))</f>
        <v>NV30</v>
      </c>
      <c r="N555">
        <f t="shared" ca="1" si="81"/>
        <v>38</v>
      </c>
    </row>
    <row r="556" spans="1:14" ht="16.8" x14ac:dyDescent="0.3">
      <c r="A556" s="7" t="str">
        <f t="shared" si="73"/>
        <v>S0555</v>
      </c>
      <c r="B556" s="8">
        <f t="shared" ca="1" si="74"/>
        <v>44197</v>
      </c>
      <c r="C556" s="15" t="str" cm="1">
        <f t="array" aca="1" ref="C556" ca="1">INDEX($Q$2:$Q$31, RANDBETWEEN(1, COUNTA($Q$2:$Q$31)))</f>
        <v>Classic Phin Freeze</v>
      </c>
      <c r="D556" s="10" t="str" cm="1">
        <f t="array" aca="1" ref="D556" ca="1">INDEX($R$2:$R$310, RANDBETWEEN(1, COUNTA($Q$2:$Q$310)))</f>
        <v>S</v>
      </c>
      <c r="E556">
        <f t="shared" ca="1" si="75"/>
        <v>2</v>
      </c>
      <c r="F556" cm="1">
        <f t="array" aca="1" ref="F556" ca="1">INDEX($S$2:$S$31, RANDBETWEEN(1, COUNTA($S$2:$S$31)))</f>
        <v>75000</v>
      </c>
      <c r="G556" cm="1">
        <f t="array" aca="1" ref="G556" ca="1">INDEX($S$2:$S$31, RANDBETWEEN(1, COUNTA($S$2:$S$31)))</f>
        <v>35000</v>
      </c>
      <c r="H556">
        <f t="shared" ca="1" si="76"/>
        <v>5</v>
      </c>
      <c r="I556">
        <f t="shared" ca="1" si="77"/>
        <v>35000</v>
      </c>
      <c r="J556" s="10" t="str">
        <f t="shared" ca="1" si="78"/>
        <v>Offline</v>
      </c>
      <c r="K556" s="10">
        <f t="shared" ca="1" si="79"/>
        <v>35000</v>
      </c>
      <c r="L556" s="10">
        <f t="shared" ca="1" si="80"/>
        <v>70000</v>
      </c>
      <c r="M556" s="12" t="str" cm="1">
        <f t="array" aca="1" ref="M556" ca="1">INDEX($R$33:$R$82, RANDBETWEEN(1, COUNTA($R$33:$R$82)))</f>
        <v>NV23</v>
      </c>
      <c r="N556">
        <f t="shared" ca="1" si="81"/>
        <v>12</v>
      </c>
    </row>
    <row r="557" spans="1:14" ht="16.8" x14ac:dyDescent="0.3">
      <c r="A557" s="7" t="str">
        <f t="shared" si="73"/>
        <v>S0556</v>
      </c>
      <c r="B557" s="8">
        <f t="shared" ca="1" si="74"/>
        <v>44433</v>
      </c>
      <c r="C557" s="15" t="str" cm="1">
        <f t="array" aca="1" ref="C557" ca="1">INDEX($Q$2:$Q$31, RANDBETWEEN(1, COUNTA($Q$2:$Q$31)))</f>
        <v>Caramel Phin Freeze</v>
      </c>
      <c r="D557" s="10" t="str" cm="1">
        <f t="array" aca="1" ref="D557" ca="1">INDEX($R$2:$R$310, RANDBETWEEN(1, COUNTA($Q$2:$Q$310)))</f>
        <v>M</v>
      </c>
      <c r="E557">
        <f t="shared" ca="1" si="75"/>
        <v>4</v>
      </c>
      <c r="F557" cm="1">
        <f t="array" aca="1" ref="F557" ca="1">INDEX($S$2:$S$31, RANDBETWEEN(1, COUNTA($S$2:$S$31)))</f>
        <v>49000</v>
      </c>
      <c r="G557" cm="1">
        <f t="array" aca="1" ref="G557" ca="1">INDEX($S$2:$S$31, RANDBETWEEN(1, COUNTA($S$2:$S$31)))</f>
        <v>69000</v>
      </c>
      <c r="H557">
        <f t="shared" ca="1" si="76"/>
        <v>10</v>
      </c>
      <c r="I557">
        <f t="shared" ca="1" si="77"/>
        <v>44100</v>
      </c>
      <c r="J557" s="10" t="str">
        <f t="shared" ca="1" si="78"/>
        <v>Online</v>
      </c>
      <c r="K557" s="10">
        <f t="shared" ca="1" si="79"/>
        <v>44100</v>
      </c>
      <c r="L557" s="10">
        <f t="shared" ca="1" si="80"/>
        <v>176400</v>
      </c>
      <c r="M557" s="12" t="str" cm="1">
        <f t="array" aca="1" ref="M557" ca="1">INDEX($R$33:$R$82, RANDBETWEEN(1, COUNTA($R$33:$R$82)))</f>
        <v>NV39</v>
      </c>
      <c r="N557">
        <f t="shared" ca="1" si="81"/>
        <v>5</v>
      </c>
    </row>
    <row r="558" spans="1:14" ht="16.8" x14ac:dyDescent="0.3">
      <c r="A558" s="7" t="str">
        <f t="shared" si="73"/>
        <v>S0557</v>
      </c>
      <c r="B558" s="8">
        <f t="shared" ca="1" si="74"/>
        <v>44699</v>
      </c>
      <c r="C558" s="15" t="str" cm="1">
        <f t="array" aca="1" ref="C558" ca="1">INDEX($Q$2:$Q$31, RANDBETWEEN(1, COUNTA($Q$2:$Q$31)))</f>
        <v>Americano</v>
      </c>
      <c r="D558" s="10" t="str" cm="1">
        <f t="array" aca="1" ref="D558" ca="1">INDEX($R$2:$R$310, RANDBETWEEN(1, COUNTA($Q$2:$Q$310)))</f>
        <v>L</v>
      </c>
      <c r="E558">
        <f t="shared" ca="1" si="75"/>
        <v>1</v>
      </c>
      <c r="F558" cm="1">
        <f t="array" aca="1" ref="F558" ca="1">INDEX($S$2:$S$31, RANDBETWEEN(1, COUNTA($S$2:$S$31)))</f>
        <v>65000</v>
      </c>
      <c r="G558" cm="1">
        <f t="array" aca="1" ref="G558" ca="1">INDEX($S$2:$S$31, RANDBETWEEN(1, COUNTA($S$2:$S$31)))</f>
        <v>35000</v>
      </c>
      <c r="H558">
        <f t="shared" ca="1" si="76"/>
        <v>11</v>
      </c>
      <c r="I558">
        <f t="shared" ca="1" si="77"/>
        <v>57850</v>
      </c>
      <c r="J558" s="10" t="str">
        <f t="shared" ca="1" si="78"/>
        <v>Online</v>
      </c>
      <c r="K558" s="10">
        <f t="shared" ca="1" si="79"/>
        <v>57850</v>
      </c>
      <c r="L558" s="10">
        <f t="shared" ca="1" si="80"/>
        <v>57850</v>
      </c>
      <c r="M558" s="12" t="str" cm="1">
        <f t="array" aca="1" ref="M558" ca="1">INDEX($R$33:$R$82, RANDBETWEEN(1, COUNTA($R$33:$R$82)))</f>
        <v>NV43</v>
      </c>
      <c r="N558">
        <f t="shared" ca="1" si="81"/>
        <v>32</v>
      </c>
    </row>
    <row r="559" spans="1:14" ht="16.8" x14ac:dyDescent="0.3">
      <c r="A559" s="7" t="str">
        <f t="shared" si="73"/>
        <v>S0558</v>
      </c>
      <c r="B559" s="8">
        <f t="shared" ca="1" si="74"/>
        <v>44612</v>
      </c>
      <c r="C559" s="15" t="str" cm="1">
        <f t="array" aca="1" ref="C559" ca="1">INDEX($Q$2:$Q$31, RANDBETWEEN(1, COUNTA($Q$2:$Q$31)))</f>
        <v xml:space="preserve">Chocolate Freeze </v>
      </c>
      <c r="D559" s="10" t="str" cm="1">
        <f t="array" aca="1" ref="D559" ca="1">INDEX($R$2:$R$310, RANDBETWEEN(1, COUNTA($Q$2:$Q$310)))</f>
        <v>M</v>
      </c>
      <c r="E559">
        <f t="shared" ca="1" si="75"/>
        <v>5</v>
      </c>
      <c r="F559" cm="1">
        <f t="array" aca="1" ref="F559" ca="1">INDEX($S$2:$S$31, RANDBETWEEN(1, COUNTA($S$2:$S$31)))</f>
        <v>69000</v>
      </c>
      <c r="G559" cm="1">
        <f t="array" aca="1" ref="G559" ca="1">INDEX($S$2:$S$31, RANDBETWEEN(1, COUNTA($S$2:$S$31)))</f>
        <v>55000</v>
      </c>
      <c r="H559">
        <f t="shared" ca="1" si="76"/>
        <v>12</v>
      </c>
      <c r="I559">
        <f t="shared" ca="1" si="77"/>
        <v>60720</v>
      </c>
      <c r="J559" s="10" t="str">
        <f t="shared" ca="1" si="78"/>
        <v>Online</v>
      </c>
      <c r="K559" s="10">
        <f t="shared" ca="1" si="79"/>
        <v>60720</v>
      </c>
      <c r="L559" s="10">
        <f t="shared" ca="1" si="80"/>
        <v>303600</v>
      </c>
      <c r="M559" s="12" t="str" cm="1">
        <f t="array" aca="1" ref="M559" ca="1">INDEX($R$33:$R$82, RANDBETWEEN(1, COUNTA($R$33:$R$82)))</f>
        <v>NV2</v>
      </c>
      <c r="N559">
        <f t="shared" ca="1" si="81"/>
        <v>26</v>
      </c>
    </row>
    <row r="560" spans="1:14" ht="16.8" x14ac:dyDescent="0.3">
      <c r="A560" s="7" t="str">
        <f t="shared" si="73"/>
        <v>S0559</v>
      </c>
      <c r="B560" s="8">
        <f t="shared" ca="1" si="74"/>
        <v>45125</v>
      </c>
      <c r="C560" s="15" t="str" cm="1">
        <f t="array" aca="1" ref="C560" ca="1">INDEX($Q$2:$Q$31, RANDBETWEEN(1, COUNTA($Q$2:$Q$31)))</f>
        <v>Classic Phin Freeze</v>
      </c>
      <c r="D560" s="10" t="str" cm="1">
        <f t="array" aca="1" ref="D560" ca="1">INDEX($R$2:$R$310, RANDBETWEEN(1, COUNTA($Q$2:$Q$310)))</f>
        <v>S</v>
      </c>
      <c r="E560">
        <f t="shared" ca="1" si="75"/>
        <v>5</v>
      </c>
      <c r="F560" cm="1">
        <f t="array" aca="1" ref="F560" ca="1">INDEX($S$2:$S$31, RANDBETWEEN(1, COUNTA($S$2:$S$31)))</f>
        <v>69000</v>
      </c>
      <c r="G560" cm="1">
        <f t="array" aca="1" ref="G560" ca="1">INDEX($S$2:$S$31, RANDBETWEEN(1, COUNTA($S$2:$S$31)))</f>
        <v>49000</v>
      </c>
      <c r="H560">
        <f t="shared" ca="1" si="76"/>
        <v>14</v>
      </c>
      <c r="I560">
        <f t="shared" ca="1" si="77"/>
        <v>59340</v>
      </c>
      <c r="J560" s="10" t="str">
        <f t="shared" ca="1" si="78"/>
        <v>Online</v>
      </c>
      <c r="K560" s="10">
        <f t="shared" ca="1" si="79"/>
        <v>59340</v>
      </c>
      <c r="L560" s="10">
        <f t="shared" ca="1" si="80"/>
        <v>296700</v>
      </c>
      <c r="M560" s="12" t="str" cm="1">
        <f t="array" aca="1" ref="M560" ca="1">INDEX($R$33:$R$82, RANDBETWEEN(1, COUNTA($R$33:$R$82)))</f>
        <v>NV5</v>
      </c>
      <c r="N560">
        <f t="shared" ca="1" si="81"/>
        <v>45</v>
      </c>
    </row>
    <row r="561" spans="1:14" ht="16.8" x14ac:dyDescent="0.3">
      <c r="A561" s="7" t="str">
        <f t="shared" si="73"/>
        <v>S0560</v>
      </c>
      <c r="B561" s="8">
        <f t="shared" ca="1" si="74"/>
        <v>45118</v>
      </c>
      <c r="C561" s="15" t="str" cm="1">
        <f t="array" aca="1" ref="C561" ca="1">INDEX($Q$2:$Q$31, RANDBETWEEN(1, COUNTA($Q$2:$Q$31)))</f>
        <v>Classic Phin Freeze</v>
      </c>
      <c r="D561" s="10" t="str" cm="1">
        <f t="array" aca="1" ref="D561" ca="1">INDEX($R$2:$R$310, RANDBETWEEN(1, COUNTA($Q$2:$Q$310)))</f>
        <v>L</v>
      </c>
      <c r="E561">
        <f t="shared" ca="1" si="75"/>
        <v>5</v>
      </c>
      <c r="F561" cm="1">
        <f t="array" aca="1" ref="F561" ca="1">INDEX($S$2:$S$31, RANDBETWEEN(1, COUNTA($S$2:$S$31)))</f>
        <v>49000</v>
      </c>
      <c r="G561" cm="1">
        <f t="array" aca="1" ref="G561" ca="1">INDEX($S$2:$S$31, RANDBETWEEN(1, COUNTA($S$2:$S$31)))</f>
        <v>59000</v>
      </c>
      <c r="H561">
        <f t="shared" ca="1" si="76"/>
        <v>11</v>
      </c>
      <c r="I561">
        <f t="shared" ca="1" si="77"/>
        <v>43610</v>
      </c>
      <c r="J561" s="10" t="str">
        <f t="shared" ca="1" si="78"/>
        <v>Online</v>
      </c>
      <c r="K561" s="10">
        <f t="shared" ca="1" si="79"/>
        <v>43610</v>
      </c>
      <c r="L561" s="10">
        <f t="shared" ca="1" si="80"/>
        <v>218050</v>
      </c>
      <c r="M561" s="12" t="str" cm="1">
        <f t="array" aca="1" ref="M561" ca="1">INDEX($R$33:$R$82, RANDBETWEEN(1, COUNTA($R$33:$R$82)))</f>
        <v>NV4</v>
      </c>
      <c r="N561">
        <f t="shared" ca="1" si="81"/>
        <v>26</v>
      </c>
    </row>
    <row r="562" spans="1:14" ht="16.8" x14ac:dyDescent="0.3">
      <c r="A562" s="7" t="str">
        <f t="shared" si="73"/>
        <v>S0561</v>
      </c>
      <c r="B562" s="8">
        <f t="shared" ca="1" si="74"/>
        <v>44603</v>
      </c>
      <c r="C562" s="15" t="str" cm="1">
        <f t="array" aca="1" ref="C562" ca="1">INDEX($Q$2:$Q$31, RANDBETWEEN(1, COUNTA($Q$2:$Q$31)))</f>
        <v>Classic Phin Freeze</v>
      </c>
      <c r="D562" s="10" t="str" cm="1">
        <f t="array" aca="1" ref="D562" ca="1">INDEX($R$2:$R$310, RANDBETWEEN(1, COUNTA($Q$2:$Q$310)))</f>
        <v>M</v>
      </c>
      <c r="E562">
        <f t="shared" ca="1" si="75"/>
        <v>4</v>
      </c>
      <c r="F562" cm="1">
        <f t="array" aca="1" ref="F562" ca="1">INDEX($S$2:$S$31, RANDBETWEEN(1, COUNTA($S$2:$S$31)))</f>
        <v>39000</v>
      </c>
      <c r="G562" cm="1">
        <f t="array" aca="1" ref="G562" ca="1">INDEX($S$2:$S$31, RANDBETWEEN(1, COUNTA($S$2:$S$31)))</f>
        <v>49000</v>
      </c>
      <c r="H562">
        <f t="shared" ca="1" si="76"/>
        <v>11</v>
      </c>
      <c r="I562">
        <f t="shared" ca="1" si="77"/>
        <v>49000</v>
      </c>
      <c r="J562" s="10" t="str">
        <f t="shared" ca="1" si="78"/>
        <v>Offline</v>
      </c>
      <c r="K562" s="10">
        <f t="shared" ca="1" si="79"/>
        <v>49000</v>
      </c>
      <c r="L562" s="10">
        <f t="shared" ca="1" si="80"/>
        <v>196000</v>
      </c>
      <c r="M562" s="12" t="str" cm="1">
        <f t="array" aca="1" ref="M562" ca="1">INDEX($R$33:$R$82, RANDBETWEEN(1, COUNTA($R$33:$R$82)))</f>
        <v>NV25</v>
      </c>
      <c r="N562">
        <f t="shared" ca="1" si="81"/>
        <v>14</v>
      </c>
    </row>
    <row r="563" spans="1:14" ht="16.8" x14ac:dyDescent="0.3">
      <c r="A563" s="7" t="str">
        <f t="shared" si="73"/>
        <v>S0562</v>
      </c>
      <c r="B563" s="8">
        <f t="shared" ca="1" si="74"/>
        <v>44793</v>
      </c>
      <c r="C563" s="15" t="str" cm="1">
        <f t="array" aca="1" ref="C563" ca="1">INDEX($Q$2:$Q$31, RANDBETWEEN(1, COUNTA($Q$2:$Q$31)))</f>
        <v>Mocha</v>
      </c>
      <c r="D563" s="10" t="str" cm="1">
        <f t="array" aca="1" ref="D563" ca="1">INDEX($R$2:$R$310, RANDBETWEEN(1, COUNTA($Q$2:$Q$310)))</f>
        <v>L</v>
      </c>
      <c r="E563">
        <f t="shared" ca="1" si="75"/>
        <v>2</v>
      </c>
      <c r="F563" cm="1">
        <f t="array" aca="1" ref="F563" ca="1">INDEX($S$2:$S$31, RANDBETWEEN(1, COUNTA($S$2:$S$31)))</f>
        <v>75000</v>
      </c>
      <c r="G563" cm="1">
        <f t="array" aca="1" ref="G563" ca="1">INDEX($S$2:$S$31, RANDBETWEEN(1, COUNTA($S$2:$S$31)))</f>
        <v>69000</v>
      </c>
      <c r="H563">
        <f t="shared" ca="1" si="76"/>
        <v>8</v>
      </c>
      <c r="I563">
        <f t="shared" ca="1" si="77"/>
        <v>69000</v>
      </c>
      <c r="J563" s="10" t="str">
        <f t="shared" ca="1" si="78"/>
        <v>Online</v>
      </c>
      <c r="K563" s="10">
        <f t="shared" ca="1" si="79"/>
        <v>69000</v>
      </c>
      <c r="L563" s="10">
        <f t="shared" ca="1" si="80"/>
        <v>138000</v>
      </c>
      <c r="M563" s="12" t="str" cm="1">
        <f t="array" aca="1" ref="M563" ca="1">INDEX($R$33:$R$82, RANDBETWEEN(1, COUNTA($R$33:$R$82)))</f>
        <v>NV9</v>
      </c>
      <c r="N563">
        <f t="shared" ca="1" si="81"/>
        <v>44</v>
      </c>
    </row>
    <row r="564" spans="1:14" ht="16.8" x14ac:dyDescent="0.3">
      <c r="A564" s="7" t="str">
        <f t="shared" si="73"/>
        <v>S0563</v>
      </c>
      <c r="B564" s="8">
        <f t="shared" ca="1" si="74"/>
        <v>44736</v>
      </c>
      <c r="C564" s="15" t="str" cm="1">
        <f t="array" aca="1" ref="C564" ca="1">INDEX($Q$2:$Q$31, RANDBETWEEN(1, COUNTA($Q$2:$Q$31)))</f>
        <v>Iced Black Coffee</v>
      </c>
      <c r="D564" s="10" t="str" cm="1">
        <f t="array" aca="1" ref="D564" ca="1">INDEX($R$2:$R$310, RANDBETWEEN(1, COUNTA($Q$2:$Q$310)))</f>
        <v>M</v>
      </c>
      <c r="E564">
        <f t="shared" ca="1" si="75"/>
        <v>2</v>
      </c>
      <c r="F564" cm="1">
        <f t="array" aca="1" ref="F564" ca="1">INDEX($S$2:$S$31, RANDBETWEEN(1, COUNTA($S$2:$S$31)))</f>
        <v>59000</v>
      </c>
      <c r="G564" cm="1">
        <f t="array" aca="1" ref="G564" ca="1">INDEX($S$2:$S$31, RANDBETWEEN(1, COUNTA($S$2:$S$31)))</f>
        <v>45000</v>
      </c>
      <c r="H564">
        <f t="shared" ca="1" si="76"/>
        <v>6</v>
      </c>
      <c r="I564">
        <f t="shared" ca="1" si="77"/>
        <v>55460</v>
      </c>
      <c r="J564" s="10" t="str">
        <f t="shared" ca="1" si="78"/>
        <v>Online</v>
      </c>
      <c r="K564" s="10">
        <f t="shared" ca="1" si="79"/>
        <v>55460</v>
      </c>
      <c r="L564" s="10">
        <f t="shared" ca="1" si="80"/>
        <v>110920</v>
      </c>
      <c r="M564" s="12" t="str" cm="1">
        <f t="array" aca="1" ref="M564" ca="1">INDEX($R$33:$R$82, RANDBETWEEN(1, COUNTA($R$33:$R$82)))</f>
        <v>NV43</v>
      </c>
      <c r="N564">
        <f t="shared" ca="1" si="81"/>
        <v>36</v>
      </c>
    </row>
    <row r="565" spans="1:14" ht="16.8" x14ac:dyDescent="0.3">
      <c r="A565" s="7" t="str">
        <f t="shared" si="73"/>
        <v>S0564</v>
      </c>
      <c r="B565" s="8">
        <f t="shared" ca="1" si="74"/>
        <v>44596</v>
      </c>
      <c r="C565" s="15" t="str" cm="1">
        <f t="array" aca="1" ref="C565" ca="1">INDEX($Q$2:$Q$31, RANDBETWEEN(1, COUNTA($Q$2:$Q$31)))</f>
        <v>Americano</v>
      </c>
      <c r="D565" s="10" t="str" cm="1">
        <f t="array" aca="1" ref="D565" ca="1">INDEX($R$2:$R$310, RANDBETWEEN(1, COUNTA($Q$2:$Q$310)))</f>
        <v>S</v>
      </c>
      <c r="E565">
        <f t="shared" ca="1" si="75"/>
        <v>5</v>
      </c>
      <c r="F565" cm="1">
        <f t="array" aca="1" ref="F565" ca="1">INDEX($S$2:$S$31, RANDBETWEEN(1, COUNTA($S$2:$S$31)))</f>
        <v>29000</v>
      </c>
      <c r="G565" cm="1">
        <f t="array" aca="1" ref="G565" ca="1">INDEX($S$2:$S$31, RANDBETWEEN(1, COUNTA($S$2:$S$31)))</f>
        <v>65000</v>
      </c>
      <c r="H565">
        <f t="shared" ca="1" si="76"/>
        <v>7</v>
      </c>
      <c r="I565">
        <f t="shared" ca="1" si="77"/>
        <v>26970</v>
      </c>
      <c r="J565" s="10" t="str">
        <f t="shared" ca="1" si="78"/>
        <v>Online</v>
      </c>
      <c r="K565" s="10">
        <f t="shared" ca="1" si="79"/>
        <v>26970</v>
      </c>
      <c r="L565" s="10">
        <f t="shared" ca="1" si="80"/>
        <v>134850</v>
      </c>
      <c r="M565" s="12" t="str" cm="1">
        <f t="array" aca="1" ref="M565" ca="1">INDEX($R$33:$R$82, RANDBETWEEN(1, COUNTA($R$33:$R$82)))</f>
        <v>NV27</v>
      </c>
      <c r="N565">
        <f t="shared" ca="1" si="81"/>
        <v>20</v>
      </c>
    </row>
    <row r="566" spans="1:14" ht="16.8" x14ac:dyDescent="0.3">
      <c r="A566" s="7" t="str">
        <f t="shared" si="73"/>
        <v>S0565</v>
      </c>
      <c r="B566" s="8">
        <f t="shared" ca="1" si="74"/>
        <v>44727</v>
      </c>
      <c r="C566" s="15" t="str" cm="1">
        <f t="array" aca="1" ref="C566" ca="1">INDEX($Q$2:$Q$31, RANDBETWEEN(1, COUNTA($Q$2:$Q$31)))</f>
        <v>Cappuccino</v>
      </c>
      <c r="D566" s="10" t="str" cm="1">
        <f t="array" aca="1" ref="D566" ca="1">INDEX($R$2:$R$310, RANDBETWEEN(1, COUNTA($Q$2:$Q$310)))</f>
        <v>L</v>
      </c>
      <c r="E566">
        <f t="shared" ca="1" si="75"/>
        <v>2</v>
      </c>
      <c r="F566" cm="1">
        <f t="array" aca="1" ref="F566" ca="1">INDEX($S$2:$S$31, RANDBETWEEN(1, COUNTA($S$2:$S$31)))</f>
        <v>59000</v>
      </c>
      <c r="G566" cm="1">
        <f t="array" aca="1" ref="G566" ca="1">INDEX($S$2:$S$31, RANDBETWEEN(1, COUNTA($S$2:$S$31)))</f>
        <v>49000</v>
      </c>
      <c r="H566">
        <f t="shared" ca="1" si="76"/>
        <v>10</v>
      </c>
      <c r="I566">
        <f t="shared" ca="1" si="77"/>
        <v>53100</v>
      </c>
      <c r="J566" s="10" t="str">
        <f t="shared" ca="1" si="78"/>
        <v>Online</v>
      </c>
      <c r="K566" s="10">
        <f t="shared" ca="1" si="79"/>
        <v>53100</v>
      </c>
      <c r="L566" s="10">
        <f t="shared" ca="1" si="80"/>
        <v>106200</v>
      </c>
      <c r="M566" s="12" t="str" cm="1">
        <f t="array" aca="1" ref="M566" ca="1">INDEX($R$33:$R$82, RANDBETWEEN(1, COUNTA($R$33:$R$82)))</f>
        <v>NV34</v>
      </c>
      <c r="N566">
        <f t="shared" ca="1" si="81"/>
        <v>9</v>
      </c>
    </row>
    <row r="567" spans="1:14" ht="16.8" x14ac:dyDescent="0.3">
      <c r="A567" s="7" t="str">
        <f t="shared" si="73"/>
        <v>S0566</v>
      </c>
      <c r="B567" s="8">
        <f t="shared" ca="1" si="74"/>
        <v>44889</v>
      </c>
      <c r="C567" s="15" t="str" cm="1">
        <f t="array" aca="1" ref="C567" ca="1">INDEX($Q$2:$Q$31, RANDBETWEEN(1, COUNTA($Q$2:$Q$31)))</f>
        <v xml:space="preserve">Green Tea Freeze </v>
      </c>
      <c r="D567" s="10" t="str" cm="1">
        <f t="array" aca="1" ref="D567" ca="1">INDEX($R$2:$R$310, RANDBETWEEN(1, COUNTA($Q$2:$Q$310)))</f>
        <v>L</v>
      </c>
      <c r="E567">
        <f t="shared" ca="1" si="75"/>
        <v>4</v>
      </c>
      <c r="F567" cm="1">
        <f t="array" aca="1" ref="F567" ca="1">INDEX($S$2:$S$31, RANDBETWEEN(1, COUNTA($S$2:$S$31)))</f>
        <v>65000</v>
      </c>
      <c r="G567" cm="1">
        <f t="array" aca="1" ref="G567" ca="1">INDEX($S$2:$S$31, RANDBETWEEN(1, COUNTA($S$2:$S$31)))</f>
        <v>65000</v>
      </c>
      <c r="H567">
        <f t="shared" ca="1" si="76"/>
        <v>13</v>
      </c>
      <c r="I567">
        <f t="shared" ca="1" si="77"/>
        <v>65000</v>
      </c>
      <c r="J567" s="10" t="str">
        <f t="shared" ca="1" si="78"/>
        <v>Offline</v>
      </c>
      <c r="K567" s="10">
        <f t="shared" ca="1" si="79"/>
        <v>65000</v>
      </c>
      <c r="L567" s="10">
        <f t="shared" ca="1" si="80"/>
        <v>260000</v>
      </c>
      <c r="M567" s="12" t="str" cm="1">
        <f t="array" aca="1" ref="M567" ca="1">INDEX($R$33:$R$82, RANDBETWEEN(1, COUNTA($R$33:$R$82)))</f>
        <v>NV35</v>
      </c>
      <c r="N567">
        <f t="shared" ca="1" si="81"/>
        <v>41</v>
      </c>
    </row>
    <row r="568" spans="1:14" ht="16.8" x14ac:dyDescent="0.3">
      <c r="A568" s="7" t="str">
        <f t="shared" si="73"/>
        <v>S0567</v>
      </c>
      <c r="B568" s="8">
        <f t="shared" ca="1" si="74"/>
        <v>44266</v>
      </c>
      <c r="C568" s="15" t="str" cm="1">
        <f t="array" aca="1" ref="C568" ca="1">INDEX($Q$2:$Q$31, RANDBETWEEN(1, COUNTA($Q$2:$Q$31)))</f>
        <v>Americano</v>
      </c>
      <c r="D568" s="10" t="str" cm="1">
        <f t="array" aca="1" ref="D568" ca="1">INDEX($R$2:$R$310, RANDBETWEEN(1, COUNTA($Q$2:$Q$310)))</f>
        <v>L</v>
      </c>
      <c r="E568">
        <f t="shared" ca="1" si="75"/>
        <v>1</v>
      </c>
      <c r="F568" cm="1">
        <f t="array" aca="1" ref="F568" ca="1">INDEX($S$2:$S$31, RANDBETWEEN(1, COUNTA($S$2:$S$31)))</f>
        <v>59000</v>
      </c>
      <c r="G568" cm="1">
        <f t="array" aca="1" ref="G568" ca="1">INDEX($S$2:$S$31, RANDBETWEEN(1, COUNTA($S$2:$S$31)))</f>
        <v>65000</v>
      </c>
      <c r="H568">
        <f t="shared" ca="1" si="76"/>
        <v>6</v>
      </c>
      <c r="I568">
        <f t="shared" ca="1" si="77"/>
        <v>65000</v>
      </c>
      <c r="J568" s="10" t="str">
        <f t="shared" ca="1" si="78"/>
        <v>Offline</v>
      </c>
      <c r="K568" s="10">
        <f t="shared" ca="1" si="79"/>
        <v>65000</v>
      </c>
      <c r="L568" s="10">
        <f t="shared" ca="1" si="80"/>
        <v>65000</v>
      </c>
      <c r="M568" s="12" t="str" cm="1">
        <f t="array" aca="1" ref="M568" ca="1">INDEX($R$33:$R$82, RANDBETWEEN(1, COUNTA($R$33:$R$82)))</f>
        <v>NV2</v>
      </c>
      <c r="N568">
        <f t="shared" ca="1" si="81"/>
        <v>21</v>
      </c>
    </row>
    <row r="569" spans="1:14" ht="16.8" x14ac:dyDescent="0.3">
      <c r="A569" s="7" t="str">
        <f t="shared" si="73"/>
        <v>S0568</v>
      </c>
      <c r="B569" s="8">
        <f t="shared" ca="1" si="74"/>
        <v>44704</v>
      </c>
      <c r="C569" s="15" t="str" cm="1">
        <f t="array" aca="1" ref="C569" ca="1">INDEX($Q$2:$Q$31, RANDBETWEEN(1, COUNTA($Q$2:$Q$31)))</f>
        <v>Mocha</v>
      </c>
      <c r="D569" s="10" t="str" cm="1">
        <f t="array" aca="1" ref="D569" ca="1">INDEX($R$2:$R$310, RANDBETWEEN(1, COUNTA($Q$2:$Q$310)))</f>
        <v>S</v>
      </c>
      <c r="E569">
        <f t="shared" ca="1" si="75"/>
        <v>1</v>
      </c>
      <c r="F569" cm="1">
        <f t="array" aca="1" ref="F569" ca="1">INDEX($S$2:$S$31, RANDBETWEEN(1, COUNTA($S$2:$S$31)))</f>
        <v>39000</v>
      </c>
      <c r="G569" cm="1">
        <f t="array" aca="1" ref="G569" ca="1">INDEX($S$2:$S$31, RANDBETWEEN(1, COUNTA($S$2:$S$31)))</f>
        <v>59000</v>
      </c>
      <c r="H569">
        <f t="shared" ca="1" si="76"/>
        <v>9</v>
      </c>
      <c r="I569">
        <f t="shared" ca="1" si="77"/>
        <v>59000</v>
      </c>
      <c r="J569" s="10" t="str">
        <f t="shared" ca="1" si="78"/>
        <v>Offline</v>
      </c>
      <c r="K569" s="10">
        <f t="shared" ca="1" si="79"/>
        <v>59000</v>
      </c>
      <c r="L569" s="10">
        <f t="shared" ca="1" si="80"/>
        <v>59000</v>
      </c>
      <c r="M569" s="12" t="str" cm="1">
        <f t="array" aca="1" ref="M569" ca="1">INDEX($R$33:$R$82, RANDBETWEEN(1, COUNTA($R$33:$R$82)))</f>
        <v>NV42</v>
      </c>
      <c r="N569">
        <f t="shared" ca="1" si="81"/>
        <v>39</v>
      </c>
    </row>
    <row r="570" spans="1:14" ht="16.8" x14ac:dyDescent="0.3">
      <c r="A570" s="7" t="str">
        <f t="shared" si="73"/>
        <v>S0569</v>
      </c>
      <c r="B570" s="8">
        <f t="shared" ca="1" si="74"/>
        <v>44558</v>
      </c>
      <c r="C570" s="15" t="str" cm="1">
        <f t="array" aca="1" ref="C570" ca="1">INDEX($Q$2:$Q$31, RANDBETWEEN(1, COUNTA($Q$2:$Q$31)))</f>
        <v>Cookies &amp; Cream</v>
      </c>
      <c r="D570" s="10" t="str" cm="1">
        <f t="array" aca="1" ref="D570" ca="1">INDEX($R$2:$R$310, RANDBETWEEN(1, COUNTA($Q$2:$Q$310)))</f>
        <v>L</v>
      </c>
      <c r="E570">
        <f t="shared" ca="1" si="75"/>
        <v>4</v>
      </c>
      <c r="F570" cm="1">
        <f t="array" aca="1" ref="F570" ca="1">INDEX($S$2:$S$31, RANDBETWEEN(1, COUNTA($S$2:$S$31)))</f>
        <v>49000</v>
      </c>
      <c r="G570" cm="1">
        <f t="array" aca="1" ref="G570" ca="1">INDEX($S$2:$S$31, RANDBETWEEN(1, COUNTA($S$2:$S$31)))</f>
        <v>55000</v>
      </c>
      <c r="H570">
        <f t="shared" ca="1" si="76"/>
        <v>14</v>
      </c>
      <c r="I570">
        <f t="shared" ca="1" si="77"/>
        <v>55000</v>
      </c>
      <c r="J570" s="10" t="str">
        <f t="shared" ca="1" si="78"/>
        <v>Offline</v>
      </c>
      <c r="K570" s="10">
        <f t="shared" ca="1" si="79"/>
        <v>55000</v>
      </c>
      <c r="L570" s="10">
        <f t="shared" ca="1" si="80"/>
        <v>220000</v>
      </c>
      <c r="M570" s="12" t="str" cm="1">
        <f t="array" aca="1" ref="M570" ca="1">INDEX($R$33:$R$82, RANDBETWEEN(1, COUNTA($R$33:$R$82)))</f>
        <v>NV34</v>
      </c>
      <c r="N570">
        <f t="shared" ca="1" si="81"/>
        <v>19</v>
      </c>
    </row>
    <row r="571" spans="1:14" ht="16.8" x14ac:dyDescent="0.3">
      <c r="A571" s="7" t="str">
        <f t="shared" si="73"/>
        <v>S0570</v>
      </c>
      <c r="B571" s="8">
        <f t="shared" ca="1" si="74"/>
        <v>44319</v>
      </c>
      <c r="C571" s="15" t="str" cm="1">
        <f t="array" aca="1" ref="C571" ca="1">INDEX($Q$2:$Q$31, RANDBETWEEN(1, COUNTA($Q$2:$Q$31)))</f>
        <v>Mocha</v>
      </c>
      <c r="D571" s="10" t="str" cm="1">
        <f t="array" aca="1" ref="D571" ca="1">INDEX($R$2:$R$310, RANDBETWEEN(1, COUNTA($Q$2:$Q$310)))</f>
        <v>M</v>
      </c>
      <c r="E571">
        <f t="shared" ca="1" si="75"/>
        <v>4</v>
      </c>
      <c r="F571" cm="1">
        <f t="array" aca="1" ref="F571" ca="1">INDEX($S$2:$S$31, RANDBETWEEN(1, COUNTA($S$2:$S$31)))</f>
        <v>65000</v>
      </c>
      <c r="G571" cm="1">
        <f t="array" aca="1" ref="G571" ca="1">INDEX($S$2:$S$31, RANDBETWEEN(1, COUNTA($S$2:$S$31)))</f>
        <v>49000</v>
      </c>
      <c r="H571">
        <f t="shared" ca="1" si="76"/>
        <v>9</v>
      </c>
      <c r="I571">
        <f t="shared" ca="1" si="77"/>
        <v>49000</v>
      </c>
      <c r="J571" s="10" t="str">
        <f t="shared" ca="1" si="78"/>
        <v>Offline</v>
      </c>
      <c r="K571" s="10">
        <f t="shared" ca="1" si="79"/>
        <v>49000</v>
      </c>
      <c r="L571" s="10">
        <f t="shared" ca="1" si="80"/>
        <v>196000</v>
      </c>
      <c r="M571" s="12" t="str" cm="1">
        <f t="array" aca="1" ref="M571" ca="1">INDEX($R$33:$R$82, RANDBETWEEN(1, COUNTA($R$33:$R$82)))</f>
        <v>NV38</v>
      </c>
      <c r="N571">
        <f t="shared" ca="1" si="81"/>
        <v>6</v>
      </c>
    </row>
    <row r="572" spans="1:14" ht="16.8" x14ac:dyDescent="0.3">
      <c r="A572" s="7" t="str">
        <f t="shared" si="73"/>
        <v>S0571</v>
      </c>
      <c r="B572" s="8">
        <f t="shared" ca="1" si="74"/>
        <v>45226</v>
      </c>
      <c r="C572" s="15" t="str" cm="1">
        <f t="array" aca="1" ref="C572" ca="1">INDEX($Q$2:$Q$31, RANDBETWEEN(1, COUNTA($Q$2:$Q$31)))</f>
        <v>Americano</v>
      </c>
      <c r="D572" s="10" t="str" cm="1">
        <f t="array" aca="1" ref="D572" ca="1">INDEX($R$2:$R$310, RANDBETWEEN(1, COUNTA($Q$2:$Q$310)))</f>
        <v>M</v>
      </c>
      <c r="E572">
        <f t="shared" ca="1" si="75"/>
        <v>3</v>
      </c>
      <c r="F572" cm="1">
        <f t="array" aca="1" ref="F572" ca="1">INDEX($S$2:$S$31, RANDBETWEEN(1, COUNTA($S$2:$S$31)))</f>
        <v>49000</v>
      </c>
      <c r="G572" cm="1">
        <f t="array" aca="1" ref="G572" ca="1">INDEX($S$2:$S$31, RANDBETWEEN(1, COUNTA($S$2:$S$31)))</f>
        <v>69000</v>
      </c>
      <c r="H572">
        <f t="shared" ca="1" si="76"/>
        <v>11</v>
      </c>
      <c r="I572">
        <f t="shared" ca="1" si="77"/>
        <v>43610</v>
      </c>
      <c r="J572" s="10" t="str">
        <f t="shared" ca="1" si="78"/>
        <v>Online</v>
      </c>
      <c r="K572" s="10">
        <f t="shared" ca="1" si="79"/>
        <v>43610</v>
      </c>
      <c r="L572" s="10">
        <f t="shared" ca="1" si="80"/>
        <v>130830</v>
      </c>
      <c r="M572" s="12" t="str" cm="1">
        <f t="array" aca="1" ref="M572" ca="1">INDEX($R$33:$R$82, RANDBETWEEN(1, COUNTA($R$33:$R$82)))</f>
        <v>NV17</v>
      </c>
      <c r="N572">
        <f t="shared" ca="1" si="81"/>
        <v>48</v>
      </c>
    </row>
    <row r="573" spans="1:14" ht="16.8" x14ac:dyDescent="0.3">
      <c r="A573" s="7" t="str">
        <f t="shared" si="73"/>
        <v>S0572</v>
      </c>
      <c r="B573" s="8">
        <f t="shared" ca="1" si="74"/>
        <v>44692</v>
      </c>
      <c r="C573" s="15" t="str" cm="1">
        <f t="array" aca="1" ref="C573" ca="1">INDEX($Q$2:$Q$31, RANDBETWEEN(1, COUNTA($Q$2:$Q$31)))</f>
        <v xml:space="preserve">Chocolate Freeze </v>
      </c>
      <c r="D573" s="10" t="str" cm="1">
        <f t="array" aca="1" ref="D573" ca="1">INDEX($R$2:$R$310, RANDBETWEEN(1, COUNTA($Q$2:$Q$310)))</f>
        <v>M</v>
      </c>
      <c r="E573">
        <f t="shared" ca="1" si="75"/>
        <v>3</v>
      </c>
      <c r="F573" cm="1">
        <f t="array" aca="1" ref="F573" ca="1">INDEX($S$2:$S$31, RANDBETWEEN(1, COUNTA($S$2:$S$31)))</f>
        <v>59000</v>
      </c>
      <c r="G573" cm="1">
        <f t="array" aca="1" ref="G573" ca="1">INDEX($S$2:$S$31, RANDBETWEEN(1, COUNTA($S$2:$S$31)))</f>
        <v>69000</v>
      </c>
      <c r="H573">
        <f t="shared" ca="1" si="76"/>
        <v>15</v>
      </c>
      <c r="I573">
        <f t="shared" ca="1" si="77"/>
        <v>50150</v>
      </c>
      <c r="J573" s="10" t="str">
        <f t="shared" ca="1" si="78"/>
        <v>Online</v>
      </c>
      <c r="K573" s="10">
        <f t="shared" ca="1" si="79"/>
        <v>50150</v>
      </c>
      <c r="L573" s="10">
        <f t="shared" ca="1" si="80"/>
        <v>150450</v>
      </c>
      <c r="M573" s="12" t="str" cm="1">
        <f t="array" aca="1" ref="M573" ca="1">INDEX($R$33:$R$82, RANDBETWEEN(1, COUNTA($R$33:$R$82)))</f>
        <v>NV39</v>
      </c>
      <c r="N573">
        <f t="shared" ca="1" si="81"/>
        <v>21</v>
      </c>
    </row>
    <row r="574" spans="1:14" ht="16.8" x14ac:dyDescent="0.3">
      <c r="A574" s="7" t="str">
        <f t="shared" si="73"/>
        <v>S0573</v>
      </c>
      <c r="B574" s="8">
        <f t="shared" ca="1" si="74"/>
        <v>44464</v>
      </c>
      <c r="C574" s="15" t="str" cm="1">
        <f t="array" aca="1" ref="C574" ca="1">INDEX($Q$2:$Q$31, RANDBETWEEN(1, COUNTA($Q$2:$Q$31)))</f>
        <v>Americano</v>
      </c>
      <c r="D574" s="10" t="str" cm="1">
        <f t="array" aca="1" ref="D574" ca="1">INDEX($R$2:$R$310, RANDBETWEEN(1, COUNTA($Q$2:$Q$310)))</f>
        <v>L</v>
      </c>
      <c r="E574">
        <f t="shared" ca="1" si="75"/>
        <v>5</v>
      </c>
      <c r="F574" cm="1">
        <f t="array" aca="1" ref="F574" ca="1">INDEX($S$2:$S$31, RANDBETWEEN(1, COUNTA($S$2:$S$31)))</f>
        <v>65000</v>
      </c>
      <c r="G574" cm="1">
        <f t="array" aca="1" ref="G574" ca="1">INDEX($S$2:$S$31, RANDBETWEEN(1, COUNTA($S$2:$S$31)))</f>
        <v>49000</v>
      </c>
      <c r="H574">
        <f t="shared" ca="1" si="76"/>
        <v>10</v>
      </c>
      <c r="I574">
        <f t="shared" ca="1" si="77"/>
        <v>58500</v>
      </c>
      <c r="J574" s="10" t="str">
        <f t="shared" ca="1" si="78"/>
        <v>Online</v>
      </c>
      <c r="K574" s="10">
        <f t="shared" ca="1" si="79"/>
        <v>58500</v>
      </c>
      <c r="L574" s="10">
        <f t="shared" ca="1" si="80"/>
        <v>292500</v>
      </c>
      <c r="M574" s="12" t="str" cm="1">
        <f t="array" aca="1" ref="M574" ca="1">INDEX($R$33:$R$82, RANDBETWEEN(1, COUNTA($R$33:$R$82)))</f>
        <v>NV4</v>
      </c>
      <c r="N574">
        <f t="shared" ca="1" si="81"/>
        <v>9</v>
      </c>
    </row>
    <row r="575" spans="1:14" ht="16.8" x14ac:dyDescent="0.3">
      <c r="A575" s="7" t="str">
        <f t="shared" ref="A575:A638" si="82">"S"&amp;TEXT(ROW()-1,"0000")</f>
        <v>S0574</v>
      </c>
      <c r="B575" s="8">
        <f t="shared" ref="B575:B638" ca="1" si="83">DATE(2021,1,1) + RANDBETWEEN(0,1095)</f>
        <v>44244</v>
      </c>
      <c r="C575" s="15" t="str" cm="1">
        <f t="array" aca="1" ref="C575" ca="1">INDEX($Q$2:$Q$31, RANDBETWEEN(1, COUNTA($Q$2:$Q$31)))</f>
        <v>Iced Black Coffee</v>
      </c>
      <c r="D575" s="10" t="str" cm="1">
        <f t="array" aca="1" ref="D575" ca="1">INDEX($R$2:$R$310, RANDBETWEEN(1, COUNTA($Q$2:$Q$310)))</f>
        <v>S</v>
      </c>
      <c r="E575">
        <f t="shared" ref="E575:E638" ca="1" si="84">RANDBETWEEN(1,5)</f>
        <v>5</v>
      </c>
      <c r="F575" cm="1">
        <f t="array" aca="1" ref="F575" ca="1">INDEX($S$2:$S$31, RANDBETWEEN(1, COUNTA($S$2:$S$31)))</f>
        <v>35000</v>
      </c>
      <c r="G575" cm="1">
        <f t="array" aca="1" ref="G575" ca="1">INDEX($S$2:$S$31, RANDBETWEEN(1, COUNTA($S$2:$S$31)))</f>
        <v>69000</v>
      </c>
      <c r="H575">
        <f t="shared" ca="1" si="76"/>
        <v>5</v>
      </c>
      <c r="I575">
        <f t="shared" ca="1" si="77"/>
        <v>33250</v>
      </c>
      <c r="J575" s="10" t="str">
        <f t="shared" ca="1" si="78"/>
        <v>Online</v>
      </c>
      <c r="K575" s="10">
        <f t="shared" ca="1" si="79"/>
        <v>33250</v>
      </c>
      <c r="L575" s="10">
        <f t="shared" ca="1" si="80"/>
        <v>166250</v>
      </c>
      <c r="M575" s="12" t="str" cm="1">
        <f t="array" aca="1" ref="M575" ca="1">INDEX($R$33:$R$82, RANDBETWEEN(1, COUNTA($R$33:$R$82)))</f>
        <v>NV14</v>
      </c>
      <c r="N575">
        <f t="shared" ca="1" si="81"/>
        <v>21</v>
      </c>
    </row>
    <row r="576" spans="1:14" ht="16.8" x14ac:dyDescent="0.3">
      <c r="A576" s="7" t="str">
        <f t="shared" si="82"/>
        <v>S0575</v>
      </c>
      <c r="B576" s="8">
        <f t="shared" ca="1" si="83"/>
        <v>44434</v>
      </c>
      <c r="C576" s="15" t="str" cm="1">
        <f t="array" aca="1" ref="C576" ca="1">INDEX($Q$2:$Q$31, RANDBETWEEN(1, COUNTA($Q$2:$Q$31)))</f>
        <v xml:space="preserve">Chocolate Freeze </v>
      </c>
      <c r="D576" s="10" t="str" cm="1">
        <f t="array" aca="1" ref="D576" ca="1">INDEX($R$2:$R$310, RANDBETWEEN(1, COUNTA($Q$2:$Q$310)))</f>
        <v>M</v>
      </c>
      <c r="E576">
        <f t="shared" ca="1" si="84"/>
        <v>2</v>
      </c>
      <c r="F576" cm="1">
        <f t="array" aca="1" ref="F576" ca="1">INDEX($S$2:$S$31, RANDBETWEEN(1, COUNTA($S$2:$S$31)))</f>
        <v>55000</v>
      </c>
      <c r="G576" cm="1">
        <f t="array" aca="1" ref="G576" ca="1">INDEX($S$2:$S$31, RANDBETWEEN(1, COUNTA($S$2:$S$31)))</f>
        <v>65000</v>
      </c>
      <c r="H576">
        <f t="shared" ca="1" si="76"/>
        <v>11</v>
      </c>
      <c r="I576">
        <f t="shared" ca="1" si="77"/>
        <v>48950</v>
      </c>
      <c r="J576" s="10" t="str">
        <f t="shared" ca="1" si="78"/>
        <v>Online</v>
      </c>
      <c r="K576" s="10">
        <f t="shared" ca="1" si="79"/>
        <v>48950</v>
      </c>
      <c r="L576" s="10">
        <f t="shared" ca="1" si="80"/>
        <v>97900</v>
      </c>
      <c r="M576" s="12" t="str" cm="1">
        <f t="array" aca="1" ref="M576" ca="1">INDEX($R$33:$R$82, RANDBETWEEN(1, COUNTA($R$33:$R$82)))</f>
        <v>NV38</v>
      </c>
      <c r="N576">
        <f t="shared" ca="1" si="81"/>
        <v>42</v>
      </c>
    </row>
    <row r="577" spans="1:14" ht="16.8" x14ac:dyDescent="0.3">
      <c r="A577" s="7" t="str">
        <f t="shared" si="82"/>
        <v>S0576</v>
      </c>
      <c r="B577" s="8">
        <f t="shared" ca="1" si="83"/>
        <v>44802</v>
      </c>
      <c r="C577" s="15" t="str" cm="1">
        <f t="array" aca="1" ref="C577" ca="1">INDEX($Q$2:$Q$31, RANDBETWEEN(1, COUNTA($Q$2:$Q$31)))</f>
        <v>Classic Phin Freeze</v>
      </c>
      <c r="D577" s="10" t="str" cm="1">
        <f t="array" aca="1" ref="D577" ca="1">INDEX($R$2:$R$310, RANDBETWEEN(1, COUNTA($Q$2:$Q$310)))</f>
        <v>M</v>
      </c>
      <c r="E577">
        <f t="shared" ca="1" si="84"/>
        <v>1</v>
      </c>
      <c r="F577" cm="1">
        <f t="array" aca="1" ref="F577" ca="1">INDEX($S$2:$S$31, RANDBETWEEN(1, COUNTA($S$2:$S$31)))</f>
        <v>49000</v>
      </c>
      <c r="G577" cm="1">
        <f t="array" aca="1" ref="G577" ca="1">INDEX($S$2:$S$31, RANDBETWEEN(1, COUNTA($S$2:$S$31)))</f>
        <v>69000</v>
      </c>
      <c r="H577">
        <f t="shared" ca="1" si="76"/>
        <v>9</v>
      </c>
      <c r="I577">
        <f t="shared" ca="1" si="77"/>
        <v>69000</v>
      </c>
      <c r="J577" s="10" t="str">
        <f t="shared" ca="1" si="78"/>
        <v>Offline</v>
      </c>
      <c r="K577" s="10">
        <f t="shared" ca="1" si="79"/>
        <v>69000</v>
      </c>
      <c r="L577" s="10">
        <f t="shared" ca="1" si="80"/>
        <v>69000</v>
      </c>
      <c r="M577" s="12" t="str" cm="1">
        <f t="array" aca="1" ref="M577" ca="1">INDEX($R$33:$R$82, RANDBETWEEN(1, COUNTA($R$33:$R$82)))</f>
        <v>NV21</v>
      </c>
      <c r="N577">
        <f t="shared" ca="1" si="81"/>
        <v>33</v>
      </c>
    </row>
    <row r="578" spans="1:14" ht="16.8" x14ac:dyDescent="0.3">
      <c r="A578" s="7" t="str">
        <f t="shared" si="82"/>
        <v>S0577</v>
      </c>
      <c r="B578" s="8">
        <f t="shared" ca="1" si="83"/>
        <v>44692</v>
      </c>
      <c r="C578" s="15" t="str" cm="1">
        <f t="array" aca="1" ref="C578" ca="1">INDEX($Q$2:$Q$31, RANDBETWEEN(1, COUNTA($Q$2:$Q$31)))</f>
        <v>Cappuccino</v>
      </c>
      <c r="D578" s="10" t="str" cm="1">
        <f t="array" aca="1" ref="D578" ca="1">INDEX($R$2:$R$310, RANDBETWEEN(1, COUNTA($Q$2:$Q$310)))</f>
        <v>S</v>
      </c>
      <c r="E578">
        <f t="shared" ca="1" si="84"/>
        <v>1</v>
      </c>
      <c r="F578" cm="1">
        <f t="array" aca="1" ref="F578" ca="1">INDEX($S$2:$S$31, RANDBETWEEN(1, COUNTA($S$2:$S$31)))</f>
        <v>35000</v>
      </c>
      <c r="G578" cm="1">
        <f t="array" aca="1" ref="G578" ca="1">INDEX($S$2:$S$31, RANDBETWEEN(1, COUNTA($S$2:$S$31)))</f>
        <v>65000</v>
      </c>
      <c r="H578">
        <f t="shared" ca="1" si="76"/>
        <v>8</v>
      </c>
      <c r="I578">
        <f t="shared" ca="1" si="77"/>
        <v>65000</v>
      </c>
      <c r="J578" s="10" t="str">
        <f t="shared" ca="1" si="78"/>
        <v>Offline</v>
      </c>
      <c r="K578" s="10">
        <f t="shared" ca="1" si="79"/>
        <v>65000</v>
      </c>
      <c r="L578" s="10">
        <f t="shared" ca="1" si="80"/>
        <v>65000</v>
      </c>
      <c r="M578" s="12" t="str" cm="1">
        <f t="array" aca="1" ref="M578" ca="1">INDEX($R$33:$R$82, RANDBETWEEN(1, COUNTA($R$33:$R$82)))</f>
        <v>NV5</v>
      </c>
      <c r="N578">
        <f t="shared" ca="1" si="81"/>
        <v>5</v>
      </c>
    </row>
    <row r="579" spans="1:14" ht="16.8" x14ac:dyDescent="0.3">
      <c r="A579" s="7" t="str">
        <f t="shared" si="82"/>
        <v>S0578</v>
      </c>
      <c r="B579" s="8">
        <f t="shared" ca="1" si="83"/>
        <v>44220</v>
      </c>
      <c r="C579" s="15" t="str" cm="1">
        <f t="array" aca="1" ref="C579" ca="1">INDEX($Q$2:$Q$31, RANDBETWEEN(1, COUNTA($Q$2:$Q$31)))</f>
        <v>Cookies &amp; Cream</v>
      </c>
      <c r="D579" s="10" t="str" cm="1">
        <f t="array" aca="1" ref="D579" ca="1">INDEX($R$2:$R$310, RANDBETWEEN(1, COUNTA($Q$2:$Q$310)))</f>
        <v>L</v>
      </c>
      <c r="E579">
        <f t="shared" ca="1" si="84"/>
        <v>3</v>
      </c>
      <c r="F579" cm="1">
        <f t="array" aca="1" ref="F579" ca="1">INDEX($S$2:$S$31, RANDBETWEEN(1, COUNTA($S$2:$S$31)))</f>
        <v>59000</v>
      </c>
      <c r="G579" cm="1">
        <f t="array" aca="1" ref="G579" ca="1">INDEX($S$2:$S$31, RANDBETWEEN(1, COUNTA($S$2:$S$31)))</f>
        <v>49000</v>
      </c>
      <c r="H579">
        <f t="shared" ref="H579:H642" ca="1" si="85">RANDBETWEEN(5,15)</f>
        <v>14</v>
      </c>
      <c r="I579">
        <f t="shared" ref="I579:I642" ca="1" si="86">IF(J579="Online", F579*(1-H579/100), G579)</f>
        <v>50740</v>
      </c>
      <c r="J579" s="10" t="str">
        <f t="shared" ref="J579:J642" ca="1" si="87">IF(RANDBETWEEN(1,2)=1,"Online","Offline")</f>
        <v>Online</v>
      </c>
      <c r="K579" s="10">
        <f t="shared" ref="K579:K642" ca="1" si="88">I579</f>
        <v>50740</v>
      </c>
      <c r="L579" s="10">
        <f t="shared" ref="L579:L642" ca="1" si="89">E579*K579</f>
        <v>152220</v>
      </c>
      <c r="M579" s="12" t="str" cm="1">
        <f t="array" aca="1" ref="M579" ca="1">INDEX($R$33:$R$82, RANDBETWEEN(1, COUNTA($R$33:$R$82)))</f>
        <v>NV17</v>
      </c>
      <c r="N579">
        <f t="shared" ref="N579:N642" ca="1" si="90" xml:space="preserve"> RANDBETWEEN(2,51)</f>
        <v>42</v>
      </c>
    </row>
    <row r="580" spans="1:14" ht="16.8" x14ac:dyDescent="0.3">
      <c r="A580" s="7" t="str">
        <f t="shared" si="82"/>
        <v>S0579</v>
      </c>
      <c r="B580" s="8">
        <f t="shared" ca="1" si="83"/>
        <v>45031</v>
      </c>
      <c r="C580" s="15" t="str" cm="1">
        <f t="array" aca="1" ref="C580" ca="1">INDEX($Q$2:$Q$31, RANDBETWEEN(1, COUNTA($Q$2:$Q$31)))</f>
        <v>Classic Phin Freeze</v>
      </c>
      <c r="D580" s="10" t="str" cm="1">
        <f t="array" aca="1" ref="D580" ca="1">INDEX($R$2:$R$310, RANDBETWEEN(1, COUNTA($Q$2:$Q$310)))</f>
        <v>M</v>
      </c>
      <c r="E580">
        <f t="shared" ca="1" si="84"/>
        <v>3</v>
      </c>
      <c r="F580" cm="1">
        <f t="array" aca="1" ref="F580" ca="1">INDEX($S$2:$S$31, RANDBETWEEN(1, COUNTA($S$2:$S$31)))</f>
        <v>35000</v>
      </c>
      <c r="G580" cm="1">
        <f t="array" aca="1" ref="G580" ca="1">INDEX($S$2:$S$31, RANDBETWEEN(1, COUNTA($S$2:$S$31)))</f>
        <v>65000</v>
      </c>
      <c r="H580">
        <f t="shared" ca="1" si="85"/>
        <v>10</v>
      </c>
      <c r="I580">
        <f t="shared" ca="1" si="86"/>
        <v>65000</v>
      </c>
      <c r="J580" s="10" t="str">
        <f t="shared" ca="1" si="87"/>
        <v>Offline</v>
      </c>
      <c r="K580" s="10">
        <f t="shared" ca="1" si="88"/>
        <v>65000</v>
      </c>
      <c r="L580" s="10">
        <f t="shared" ca="1" si="89"/>
        <v>195000</v>
      </c>
      <c r="M580" s="12" t="str" cm="1">
        <f t="array" aca="1" ref="M580" ca="1">INDEX($R$33:$R$82, RANDBETWEEN(1, COUNTA($R$33:$R$82)))</f>
        <v>NV38</v>
      </c>
      <c r="N580">
        <f t="shared" ca="1" si="90"/>
        <v>15</v>
      </c>
    </row>
    <row r="581" spans="1:14" ht="16.8" x14ac:dyDescent="0.3">
      <c r="A581" s="7" t="str">
        <f t="shared" si="82"/>
        <v>S0580</v>
      </c>
      <c r="B581" s="8">
        <f t="shared" ca="1" si="83"/>
        <v>45082</v>
      </c>
      <c r="C581" s="15" t="str" cm="1">
        <f t="array" aca="1" ref="C581" ca="1">INDEX($Q$2:$Q$31, RANDBETWEEN(1, COUNTA($Q$2:$Q$31)))</f>
        <v xml:space="preserve">Chocolate Freeze </v>
      </c>
      <c r="D581" s="10" t="str" cm="1">
        <f t="array" aca="1" ref="D581" ca="1">INDEX($R$2:$R$310, RANDBETWEEN(1, COUNTA($Q$2:$Q$310)))</f>
        <v>M</v>
      </c>
      <c r="E581">
        <f t="shared" ca="1" si="84"/>
        <v>2</v>
      </c>
      <c r="F581" cm="1">
        <f t="array" aca="1" ref="F581" ca="1">INDEX($S$2:$S$31, RANDBETWEEN(1, COUNTA($S$2:$S$31)))</f>
        <v>55000</v>
      </c>
      <c r="G581" cm="1">
        <f t="array" aca="1" ref="G581" ca="1">INDEX($S$2:$S$31, RANDBETWEEN(1, COUNTA($S$2:$S$31)))</f>
        <v>29000</v>
      </c>
      <c r="H581">
        <f t="shared" ca="1" si="85"/>
        <v>13</v>
      </c>
      <c r="I581">
        <f t="shared" ca="1" si="86"/>
        <v>29000</v>
      </c>
      <c r="J581" s="10" t="str">
        <f t="shared" ca="1" si="87"/>
        <v>Offline</v>
      </c>
      <c r="K581" s="10">
        <f t="shared" ca="1" si="88"/>
        <v>29000</v>
      </c>
      <c r="L581" s="10">
        <f t="shared" ca="1" si="89"/>
        <v>58000</v>
      </c>
      <c r="M581" s="12" t="str" cm="1">
        <f t="array" aca="1" ref="M581" ca="1">INDEX($R$33:$R$82, RANDBETWEEN(1, COUNTA($R$33:$R$82)))</f>
        <v>NV46</v>
      </c>
      <c r="N581">
        <f t="shared" ca="1" si="90"/>
        <v>48</v>
      </c>
    </row>
    <row r="582" spans="1:14" ht="16.8" x14ac:dyDescent="0.3">
      <c r="A582" s="7" t="str">
        <f t="shared" si="82"/>
        <v>S0581</v>
      </c>
      <c r="B582" s="8">
        <f t="shared" ca="1" si="83"/>
        <v>45240</v>
      </c>
      <c r="C582" s="15" t="str" cm="1">
        <f t="array" aca="1" ref="C582" ca="1">INDEX($Q$2:$Q$31, RANDBETWEEN(1, COUNTA($Q$2:$Q$31)))</f>
        <v xml:space="preserve">Chocolate Freeze </v>
      </c>
      <c r="D582" s="10" t="str" cm="1">
        <f t="array" aca="1" ref="D582" ca="1">INDEX($R$2:$R$310, RANDBETWEEN(1, COUNTA($Q$2:$Q$310)))</f>
        <v>M</v>
      </c>
      <c r="E582">
        <f t="shared" ca="1" si="84"/>
        <v>3</v>
      </c>
      <c r="F582" cm="1">
        <f t="array" aca="1" ref="F582" ca="1">INDEX($S$2:$S$31, RANDBETWEEN(1, COUNTA($S$2:$S$31)))</f>
        <v>59000</v>
      </c>
      <c r="G582" cm="1">
        <f t="array" aca="1" ref="G582" ca="1">INDEX($S$2:$S$31, RANDBETWEEN(1, COUNTA($S$2:$S$31)))</f>
        <v>55000</v>
      </c>
      <c r="H582">
        <f t="shared" ca="1" si="85"/>
        <v>12</v>
      </c>
      <c r="I582">
        <f t="shared" ca="1" si="86"/>
        <v>51920</v>
      </c>
      <c r="J582" s="10" t="str">
        <f t="shared" ca="1" si="87"/>
        <v>Online</v>
      </c>
      <c r="K582" s="10">
        <f t="shared" ca="1" si="88"/>
        <v>51920</v>
      </c>
      <c r="L582" s="10">
        <f t="shared" ca="1" si="89"/>
        <v>155760</v>
      </c>
      <c r="M582" s="12" t="str" cm="1">
        <f t="array" aca="1" ref="M582" ca="1">INDEX($R$33:$R$82, RANDBETWEEN(1, COUNTA($R$33:$R$82)))</f>
        <v>NV33</v>
      </c>
      <c r="N582">
        <f t="shared" ca="1" si="90"/>
        <v>11</v>
      </c>
    </row>
    <row r="583" spans="1:14" ht="16.8" x14ac:dyDescent="0.3">
      <c r="A583" s="7" t="str">
        <f t="shared" si="82"/>
        <v>S0582</v>
      </c>
      <c r="B583" s="8">
        <f t="shared" ca="1" si="83"/>
        <v>44746</v>
      </c>
      <c r="C583" s="15" t="str" cm="1">
        <f t="array" aca="1" ref="C583" ca="1">INDEX($Q$2:$Q$31, RANDBETWEEN(1, COUNTA($Q$2:$Q$31)))</f>
        <v>Caramel Phin Freeze</v>
      </c>
      <c r="D583" s="10" t="str" cm="1">
        <f t="array" aca="1" ref="D583" ca="1">INDEX($R$2:$R$310, RANDBETWEEN(1, COUNTA($Q$2:$Q$310)))</f>
        <v>L</v>
      </c>
      <c r="E583">
        <f t="shared" ca="1" si="84"/>
        <v>1</v>
      </c>
      <c r="F583" cm="1">
        <f t="array" aca="1" ref="F583" ca="1">INDEX($S$2:$S$31, RANDBETWEEN(1, COUNTA($S$2:$S$31)))</f>
        <v>59000</v>
      </c>
      <c r="G583" cm="1">
        <f t="array" aca="1" ref="G583" ca="1">INDEX($S$2:$S$31, RANDBETWEEN(1, COUNTA($S$2:$S$31)))</f>
        <v>39000</v>
      </c>
      <c r="H583">
        <f t="shared" ca="1" si="85"/>
        <v>12</v>
      </c>
      <c r="I583">
        <f t="shared" ca="1" si="86"/>
        <v>39000</v>
      </c>
      <c r="J583" s="10" t="str">
        <f t="shared" ca="1" si="87"/>
        <v>Offline</v>
      </c>
      <c r="K583" s="10">
        <f t="shared" ca="1" si="88"/>
        <v>39000</v>
      </c>
      <c r="L583" s="10">
        <f t="shared" ca="1" si="89"/>
        <v>39000</v>
      </c>
      <c r="M583" s="12" t="str" cm="1">
        <f t="array" aca="1" ref="M583" ca="1">INDEX($R$33:$R$82, RANDBETWEEN(1, COUNTA($R$33:$R$82)))</f>
        <v>NV9</v>
      </c>
      <c r="N583">
        <f t="shared" ca="1" si="90"/>
        <v>45</v>
      </c>
    </row>
    <row r="584" spans="1:14" ht="16.8" x14ac:dyDescent="0.3">
      <c r="A584" s="7" t="str">
        <f t="shared" si="82"/>
        <v>S0583</v>
      </c>
      <c r="B584" s="8">
        <f t="shared" ca="1" si="83"/>
        <v>44980</v>
      </c>
      <c r="C584" s="15" t="str" cm="1">
        <f t="array" aca="1" ref="C584" ca="1">INDEX($Q$2:$Q$31, RANDBETWEEN(1, COUNTA($Q$2:$Q$31)))</f>
        <v>Latte</v>
      </c>
      <c r="D584" s="10" t="str" cm="1">
        <f t="array" aca="1" ref="D584" ca="1">INDEX($R$2:$R$310, RANDBETWEEN(1, COUNTA($Q$2:$Q$310)))</f>
        <v>S</v>
      </c>
      <c r="E584">
        <f t="shared" ca="1" si="84"/>
        <v>1</v>
      </c>
      <c r="F584" cm="1">
        <f t="array" aca="1" ref="F584" ca="1">INDEX($S$2:$S$31, RANDBETWEEN(1, COUNTA($S$2:$S$31)))</f>
        <v>49000</v>
      </c>
      <c r="G584" cm="1">
        <f t="array" aca="1" ref="G584" ca="1">INDEX($S$2:$S$31, RANDBETWEEN(1, COUNTA($S$2:$S$31)))</f>
        <v>75000</v>
      </c>
      <c r="H584">
        <f t="shared" ca="1" si="85"/>
        <v>15</v>
      </c>
      <c r="I584">
        <f t="shared" ca="1" si="86"/>
        <v>41650</v>
      </c>
      <c r="J584" s="10" t="str">
        <f t="shared" ca="1" si="87"/>
        <v>Online</v>
      </c>
      <c r="K584" s="10">
        <f t="shared" ca="1" si="88"/>
        <v>41650</v>
      </c>
      <c r="L584" s="10">
        <f t="shared" ca="1" si="89"/>
        <v>41650</v>
      </c>
      <c r="M584" s="12" t="str" cm="1">
        <f t="array" aca="1" ref="M584" ca="1">INDEX($R$33:$R$82, RANDBETWEEN(1, COUNTA($R$33:$R$82)))</f>
        <v>NV27</v>
      </c>
      <c r="N584">
        <f t="shared" ca="1" si="90"/>
        <v>18</v>
      </c>
    </row>
    <row r="585" spans="1:14" ht="16.8" x14ac:dyDescent="0.3">
      <c r="A585" s="7" t="str">
        <f t="shared" si="82"/>
        <v>S0584</v>
      </c>
      <c r="B585" s="8">
        <f t="shared" ca="1" si="83"/>
        <v>45227</v>
      </c>
      <c r="C585" s="15" t="str" cm="1">
        <f t="array" aca="1" ref="C585" ca="1">INDEX($Q$2:$Q$31, RANDBETWEEN(1, COUNTA($Q$2:$Q$31)))</f>
        <v>Latte</v>
      </c>
      <c r="D585" s="10" t="str" cm="1">
        <f t="array" aca="1" ref="D585" ca="1">INDEX($R$2:$R$310, RANDBETWEEN(1, COUNTA($Q$2:$Q$310)))</f>
        <v>S</v>
      </c>
      <c r="E585">
        <f t="shared" ca="1" si="84"/>
        <v>2</v>
      </c>
      <c r="F585" cm="1">
        <f t="array" aca="1" ref="F585" ca="1">INDEX($S$2:$S$31, RANDBETWEEN(1, COUNTA($S$2:$S$31)))</f>
        <v>49000</v>
      </c>
      <c r="G585" cm="1">
        <f t="array" aca="1" ref="G585" ca="1">INDEX($S$2:$S$31, RANDBETWEEN(1, COUNTA($S$2:$S$31)))</f>
        <v>45000</v>
      </c>
      <c r="H585">
        <f t="shared" ca="1" si="85"/>
        <v>11</v>
      </c>
      <c r="I585">
        <f t="shared" ca="1" si="86"/>
        <v>45000</v>
      </c>
      <c r="J585" s="10" t="str">
        <f t="shared" ca="1" si="87"/>
        <v>Offline</v>
      </c>
      <c r="K585" s="10">
        <f t="shared" ca="1" si="88"/>
        <v>45000</v>
      </c>
      <c r="L585" s="10">
        <f t="shared" ca="1" si="89"/>
        <v>90000</v>
      </c>
      <c r="M585" s="12" t="str" cm="1">
        <f t="array" aca="1" ref="M585" ca="1">INDEX($R$33:$R$82, RANDBETWEEN(1, COUNTA($R$33:$R$82)))</f>
        <v>NV43</v>
      </c>
      <c r="N585">
        <f t="shared" ca="1" si="90"/>
        <v>4</v>
      </c>
    </row>
    <row r="586" spans="1:14" ht="16.8" x14ac:dyDescent="0.3">
      <c r="A586" s="7" t="str">
        <f t="shared" si="82"/>
        <v>S0585</v>
      </c>
      <c r="B586" s="8">
        <f t="shared" ca="1" si="83"/>
        <v>44520</v>
      </c>
      <c r="C586" s="15" t="str" cm="1">
        <f t="array" aca="1" ref="C586" ca="1">INDEX($Q$2:$Q$31, RANDBETWEEN(1, COUNTA($Q$2:$Q$31)))</f>
        <v>Cookies &amp; Cream</v>
      </c>
      <c r="D586" s="10" t="str" cm="1">
        <f t="array" aca="1" ref="D586" ca="1">INDEX($R$2:$R$310, RANDBETWEEN(1, COUNTA($Q$2:$Q$310)))</f>
        <v>S</v>
      </c>
      <c r="E586">
        <f t="shared" ca="1" si="84"/>
        <v>3</v>
      </c>
      <c r="F586" cm="1">
        <f t="array" aca="1" ref="F586" ca="1">INDEX($S$2:$S$31, RANDBETWEEN(1, COUNTA($S$2:$S$31)))</f>
        <v>59000</v>
      </c>
      <c r="G586" cm="1">
        <f t="array" aca="1" ref="G586" ca="1">INDEX($S$2:$S$31, RANDBETWEEN(1, COUNTA($S$2:$S$31)))</f>
        <v>49000</v>
      </c>
      <c r="H586">
        <f t="shared" ca="1" si="85"/>
        <v>14</v>
      </c>
      <c r="I586">
        <f t="shared" ca="1" si="86"/>
        <v>49000</v>
      </c>
      <c r="J586" s="10" t="str">
        <f t="shared" ca="1" si="87"/>
        <v>Offline</v>
      </c>
      <c r="K586" s="10">
        <f t="shared" ca="1" si="88"/>
        <v>49000</v>
      </c>
      <c r="L586" s="10">
        <f t="shared" ca="1" si="89"/>
        <v>147000</v>
      </c>
      <c r="M586" s="12" t="str" cm="1">
        <f t="array" aca="1" ref="M586" ca="1">INDEX($R$33:$R$82, RANDBETWEEN(1, COUNTA($R$33:$R$82)))</f>
        <v>NV26</v>
      </c>
      <c r="N586">
        <f t="shared" ca="1" si="90"/>
        <v>21</v>
      </c>
    </row>
    <row r="587" spans="1:14" ht="16.8" x14ac:dyDescent="0.3">
      <c r="A587" s="7" t="str">
        <f t="shared" si="82"/>
        <v>S0586</v>
      </c>
      <c r="B587" s="8">
        <f t="shared" ca="1" si="83"/>
        <v>44455</v>
      </c>
      <c r="C587" s="15" t="str" cm="1">
        <f t="array" aca="1" ref="C587" ca="1">INDEX($Q$2:$Q$31, RANDBETWEEN(1, COUNTA($Q$2:$Q$31)))</f>
        <v>Caramel Phin Freeze</v>
      </c>
      <c r="D587" s="10" t="str" cm="1">
        <f t="array" aca="1" ref="D587" ca="1">INDEX($R$2:$R$310, RANDBETWEEN(1, COUNTA($Q$2:$Q$310)))</f>
        <v>S</v>
      </c>
      <c r="E587">
        <f t="shared" ca="1" si="84"/>
        <v>4</v>
      </c>
      <c r="F587" cm="1">
        <f t="array" aca="1" ref="F587" ca="1">INDEX($S$2:$S$31, RANDBETWEEN(1, COUNTA($S$2:$S$31)))</f>
        <v>69000</v>
      </c>
      <c r="G587" cm="1">
        <f t="array" aca="1" ref="G587" ca="1">INDEX($S$2:$S$31, RANDBETWEEN(1, COUNTA($S$2:$S$31)))</f>
        <v>39000</v>
      </c>
      <c r="H587">
        <f t="shared" ca="1" si="85"/>
        <v>5</v>
      </c>
      <c r="I587">
        <f t="shared" ca="1" si="86"/>
        <v>39000</v>
      </c>
      <c r="J587" s="10" t="str">
        <f t="shared" ca="1" si="87"/>
        <v>Offline</v>
      </c>
      <c r="K587" s="10">
        <f t="shared" ca="1" si="88"/>
        <v>39000</v>
      </c>
      <c r="L587" s="10">
        <f t="shared" ca="1" si="89"/>
        <v>156000</v>
      </c>
      <c r="M587" s="12" t="str" cm="1">
        <f t="array" aca="1" ref="M587" ca="1">INDEX($R$33:$R$82, RANDBETWEEN(1, COUNTA($R$33:$R$82)))</f>
        <v>NV48</v>
      </c>
      <c r="N587">
        <f t="shared" ca="1" si="90"/>
        <v>11</v>
      </c>
    </row>
    <row r="588" spans="1:14" ht="16.8" x14ac:dyDescent="0.3">
      <c r="A588" s="7" t="str">
        <f t="shared" si="82"/>
        <v>S0587</v>
      </c>
      <c r="B588" s="8">
        <f t="shared" ca="1" si="83"/>
        <v>44444</v>
      </c>
      <c r="C588" s="15" t="str" cm="1">
        <f t="array" aca="1" ref="C588" ca="1">INDEX($Q$2:$Q$31, RANDBETWEEN(1, COUNTA($Q$2:$Q$31)))</f>
        <v>Iced Black Coffee</v>
      </c>
      <c r="D588" s="10" t="str" cm="1">
        <f t="array" aca="1" ref="D588" ca="1">INDEX($R$2:$R$310, RANDBETWEEN(1, COUNTA($Q$2:$Q$310)))</f>
        <v>M</v>
      </c>
      <c r="E588">
        <f t="shared" ca="1" si="84"/>
        <v>2</v>
      </c>
      <c r="F588" cm="1">
        <f t="array" aca="1" ref="F588" ca="1">INDEX($S$2:$S$31, RANDBETWEEN(1, COUNTA($S$2:$S$31)))</f>
        <v>65000</v>
      </c>
      <c r="G588" cm="1">
        <f t="array" aca="1" ref="G588" ca="1">INDEX($S$2:$S$31, RANDBETWEEN(1, COUNTA($S$2:$S$31)))</f>
        <v>35000</v>
      </c>
      <c r="H588">
        <f t="shared" ca="1" si="85"/>
        <v>11</v>
      </c>
      <c r="I588">
        <f t="shared" ca="1" si="86"/>
        <v>57850</v>
      </c>
      <c r="J588" s="10" t="str">
        <f t="shared" ca="1" si="87"/>
        <v>Online</v>
      </c>
      <c r="K588" s="10">
        <f t="shared" ca="1" si="88"/>
        <v>57850</v>
      </c>
      <c r="L588" s="10">
        <f t="shared" ca="1" si="89"/>
        <v>115700</v>
      </c>
      <c r="M588" s="12" t="str" cm="1">
        <f t="array" aca="1" ref="M588" ca="1">INDEX($R$33:$R$82, RANDBETWEEN(1, COUNTA($R$33:$R$82)))</f>
        <v>NV20</v>
      </c>
      <c r="N588">
        <f t="shared" ca="1" si="90"/>
        <v>22</v>
      </c>
    </row>
    <row r="589" spans="1:14" ht="16.8" x14ac:dyDescent="0.3">
      <c r="A589" s="7" t="str">
        <f t="shared" si="82"/>
        <v>S0588</v>
      </c>
      <c r="B589" s="8">
        <f t="shared" ca="1" si="83"/>
        <v>44214</v>
      </c>
      <c r="C589" s="15" t="str" cm="1">
        <f t="array" aca="1" ref="C589" ca="1">INDEX($Q$2:$Q$31, RANDBETWEEN(1, COUNTA($Q$2:$Q$31)))</f>
        <v>Latte</v>
      </c>
      <c r="D589" s="10" t="str" cm="1">
        <f t="array" aca="1" ref="D589" ca="1">INDEX($R$2:$R$310, RANDBETWEEN(1, COUNTA($Q$2:$Q$310)))</f>
        <v>L</v>
      </c>
      <c r="E589">
        <f t="shared" ca="1" si="84"/>
        <v>1</v>
      </c>
      <c r="F589" cm="1">
        <f t="array" aca="1" ref="F589" ca="1">INDEX($S$2:$S$31, RANDBETWEEN(1, COUNTA($S$2:$S$31)))</f>
        <v>35000</v>
      </c>
      <c r="G589" cm="1">
        <f t="array" aca="1" ref="G589" ca="1">INDEX($S$2:$S$31, RANDBETWEEN(1, COUNTA($S$2:$S$31)))</f>
        <v>65000</v>
      </c>
      <c r="H589">
        <f t="shared" ca="1" si="85"/>
        <v>13</v>
      </c>
      <c r="I589">
        <f t="shared" ca="1" si="86"/>
        <v>30450</v>
      </c>
      <c r="J589" s="10" t="str">
        <f t="shared" ca="1" si="87"/>
        <v>Online</v>
      </c>
      <c r="K589" s="10">
        <f t="shared" ca="1" si="88"/>
        <v>30450</v>
      </c>
      <c r="L589" s="10">
        <f t="shared" ca="1" si="89"/>
        <v>30450</v>
      </c>
      <c r="M589" s="12" t="str" cm="1">
        <f t="array" aca="1" ref="M589" ca="1">INDEX($R$33:$R$82, RANDBETWEEN(1, COUNTA($R$33:$R$82)))</f>
        <v>NV9</v>
      </c>
      <c r="N589">
        <f t="shared" ca="1" si="90"/>
        <v>28</v>
      </c>
    </row>
    <row r="590" spans="1:14" ht="16.8" x14ac:dyDescent="0.3">
      <c r="A590" s="7" t="str">
        <f t="shared" si="82"/>
        <v>S0589</v>
      </c>
      <c r="B590" s="8">
        <f t="shared" ca="1" si="83"/>
        <v>44873</v>
      </c>
      <c r="C590" s="15" t="str" cm="1">
        <f t="array" aca="1" ref="C590" ca="1">INDEX($Q$2:$Q$31, RANDBETWEEN(1, COUNTA($Q$2:$Q$31)))</f>
        <v>Classic Phin Freeze</v>
      </c>
      <c r="D590" s="10" t="str" cm="1">
        <f t="array" aca="1" ref="D590" ca="1">INDEX($R$2:$R$310, RANDBETWEEN(1, COUNTA($Q$2:$Q$310)))</f>
        <v>M</v>
      </c>
      <c r="E590">
        <f t="shared" ca="1" si="84"/>
        <v>4</v>
      </c>
      <c r="F590" cm="1">
        <f t="array" aca="1" ref="F590" ca="1">INDEX($S$2:$S$31, RANDBETWEEN(1, COUNTA($S$2:$S$31)))</f>
        <v>69000</v>
      </c>
      <c r="G590" cm="1">
        <f t="array" aca="1" ref="G590" ca="1">INDEX($S$2:$S$31, RANDBETWEEN(1, COUNTA($S$2:$S$31)))</f>
        <v>45000</v>
      </c>
      <c r="H590">
        <f t="shared" ca="1" si="85"/>
        <v>8</v>
      </c>
      <c r="I590">
        <f t="shared" ca="1" si="86"/>
        <v>45000</v>
      </c>
      <c r="J590" s="10" t="str">
        <f t="shared" ca="1" si="87"/>
        <v>Offline</v>
      </c>
      <c r="K590" s="10">
        <f t="shared" ca="1" si="88"/>
        <v>45000</v>
      </c>
      <c r="L590" s="10">
        <f t="shared" ca="1" si="89"/>
        <v>180000</v>
      </c>
      <c r="M590" s="12" t="str" cm="1">
        <f t="array" aca="1" ref="M590" ca="1">INDEX($R$33:$R$82, RANDBETWEEN(1, COUNTA($R$33:$R$82)))</f>
        <v>NV38</v>
      </c>
      <c r="N590">
        <f t="shared" ca="1" si="90"/>
        <v>36</v>
      </c>
    </row>
    <row r="591" spans="1:14" ht="16.8" x14ac:dyDescent="0.3">
      <c r="A591" s="7" t="str">
        <f t="shared" si="82"/>
        <v>S0590</v>
      </c>
      <c r="B591" s="8">
        <f t="shared" ca="1" si="83"/>
        <v>44378</v>
      </c>
      <c r="C591" s="15" t="str" cm="1">
        <f t="array" aca="1" ref="C591" ca="1">INDEX($Q$2:$Q$31, RANDBETWEEN(1, COUNTA($Q$2:$Q$31)))</f>
        <v>Latte</v>
      </c>
      <c r="D591" s="10" t="str" cm="1">
        <f t="array" aca="1" ref="D591" ca="1">INDEX($R$2:$R$310, RANDBETWEEN(1, COUNTA($Q$2:$Q$310)))</f>
        <v>S</v>
      </c>
      <c r="E591">
        <f t="shared" ca="1" si="84"/>
        <v>2</v>
      </c>
      <c r="F591" cm="1">
        <f t="array" aca="1" ref="F591" ca="1">INDEX($S$2:$S$31, RANDBETWEEN(1, COUNTA($S$2:$S$31)))</f>
        <v>65000</v>
      </c>
      <c r="G591" cm="1">
        <f t="array" aca="1" ref="G591" ca="1">INDEX($S$2:$S$31, RANDBETWEEN(1, COUNTA($S$2:$S$31)))</f>
        <v>65000</v>
      </c>
      <c r="H591">
        <f t="shared" ca="1" si="85"/>
        <v>11</v>
      </c>
      <c r="I591">
        <f t="shared" ca="1" si="86"/>
        <v>65000</v>
      </c>
      <c r="J591" s="10" t="str">
        <f t="shared" ca="1" si="87"/>
        <v>Offline</v>
      </c>
      <c r="K591" s="10">
        <f t="shared" ca="1" si="88"/>
        <v>65000</v>
      </c>
      <c r="L591" s="10">
        <f t="shared" ca="1" si="89"/>
        <v>130000</v>
      </c>
      <c r="M591" s="12" t="str" cm="1">
        <f t="array" aca="1" ref="M591" ca="1">INDEX($R$33:$R$82, RANDBETWEEN(1, COUNTA($R$33:$R$82)))</f>
        <v>NV49</v>
      </c>
      <c r="N591">
        <f t="shared" ca="1" si="90"/>
        <v>47</v>
      </c>
    </row>
    <row r="592" spans="1:14" ht="16.8" x14ac:dyDescent="0.3">
      <c r="A592" s="7" t="str">
        <f t="shared" si="82"/>
        <v>S0591</v>
      </c>
      <c r="B592" s="8">
        <f t="shared" ca="1" si="83"/>
        <v>45016</v>
      </c>
      <c r="C592" s="15" t="str" cm="1">
        <f t="array" aca="1" ref="C592" ca="1">INDEX($Q$2:$Q$31, RANDBETWEEN(1, COUNTA($Q$2:$Q$31)))</f>
        <v xml:space="preserve">Green Tea Freeze </v>
      </c>
      <c r="D592" s="10" t="str" cm="1">
        <f t="array" aca="1" ref="D592" ca="1">INDEX($R$2:$R$310, RANDBETWEEN(1, COUNTA($Q$2:$Q$310)))</f>
        <v>S</v>
      </c>
      <c r="E592">
        <f t="shared" ca="1" si="84"/>
        <v>4</v>
      </c>
      <c r="F592" cm="1">
        <f t="array" aca="1" ref="F592" ca="1">INDEX($S$2:$S$31, RANDBETWEEN(1, COUNTA($S$2:$S$31)))</f>
        <v>49000</v>
      </c>
      <c r="G592" cm="1">
        <f t="array" aca="1" ref="G592" ca="1">INDEX($S$2:$S$31, RANDBETWEEN(1, COUNTA($S$2:$S$31)))</f>
        <v>55000</v>
      </c>
      <c r="H592">
        <f t="shared" ca="1" si="85"/>
        <v>5</v>
      </c>
      <c r="I592">
        <f t="shared" ca="1" si="86"/>
        <v>55000</v>
      </c>
      <c r="J592" s="10" t="str">
        <f t="shared" ca="1" si="87"/>
        <v>Offline</v>
      </c>
      <c r="K592" s="10">
        <f t="shared" ca="1" si="88"/>
        <v>55000</v>
      </c>
      <c r="L592" s="10">
        <f t="shared" ca="1" si="89"/>
        <v>220000</v>
      </c>
      <c r="M592" s="12" t="str" cm="1">
        <f t="array" aca="1" ref="M592" ca="1">INDEX($R$33:$R$82, RANDBETWEEN(1, COUNTA($R$33:$R$82)))</f>
        <v>NV16</v>
      </c>
      <c r="N592">
        <f t="shared" ca="1" si="90"/>
        <v>14</v>
      </c>
    </row>
    <row r="593" spans="1:14" ht="16.8" x14ac:dyDescent="0.3">
      <c r="A593" s="7" t="str">
        <f t="shared" si="82"/>
        <v>S0592</v>
      </c>
      <c r="B593" s="8">
        <f t="shared" ca="1" si="83"/>
        <v>45148</v>
      </c>
      <c r="C593" s="15" t="str" cm="1">
        <f t="array" aca="1" ref="C593" ca="1">INDEX($Q$2:$Q$31, RANDBETWEEN(1, COUNTA($Q$2:$Q$31)))</f>
        <v xml:space="preserve">Green Tea Freeze </v>
      </c>
      <c r="D593" s="10" t="str" cm="1">
        <f t="array" aca="1" ref="D593" ca="1">INDEX($R$2:$R$310, RANDBETWEEN(1, COUNTA($Q$2:$Q$310)))</f>
        <v>M</v>
      </c>
      <c r="E593">
        <f t="shared" ca="1" si="84"/>
        <v>2</v>
      </c>
      <c r="F593" cm="1">
        <f t="array" aca="1" ref="F593" ca="1">INDEX($S$2:$S$31, RANDBETWEEN(1, COUNTA($S$2:$S$31)))</f>
        <v>49000</v>
      </c>
      <c r="G593" cm="1">
        <f t="array" aca="1" ref="G593" ca="1">INDEX($S$2:$S$31, RANDBETWEEN(1, COUNTA($S$2:$S$31)))</f>
        <v>49000</v>
      </c>
      <c r="H593">
        <f t="shared" ca="1" si="85"/>
        <v>5</v>
      </c>
      <c r="I593">
        <f t="shared" ca="1" si="86"/>
        <v>49000</v>
      </c>
      <c r="J593" s="10" t="str">
        <f t="shared" ca="1" si="87"/>
        <v>Offline</v>
      </c>
      <c r="K593" s="10">
        <f t="shared" ca="1" si="88"/>
        <v>49000</v>
      </c>
      <c r="L593" s="10">
        <f t="shared" ca="1" si="89"/>
        <v>98000</v>
      </c>
      <c r="M593" s="12" t="str" cm="1">
        <f t="array" aca="1" ref="M593" ca="1">INDEX($R$33:$R$82, RANDBETWEEN(1, COUNTA($R$33:$R$82)))</f>
        <v>NV8</v>
      </c>
      <c r="N593">
        <f t="shared" ca="1" si="90"/>
        <v>20</v>
      </c>
    </row>
    <row r="594" spans="1:14" ht="16.8" x14ac:dyDescent="0.3">
      <c r="A594" s="7" t="str">
        <f t="shared" si="82"/>
        <v>S0593</v>
      </c>
      <c r="B594" s="8">
        <f t="shared" ca="1" si="83"/>
        <v>44593</v>
      </c>
      <c r="C594" s="15" t="str" cm="1">
        <f t="array" aca="1" ref="C594" ca="1">INDEX($Q$2:$Q$31, RANDBETWEEN(1, COUNTA($Q$2:$Q$31)))</f>
        <v xml:space="preserve">Chocolate Freeze </v>
      </c>
      <c r="D594" s="10" t="str" cm="1">
        <f t="array" aca="1" ref="D594" ca="1">INDEX($R$2:$R$310, RANDBETWEEN(1, COUNTA($Q$2:$Q$310)))</f>
        <v>M</v>
      </c>
      <c r="E594">
        <f t="shared" ca="1" si="84"/>
        <v>3</v>
      </c>
      <c r="F594" cm="1">
        <f t="array" aca="1" ref="F594" ca="1">INDEX($S$2:$S$31, RANDBETWEEN(1, COUNTA($S$2:$S$31)))</f>
        <v>45000</v>
      </c>
      <c r="G594" cm="1">
        <f t="array" aca="1" ref="G594" ca="1">INDEX($S$2:$S$31, RANDBETWEEN(1, COUNTA($S$2:$S$31)))</f>
        <v>69000</v>
      </c>
      <c r="H594">
        <f t="shared" ca="1" si="85"/>
        <v>14</v>
      </c>
      <c r="I594">
        <f t="shared" ca="1" si="86"/>
        <v>38700</v>
      </c>
      <c r="J594" s="10" t="str">
        <f t="shared" ca="1" si="87"/>
        <v>Online</v>
      </c>
      <c r="K594" s="10">
        <f t="shared" ca="1" si="88"/>
        <v>38700</v>
      </c>
      <c r="L594" s="10">
        <f t="shared" ca="1" si="89"/>
        <v>116100</v>
      </c>
      <c r="M594" s="12" t="str" cm="1">
        <f t="array" aca="1" ref="M594" ca="1">INDEX($R$33:$R$82, RANDBETWEEN(1, COUNTA($R$33:$R$82)))</f>
        <v>NV36</v>
      </c>
      <c r="N594">
        <f t="shared" ca="1" si="90"/>
        <v>47</v>
      </c>
    </row>
    <row r="595" spans="1:14" ht="16.8" x14ac:dyDescent="0.3">
      <c r="A595" s="7" t="str">
        <f t="shared" si="82"/>
        <v>S0594</v>
      </c>
      <c r="B595" s="8">
        <f t="shared" ca="1" si="83"/>
        <v>44480</v>
      </c>
      <c r="C595" s="15" t="str" cm="1">
        <f t="array" aca="1" ref="C595" ca="1">INDEX($Q$2:$Q$31, RANDBETWEEN(1, COUNTA($Q$2:$Q$31)))</f>
        <v xml:space="preserve">Chocolate Freeze </v>
      </c>
      <c r="D595" s="10" t="str" cm="1">
        <f t="array" aca="1" ref="D595" ca="1">INDEX($R$2:$R$310, RANDBETWEEN(1, COUNTA($Q$2:$Q$310)))</f>
        <v>M</v>
      </c>
      <c r="E595">
        <f t="shared" ca="1" si="84"/>
        <v>1</v>
      </c>
      <c r="F595" cm="1">
        <f t="array" aca="1" ref="F595" ca="1">INDEX($S$2:$S$31, RANDBETWEEN(1, COUNTA($S$2:$S$31)))</f>
        <v>59000</v>
      </c>
      <c r="G595" cm="1">
        <f t="array" aca="1" ref="G595" ca="1">INDEX($S$2:$S$31, RANDBETWEEN(1, COUNTA($S$2:$S$31)))</f>
        <v>49000</v>
      </c>
      <c r="H595">
        <f t="shared" ca="1" si="85"/>
        <v>11</v>
      </c>
      <c r="I595">
        <f t="shared" ca="1" si="86"/>
        <v>52510</v>
      </c>
      <c r="J595" s="10" t="str">
        <f t="shared" ca="1" si="87"/>
        <v>Online</v>
      </c>
      <c r="K595" s="10">
        <f t="shared" ca="1" si="88"/>
        <v>52510</v>
      </c>
      <c r="L595" s="10">
        <f t="shared" ca="1" si="89"/>
        <v>52510</v>
      </c>
      <c r="M595" s="12" t="str" cm="1">
        <f t="array" aca="1" ref="M595" ca="1">INDEX($R$33:$R$82, RANDBETWEEN(1, COUNTA($R$33:$R$82)))</f>
        <v>NV4</v>
      </c>
      <c r="N595">
        <f t="shared" ca="1" si="90"/>
        <v>40</v>
      </c>
    </row>
    <row r="596" spans="1:14" ht="16.8" x14ac:dyDescent="0.3">
      <c r="A596" s="7" t="str">
        <f t="shared" si="82"/>
        <v>S0595</v>
      </c>
      <c r="B596" s="8">
        <f t="shared" ca="1" si="83"/>
        <v>44880</v>
      </c>
      <c r="C596" s="15" t="str" cm="1">
        <f t="array" aca="1" ref="C596" ca="1">INDEX($Q$2:$Q$31, RANDBETWEEN(1, COUNTA($Q$2:$Q$31)))</f>
        <v>Latte</v>
      </c>
      <c r="D596" s="10" t="str" cm="1">
        <f t="array" aca="1" ref="D596" ca="1">INDEX($R$2:$R$310, RANDBETWEEN(1, COUNTA($Q$2:$Q$310)))</f>
        <v>M</v>
      </c>
      <c r="E596">
        <f t="shared" ca="1" si="84"/>
        <v>1</v>
      </c>
      <c r="F596" cm="1">
        <f t="array" aca="1" ref="F596" ca="1">INDEX($S$2:$S$31, RANDBETWEEN(1, COUNTA($S$2:$S$31)))</f>
        <v>59000</v>
      </c>
      <c r="G596" cm="1">
        <f t="array" aca="1" ref="G596" ca="1">INDEX($S$2:$S$31, RANDBETWEEN(1, COUNTA($S$2:$S$31)))</f>
        <v>65000</v>
      </c>
      <c r="H596">
        <f t="shared" ca="1" si="85"/>
        <v>10</v>
      </c>
      <c r="I596">
        <f t="shared" ca="1" si="86"/>
        <v>53100</v>
      </c>
      <c r="J596" s="10" t="str">
        <f t="shared" ca="1" si="87"/>
        <v>Online</v>
      </c>
      <c r="K596" s="10">
        <f t="shared" ca="1" si="88"/>
        <v>53100</v>
      </c>
      <c r="L596" s="10">
        <f t="shared" ca="1" si="89"/>
        <v>53100</v>
      </c>
      <c r="M596" s="12" t="str" cm="1">
        <f t="array" aca="1" ref="M596" ca="1">INDEX($R$33:$R$82, RANDBETWEEN(1, COUNTA($R$33:$R$82)))</f>
        <v>NV2</v>
      </c>
      <c r="N596">
        <f t="shared" ca="1" si="90"/>
        <v>37</v>
      </c>
    </row>
    <row r="597" spans="1:14" ht="16.8" x14ac:dyDescent="0.3">
      <c r="A597" s="7" t="str">
        <f t="shared" si="82"/>
        <v>S0596</v>
      </c>
      <c r="B597" s="8">
        <f t="shared" ca="1" si="83"/>
        <v>44334</v>
      </c>
      <c r="C597" s="15" t="str" cm="1">
        <f t="array" aca="1" ref="C597" ca="1">INDEX($Q$2:$Q$31, RANDBETWEEN(1, COUNTA($Q$2:$Q$31)))</f>
        <v>Americano</v>
      </c>
      <c r="D597" s="10" t="str" cm="1">
        <f t="array" aca="1" ref="D597" ca="1">INDEX($R$2:$R$310, RANDBETWEEN(1, COUNTA($Q$2:$Q$310)))</f>
        <v>S</v>
      </c>
      <c r="E597">
        <f t="shared" ca="1" si="84"/>
        <v>5</v>
      </c>
      <c r="F597" cm="1">
        <f t="array" aca="1" ref="F597" ca="1">INDEX($S$2:$S$31, RANDBETWEEN(1, COUNTA($S$2:$S$31)))</f>
        <v>65000</v>
      </c>
      <c r="G597" cm="1">
        <f t="array" aca="1" ref="G597" ca="1">INDEX($S$2:$S$31, RANDBETWEEN(1, COUNTA($S$2:$S$31)))</f>
        <v>49000</v>
      </c>
      <c r="H597">
        <f t="shared" ca="1" si="85"/>
        <v>11</v>
      </c>
      <c r="I597">
        <f t="shared" ca="1" si="86"/>
        <v>57850</v>
      </c>
      <c r="J597" s="10" t="str">
        <f t="shared" ca="1" si="87"/>
        <v>Online</v>
      </c>
      <c r="K597" s="10">
        <f t="shared" ca="1" si="88"/>
        <v>57850</v>
      </c>
      <c r="L597" s="10">
        <f t="shared" ca="1" si="89"/>
        <v>289250</v>
      </c>
      <c r="M597" s="12" t="str" cm="1">
        <f t="array" aca="1" ref="M597" ca="1">INDEX($R$33:$R$82, RANDBETWEEN(1, COUNTA($R$33:$R$82)))</f>
        <v>NV46</v>
      </c>
      <c r="N597">
        <f t="shared" ca="1" si="90"/>
        <v>48</v>
      </c>
    </row>
    <row r="598" spans="1:14" ht="16.8" x14ac:dyDescent="0.3">
      <c r="A598" s="7" t="str">
        <f t="shared" si="82"/>
        <v>S0597</v>
      </c>
      <c r="B598" s="8">
        <f t="shared" ca="1" si="83"/>
        <v>45200</v>
      </c>
      <c r="C598" s="15" t="str" cm="1">
        <f t="array" aca="1" ref="C598" ca="1">INDEX($Q$2:$Q$31, RANDBETWEEN(1, COUNTA($Q$2:$Q$31)))</f>
        <v>Cookies &amp; Cream</v>
      </c>
      <c r="D598" s="10" t="str" cm="1">
        <f t="array" aca="1" ref="D598" ca="1">INDEX($R$2:$R$310, RANDBETWEEN(1, COUNTA($Q$2:$Q$310)))</f>
        <v>M</v>
      </c>
      <c r="E598">
        <f t="shared" ca="1" si="84"/>
        <v>1</v>
      </c>
      <c r="F598" cm="1">
        <f t="array" aca="1" ref="F598" ca="1">INDEX($S$2:$S$31, RANDBETWEEN(1, COUNTA($S$2:$S$31)))</f>
        <v>49000</v>
      </c>
      <c r="G598" cm="1">
        <f t="array" aca="1" ref="G598" ca="1">INDEX($S$2:$S$31, RANDBETWEEN(1, COUNTA($S$2:$S$31)))</f>
        <v>35000</v>
      </c>
      <c r="H598">
        <f t="shared" ca="1" si="85"/>
        <v>13</v>
      </c>
      <c r="I598">
        <f t="shared" ca="1" si="86"/>
        <v>35000</v>
      </c>
      <c r="J598" s="10" t="str">
        <f t="shared" ca="1" si="87"/>
        <v>Offline</v>
      </c>
      <c r="K598" s="10">
        <f t="shared" ca="1" si="88"/>
        <v>35000</v>
      </c>
      <c r="L598" s="10">
        <f t="shared" ca="1" si="89"/>
        <v>35000</v>
      </c>
      <c r="M598" s="12" t="str" cm="1">
        <f t="array" aca="1" ref="M598" ca="1">INDEX($R$33:$R$82, RANDBETWEEN(1, COUNTA($R$33:$R$82)))</f>
        <v>NV23</v>
      </c>
      <c r="N598">
        <f t="shared" ca="1" si="90"/>
        <v>51</v>
      </c>
    </row>
    <row r="599" spans="1:14" ht="16.8" x14ac:dyDescent="0.3">
      <c r="A599" s="7" t="str">
        <f t="shared" si="82"/>
        <v>S0598</v>
      </c>
      <c r="B599" s="8">
        <f t="shared" ca="1" si="83"/>
        <v>44616</v>
      </c>
      <c r="C599" s="15" t="str" cm="1">
        <f t="array" aca="1" ref="C599" ca="1">INDEX($Q$2:$Q$31, RANDBETWEEN(1, COUNTA($Q$2:$Q$31)))</f>
        <v>Caramel Phin Freeze</v>
      </c>
      <c r="D599" s="10" t="str" cm="1">
        <f t="array" aca="1" ref="D599" ca="1">INDEX($R$2:$R$310, RANDBETWEEN(1, COUNTA($Q$2:$Q$310)))</f>
        <v>L</v>
      </c>
      <c r="E599">
        <f t="shared" ca="1" si="84"/>
        <v>3</v>
      </c>
      <c r="F599" cm="1">
        <f t="array" aca="1" ref="F599" ca="1">INDEX($S$2:$S$31, RANDBETWEEN(1, COUNTA($S$2:$S$31)))</f>
        <v>69000</v>
      </c>
      <c r="G599" cm="1">
        <f t="array" aca="1" ref="G599" ca="1">INDEX($S$2:$S$31, RANDBETWEEN(1, COUNTA($S$2:$S$31)))</f>
        <v>55000</v>
      </c>
      <c r="H599">
        <f t="shared" ca="1" si="85"/>
        <v>13</v>
      </c>
      <c r="I599">
        <f t="shared" ca="1" si="86"/>
        <v>60030</v>
      </c>
      <c r="J599" s="10" t="str">
        <f t="shared" ca="1" si="87"/>
        <v>Online</v>
      </c>
      <c r="K599" s="10">
        <f t="shared" ca="1" si="88"/>
        <v>60030</v>
      </c>
      <c r="L599" s="10">
        <f t="shared" ca="1" si="89"/>
        <v>180090</v>
      </c>
      <c r="M599" s="12" t="str" cm="1">
        <f t="array" aca="1" ref="M599" ca="1">INDEX($R$33:$R$82, RANDBETWEEN(1, COUNTA($R$33:$R$82)))</f>
        <v>NV42</v>
      </c>
      <c r="N599">
        <f t="shared" ca="1" si="90"/>
        <v>2</v>
      </c>
    </row>
    <row r="600" spans="1:14" ht="16.8" x14ac:dyDescent="0.3">
      <c r="A600" s="7" t="str">
        <f t="shared" si="82"/>
        <v>S0599</v>
      </c>
      <c r="B600" s="8">
        <f t="shared" ca="1" si="83"/>
        <v>45127</v>
      </c>
      <c r="C600" s="15" t="str" cm="1">
        <f t="array" aca="1" ref="C600" ca="1">INDEX($Q$2:$Q$31, RANDBETWEEN(1, COUNTA($Q$2:$Q$31)))</f>
        <v>Cappuccino</v>
      </c>
      <c r="D600" s="10" t="str" cm="1">
        <f t="array" aca="1" ref="D600" ca="1">INDEX($R$2:$R$310, RANDBETWEEN(1, COUNTA($Q$2:$Q$310)))</f>
        <v>M</v>
      </c>
      <c r="E600">
        <f t="shared" ca="1" si="84"/>
        <v>5</v>
      </c>
      <c r="F600" cm="1">
        <f t="array" aca="1" ref="F600" ca="1">INDEX($S$2:$S$31, RANDBETWEEN(1, COUNTA($S$2:$S$31)))</f>
        <v>65000</v>
      </c>
      <c r="G600" cm="1">
        <f t="array" aca="1" ref="G600" ca="1">INDEX($S$2:$S$31, RANDBETWEEN(1, COUNTA($S$2:$S$31)))</f>
        <v>49000</v>
      </c>
      <c r="H600">
        <f t="shared" ca="1" si="85"/>
        <v>12</v>
      </c>
      <c r="I600">
        <f t="shared" ca="1" si="86"/>
        <v>57200</v>
      </c>
      <c r="J600" s="10" t="str">
        <f t="shared" ca="1" si="87"/>
        <v>Online</v>
      </c>
      <c r="K600" s="10">
        <f t="shared" ca="1" si="88"/>
        <v>57200</v>
      </c>
      <c r="L600" s="10">
        <f t="shared" ca="1" si="89"/>
        <v>286000</v>
      </c>
      <c r="M600" s="12" t="str" cm="1">
        <f t="array" aca="1" ref="M600" ca="1">INDEX($R$33:$R$82, RANDBETWEEN(1, COUNTA($R$33:$R$82)))</f>
        <v>NV29</v>
      </c>
      <c r="N600">
        <f t="shared" ca="1" si="90"/>
        <v>43</v>
      </c>
    </row>
    <row r="601" spans="1:14" ht="16.8" x14ac:dyDescent="0.3">
      <c r="A601" s="7" t="str">
        <f t="shared" si="82"/>
        <v>S0600</v>
      </c>
      <c r="B601" s="8">
        <f t="shared" ca="1" si="83"/>
        <v>44277</v>
      </c>
      <c r="C601" s="15" t="str" cm="1">
        <f t="array" aca="1" ref="C601" ca="1">INDEX($Q$2:$Q$31, RANDBETWEEN(1, COUNTA($Q$2:$Q$31)))</f>
        <v>Latte</v>
      </c>
      <c r="D601" s="10" t="str" cm="1">
        <f t="array" aca="1" ref="D601" ca="1">INDEX($R$2:$R$310, RANDBETWEEN(1, COUNTA($Q$2:$Q$310)))</f>
        <v>S</v>
      </c>
      <c r="E601">
        <f t="shared" ca="1" si="84"/>
        <v>3</v>
      </c>
      <c r="F601" cm="1">
        <f t="array" aca="1" ref="F601" ca="1">INDEX($S$2:$S$31, RANDBETWEEN(1, COUNTA($S$2:$S$31)))</f>
        <v>59000</v>
      </c>
      <c r="G601" cm="1">
        <f t="array" aca="1" ref="G601" ca="1">INDEX($S$2:$S$31, RANDBETWEEN(1, COUNTA($S$2:$S$31)))</f>
        <v>49000</v>
      </c>
      <c r="H601">
        <f t="shared" ca="1" si="85"/>
        <v>7</v>
      </c>
      <c r="I601">
        <f t="shared" ca="1" si="86"/>
        <v>49000</v>
      </c>
      <c r="J601" s="10" t="str">
        <f t="shared" ca="1" si="87"/>
        <v>Offline</v>
      </c>
      <c r="K601" s="10">
        <f t="shared" ca="1" si="88"/>
        <v>49000</v>
      </c>
      <c r="L601" s="10">
        <f t="shared" ca="1" si="89"/>
        <v>147000</v>
      </c>
      <c r="M601" s="12" t="str" cm="1">
        <f t="array" aca="1" ref="M601" ca="1">INDEX($R$33:$R$82, RANDBETWEEN(1, COUNTA($R$33:$R$82)))</f>
        <v>NV25</v>
      </c>
      <c r="N601">
        <f t="shared" ca="1" si="90"/>
        <v>36</v>
      </c>
    </row>
    <row r="602" spans="1:14" ht="16.8" x14ac:dyDescent="0.3">
      <c r="A602" s="7" t="str">
        <f t="shared" si="82"/>
        <v>S0601</v>
      </c>
      <c r="B602" s="8">
        <f t="shared" ca="1" si="83"/>
        <v>44752</v>
      </c>
      <c r="C602" s="15" t="str" cm="1">
        <f t="array" aca="1" ref="C602" ca="1">INDEX($Q$2:$Q$31, RANDBETWEEN(1, COUNTA($Q$2:$Q$31)))</f>
        <v xml:space="preserve">Green Tea Freeze </v>
      </c>
      <c r="D602" s="10" t="str" cm="1">
        <f t="array" aca="1" ref="D602" ca="1">INDEX($R$2:$R$310, RANDBETWEEN(1, COUNTA($Q$2:$Q$310)))</f>
        <v>S</v>
      </c>
      <c r="E602">
        <f t="shared" ca="1" si="84"/>
        <v>4</v>
      </c>
      <c r="F602" cm="1">
        <f t="array" aca="1" ref="F602" ca="1">INDEX($S$2:$S$31, RANDBETWEEN(1, COUNTA($S$2:$S$31)))</f>
        <v>65000</v>
      </c>
      <c r="G602" cm="1">
        <f t="array" aca="1" ref="G602" ca="1">INDEX($S$2:$S$31, RANDBETWEEN(1, COUNTA($S$2:$S$31)))</f>
        <v>59000</v>
      </c>
      <c r="H602">
        <f t="shared" ca="1" si="85"/>
        <v>11</v>
      </c>
      <c r="I602">
        <f t="shared" ca="1" si="86"/>
        <v>59000</v>
      </c>
      <c r="J602" s="10" t="str">
        <f t="shared" ca="1" si="87"/>
        <v>Offline</v>
      </c>
      <c r="K602" s="10">
        <f t="shared" ca="1" si="88"/>
        <v>59000</v>
      </c>
      <c r="L602" s="10">
        <f t="shared" ca="1" si="89"/>
        <v>236000</v>
      </c>
      <c r="M602" s="12" t="str" cm="1">
        <f t="array" aca="1" ref="M602" ca="1">INDEX($R$33:$R$82, RANDBETWEEN(1, COUNTA($R$33:$R$82)))</f>
        <v>NV45</v>
      </c>
      <c r="N602">
        <f t="shared" ca="1" si="90"/>
        <v>29</v>
      </c>
    </row>
    <row r="603" spans="1:14" ht="16.8" x14ac:dyDescent="0.3">
      <c r="A603" s="7" t="str">
        <f t="shared" si="82"/>
        <v>S0602</v>
      </c>
      <c r="B603" s="8">
        <f t="shared" ca="1" si="83"/>
        <v>45280</v>
      </c>
      <c r="C603" s="15" t="str" cm="1">
        <f t="array" aca="1" ref="C603" ca="1">INDEX($Q$2:$Q$31, RANDBETWEEN(1, COUNTA($Q$2:$Q$31)))</f>
        <v>Cookies &amp; Cream</v>
      </c>
      <c r="D603" s="10" t="str" cm="1">
        <f t="array" aca="1" ref="D603" ca="1">INDEX($R$2:$R$310, RANDBETWEEN(1, COUNTA($Q$2:$Q$310)))</f>
        <v>M</v>
      </c>
      <c r="E603">
        <f t="shared" ca="1" si="84"/>
        <v>3</v>
      </c>
      <c r="F603" cm="1">
        <f t="array" aca="1" ref="F603" ca="1">INDEX($S$2:$S$31, RANDBETWEEN(1, COUNTA($S$2:$S$31)))</f>
        <v>49000</v>
      </c>
      <c r="G603" cm="1">
        <f t="array" aca="1" ref="G603" ca="1">INDEX($S$2:$S$31, RANDBETWEEN(1, COUNTA($S$2:$S$31)))</f>
        <v>65000</v>
      </c>
      <c r="H603">
        <f t="shared" ca="1" si="85"/>
        <v>8</v>
      </c>
      <c r="I603">
        <f t="shared" ca="1" si="86"/>
        <v>45080</v>
      </c>
      <c r="J603" s="10" t="str">
        <f t="shared" ca="1" si="87"/>
        <v>Online</v>
      </c>
      <c r="K603" s="10">
        <f t="shared" ca="1" si="88"/>
        <v>45080</v>
      </c>
      <c r="L603" s="10">
        <f t="shared" ca="1" si="89"/>
        <v>135240</v>
      </c>
      <c r="M603" s="12" t="str" cm="1">
        <f t="array" aca="1" ref="M603" ca="1">INDEX($R$33:$R$82, RANDBETWEEN(1, COUNTA($R$33:$R$82)))</f>
        <v>NV49</v>
      </c>
      <c r="N603">
        <f t="shared" ca="1" si="90"/>
        <v>3</v>
      </c>
    </row>
    <row r="604" spans="1:14" ht="16.8" x14ac:dyDescent="0.3">
      <c r="A604" s="7" t="str">
        <f t="shared" si="82"/>
        <v>S0603</v>
      </c>
      <c r="B604" s="8">
        <f t="shared" ca="1" si="83"/>
        <v>44549</v>
      </c>
      <c r="C604" s="15" t="str" cm="1">
        <f t="array" aca="1" ref="C604" ca="1">INDEX($Q$2:$Q$31, RANDBETWEEN(1, COUNTA($Q$2:$Q$31)))</f>
        <v>Mocha</v>
      </c>
      <c r="D604" s="10" t="str" cm="1">
        <f t="array" aca="1" ref="D604" ca="1">INDEX($R$2:$R$310, RANDBETWEEN(1, COUNTA($Q$2:$Q$310)))</f>
        <v>M</v>
      </c>
      <c r="E604">
        <f t="shared" ca="1" si="84"/>
        <v>2</v>
      </c>
      <c r="F604" cm="1">
        <f t="array" aca="1" ref="F604" ca="1">INDEX($S$2:$S$31, RANDBETWEEN(1, COUNTA($S$2:$S$31)))</f>
        <v>59000</v>
      </c>
      <c r="G604" cm="1">
        <f t="array" aca="1" ref="G604" ca="1">INDEX($S$2:$S$31, RANDBETWEEN(1, COUNTA($S$2:$S$31)))</f>
        <v>55000</v>
      </c>
      <c r="H604">
        <f t="shared" ca="1" si="85"/>
        <v>8</v>
      </c>
      <c r="I604">
        <f t="shared" ca="1" si="86"/>
        <v>54280</v>
      </c>
      <c r="J604" s="10" t="str">
        <f t="shared" ca="1" si="87"/>
        <v>Online</v>
      </c>
      <c r="K604" s="10">
        <f t="shared" ca="1" si="88"/>
        <v>54280</v>
      </c>
      <c r="L604" s="10">
        <f t="shared" ca="1" si="89"/>
        <v>108560</v>
      </c>
      <c r="M604" s="12" t="str" cm="1">
        <f t="array" aca="1" ref="M604" ca="1">INDEX($R$33:$R$82, RANDBETWEEN(1, COUNTA($R$33:$R$82)))</f>
        <v>NV24</v>
      </c>
      <c r="N604">
        <f t="shared" ca="1" si="90"/>
        <v>27</v>
      </c>
    </row>
    <row r="605" spans="1:14" ht="16.8" x14ac:dyDescent="0.3">
      <c r="A605" s="7" t="str">
        <f t="shared" si="82"/>
        <v>S0604</v>
      </c>
      <c r="B605" s="8">
        <f t="shared" ca="1" si="83"/>
        <v>44574</v>
      </c>
      <c r="C605" s="15" t="str" cm="1">
        <f t="array" aca="1" ref="C605" ca="1">INDEX($Q$2:$Q$31, RANDBETWEEN(1, COUNTA($Q$2:$Q$31)))</f>
        <v>Cookies &amp; Cream</v>
      </c>
      <c r="D605" s="10" t="str" cm="1">
        <f t="array" aca="1" ref="D605" ca="1">INDEX($R$2:$R$310, RANDBETWEEN(1, COUNTA($Q$2:$Q$310)))</f>
        <v>L</v>
      </c>
      <c r="E605">
        <f t="shared" ca="1" si="84"/>
        <v>4</v>
      </c>
      <c r="F605" cm="1">
        <f t="array" aca="1" ref="F605" ca="1">INDEX($S$2:$S$31, RANDBETWEEN(1, COUNTA($S$2:$S$31)))</f>
        <v>49000</v>
      </c>
      <c r="G605" cm="1">
        <f t="array" aca="1" ref="G605" ca="1">INDEX($S$2:$S$31, RANDBETWEEN(1, COUNTA($S$2:$S$31)))</f>
        <v>65000</v>
      </c>
      <c r="H605">
        <f t="shared" ca="1" si="85"/>
        <v>10</v>
      </c>
      <c r="I605">
        <f t="shared" ca="1" si="86"/>
        <v>44100</v>
      </c>
      <c r="J605" s="10" t="str">
        <f t="shared" ca="1" si="87"/>
        <v>Online</v>
      </c>
      <c r="K605" s="10">
        <f t="shared" ca="1" si="88"/>
        <v>44100</v>
      </c>
      <c r="L605" s="10">
        <f t="shared" ca="1" si="89"/>
        <v>176400</v>
      </c>
      <c r="M605" s="12" t="str" cm="1">
        <f t="array" aca="1" ref="M605" ca="1">INDEX($R$33:$R$82, RANDBETWEEN(1, COUNTA($R$33:$R$82)))</f>
        <v>NV21</v>
      </c>
      <c r="N605">
        <f t="shared" ca="1" si="90"/>
        <v>46</v>
      </c>
    </row>
    <row r="606" spans="1:14" ht="16.8" x14ac:dyDescent="0.3">
      <c r="A606" s="7" t="str">
        <f t="shared" si="82"/>
        <v>S0605</v>
      </c>
      <c r="B606" s="8">
        <f t="shared" ca="1" si="83"/>
        <v>44839</v>
      </c>
      <c r="C606" s="15" t="str" cm="1">
        <f t="array" aca="1" ref="C606" ca="1">INDEX($Q$2:$Q$31, RANDBETWEEN(1, COUNTA($Q$2:$Q$31)))</f>
        <v>Mocha</v>
      </c>
      <c r="D606" s="10" t="str" cm="1">
        <f t="array" aca="1" ref="D606" ca="1">INDEX($R$2:$R$310, RANDBETWEEN(1, COUNTA($Q$2:$Q$310)))</f>
        <v>S</v>
      </c>
      <c r="E606">
        <f t="shared" ca="1" si="84"/>
        <v>2</v>
      </c>
      <c r="F606" cm="1">
        <f t="array" aca="1" ref="F606" ca="1">INDEX($S$2:$S$31, RANDBETWEEN(1, COUNTA($S$2:$S$31)))</f>
        <v>49000</v>
      </c>
      <c r="G606" cm="1">
        <f t="array" aca="1" ref="G606" ca="1">INDEX($S$2:$S$31, RANDBETWEEN(1, COUNTA($S$2:$S$31)))</f>
        <v>49000</v>
      </c>
      <c r="H606">
        <f t="shared" ca="1" si="85"/>
        <v>15</v>
      </c>
      <c r="I606">
        <f t="shared" ca="1" si="86"/>
        <v>49000</v>
      </c>
      <c r="J606" s="10" t="str">
        <f t="shared" ca="1" si="87"/>
        <v>Offline</v>
      </c>
      <c r="K606" s="10">
        <f t="shared" ca="1" si="88"/>
        <v>49000</v>
      </c>
      <c r="L606" s="10">
        <f t="shared" ca="1" si="89"/>
        <v>98000</v>
      </c>
      <c r="M606" s="12" t="str" cm="1">
        <f t="array" aca="1" ref="M606" ca="1">INDEX($R$33:$R$82, RANDBETWEEN(1, COUNTA($R$33:$R$82)))</f>
        <v>NV27</v>
      </c>
      <c r="N606">
        <f t="shared" ca="1" si="90"/>
        <v>8</v>
      </c>
    </row>
    <row r="607" spans="1:14" ht="16.8" x14ac:dyDescent="0.3">
      <c r="A607" s="7" t="str">
        <f t="shared" si="82"/>
        <v>S0606</v>
      </c>
      <c r="B607" s="8">
        <f t="shared" ca="1" si="83"/>
        <v>44395</v>
      </c>
      <c r="C607" s="15" t="str" cm="1">
        <f t="array" aca="1" ref="C607" ca="1">INDEX($Q$2:$Q$31, RANDBETWEEN(1, COUNTA($Q$2:$Q$31)))</f>
        <v>Latte</v>
      </c>
      <c r="D607" s="10" t="str" cm="1">
        <f t="array" aca="1" ref="D607" ca="1">INDEX($R$2:$R$310, RANDBETWEEN(1, COUNTA($Q$2:$Q$310)))</f>
        <v>S</v>
      </c>
      <c r="E607">
        <f t="shared" ca="1" si="84"/>
        <v>1</v>
      </c>
      <c r="F607" cm="1">
        <f t="array" aca="1" ref="F607" ca="1">INDEX($S$2:$S$31, RANDBETWEEN(1, COUNTA($S$2:$S$31)))</f>
        <v>65000</v>
      </c>
      <c r="G607" cm="1">
        <f t="array" aca="1" ref="G607" ca="1">INDEX($S$2:$S$31, RANDBETWEEN(1, COUNTA($S$2:$S$31)))</f>
        <v>39000</v>
      </c>
      <c r="H607">
        <f t="shared" ca="1" si="85"/>
        <v>8</v>
      </c>
      <c r="I607">
        <f t="shared" ca="1" si="86"/>
        <v>39000</v>
      </c>
      <c r="J607" s="10" t="str">
        <f t="shared" ca="1" si="87"/>
        <v>Offline</v>
      </c>
      <c r="K607" s="10">
        <f t="shared" ca="1" si="88"/>
        <v>39000</v>
      </c>
      <c r="L607" s="10">
        <f t="shared" ca="1" si="89"/>
        <v>39000</v>
      </c>
      <c r="M607" s="12" t="str" cm="1">
        <f t="array" aca="1" ref="M607" ca="1">INDEX($R$33:$R$82, RANDBETWEEN(1, COUNTA($R$33:$R$82)))</f>
        <v>NV39</v>
      </c>
      <c r="N607">
        <f t="shared" ca="1" si="90"/>
        <v>5</v>
      </c>
    </row>
    <row r="608" spans="1:14" ht="16.8" x14ac:dyDescent="0.3">
      <c r="A608" s="7" t="str">
        <f t="shared" si="82"/>
        <v>S0607</v>
      </c>
      <c r="B608" s="8">
        <f t="shared" ca="1" si="83"/>
        <v>44347</v>
      </c>
      <c r="C608" s="15" t="str" cm="1">
        <f t="array" aca="1" ref="C608" ca="1">INDEX($Q$2:$Q$31, RANDBETWEEN(1, COUNTA($Q$2:$Q$31)))</f>
        <v>Americano</v>
      </c>
      <c r="D608" s="10" t="str" cm="1">
        <f t="array" aca="1" ref="D608" ca="1">INDEX($R$2:$R$310, RANDBETWEEN(1, COUNTA($Q$2:$Q$310)))</f>
        <v>L</v>
      </c>
      <c r="E608">
        <f t="shared" ca="1" si="84"/>
        <v>2</v>
      </c>
      <c r="F608" cm="1">
        <f t="array" aca="1" ref="F608" ca="1">INDEX($S$2:$S$31, RANDBETWEEN(1, COUNTA($S$2:$S$31)))</f>
        <v>65000</v>
      </c>
      <c r="G608" cm="1">
        <f t="array" aca="1" ref="G608" ca="1">INDEX($S$2:$S$31, RANDBETWEEN(1, COUNTA($S$2:$S$31)))</f>
        <v>65000</v>
      </c>
      <c r="H608">
        <f t="shared" ca="1" si="85"/>
        <v>13</v>
      </c>
      <c r="I608">
        <f t="shared" ca="1" si="86"/>
        <v>65000</v>
      </c>
      <c r="J608" s="10" t="str">
        <f t="shared" ca="1" si="87"/>
        <v>Offline</v>
      </c>
      <c r="K608" s="10">
        <f t="shared" ca="1" si="88"/>
        <v>65000</v>
      </c>
      <c r="L608" s="10">
        <f t="shared" ca="1" si="89"/>
        <v>130000</v>
      </c>
      <c r="M608" s="12" t="str" cm="1">
        <f t="array" aca="1" ref="M608" ca="1">INDEX($R$33:$R$82, RANDBETWEEN(1, COUNTA($R$33:$R$82)))</f>
        <v>NV41</v>
      </c>
      <c r="N608">
        <f t="shared" ca="1" si="90"/>
        <v>4</v>
      </c>
    </row>
    <row r="609" spans="1:14" ht="16.8" x14ac:dyDescent="0.3">
      <c r="A609" s="7" t="str">
        <f t="shared" si="82"/>
        <v>S0608</v>
      </c>
      <c r="B609" s="8">
        <f t="shared" ca="1" si="83"/>
        <v>44298</v>
      </c>
      <c r="C609" s="15" t="str" cm="1">
        <f t="array" aca="1" ref="C609" ca="1">INDEX($Q$2:$Q$31, RANDBETWEEN(1, COUNTA($Q$2:$Q$31)))</f>
        <v>Cookies &amp; Cream</v>
      </c>
      <c r="D609" s="10" t="str" cm="1">
        <f t="array" aca="1" ref="D609" ca="1">INDEX($R$2:$R$310, RANDBETWEEN(1, COUNTA($Q$2:$Q$310)))</f>
        <v>L</v>
      </c>
      <c r="E609">
        <f t="shared" ca="1" si="84"/>
        <v>1</v>
      </c>
      <c r="F609" cm="1">
        <f t="array" aca="1" ref="F609" ca="1">INDEX($S$2:$S$31, RANDBETWEEN(1, COUNTA($S$2:$S$31)))</f>
        <v>59000</v>
      </c>
      <c r="G609" cm="1">
        <f t="array" aca="1" ref="G609" ca="1">INDEX($S$2:$S$31, RANDBETWEEN(1, COUNTA($S$2:$S$31)))</f>
        <v>35000</v>
      </c>
      <c r="H609">
        <f t="shared" ca="1" si="85"/>
        <v>12</v>
      </c>
      <c r="I609">
        <f t="shared" ca="1" si="86"/>
        <v>51920</v>
      </c>
      <c r="J609" s="10" t="str">
        <f t="shared" ca="1" si="87"/>
        <v>Online</v>
      </c>
      <c r="K609" s="10">
        <f t="shared" ca="1" si="88"/>
        <v>51920</v>
      </c>
      <c r="L609" s="10">
        <f t="shared" ca="1" si="89"/>
        <v>51920</v>
      </c>
      <c r="M609" s="12" t="str" cm="1">
        <f t="array" aca="1" ref="M609" ca="1">INDEX($R$33:$R$82, RANDBETWEEN(1, COUNTA($R$33:$R$82)))</f>
        <v>NV11</v>
      </c>
      <c r="N609">
        <f t="shared" ca="1" si="90"/>
        <v>4</v>
      </c>
    </row>
    <row r="610" spans="1:14" ht="16.8" x14ac:dyDescent="0.3">
      <c r="A610" s="7" t="str">
        <f t="shared" si="82"/>
        <v>S0609</v>
      </c>
      <c r="B610" s="8">
        <f t="shared" ca="1" si="83"/>
        <v>44779</v>
      </c>
      <c r="C610" s="15" t="str" cm="1">
        <f t="array" aca="1" ref="C610" ca="1">INDEX($Q$2:$Q$31, RANDBETWEEN(1, COUNTA($Q$2:$Q$31)))</f>
        <v>Classic Phin Freeze</v>
      </c>
      <c r="D610" s="10" t="str" cm="1">
        <f t="array" aca="1" ref="D610" ca="1">INDEX($R$2:$R$310, RANDBETWEEN(1, COUNTA($Q$2:$Q$310)))</f>
        <v>L</v>
      </c>
      <c r="E610">
        <f t="shared" ca="1" si="84"/>
        <v>1</v>
      </c>
      <c r="F610" cm="1">
        <f t="array" aca="1" ref="F610" ca="1">INDEX($S$2:$S$31, RANDBETWEEN(1, COUNTA($S$2:$S$31)))</f>
        <v>59000</v>
      </c>
      <c r="G610" cm="1">
        <f t="array" aca="1" ref="G610" ca="1">INDEX($S$2:$S$31, RANDBETWEEN(1, COUNTA($S$2:$S$31)))</f>
        <v>35000</v>
      </c>
      <c r="H610">
        <f t="shared" ca="1" si="85"/>
        <v>14</v>
      </c>
      <c r="I610">
        <f t="shared" ca="1" si="86"/>
        <v>50740</v>
      </c>
      <c r="J610" s="10" t="str">
        <f t="shared" ca="1" si="87"/>
        <v>Online</v>
      </c>
      <c r="K610" s="10">
        <f t="shared" ca="1" si="88"/>
        <v>50740</v>
      </c>
      <c r="L610" s="10">
        <f t="shared" ca="1" si="89"/>
        <v>50740</v>
      </c>
      <c r="M610" s="12" t="str" cm="1">
        <f t="array" aca="1" ref="M610" ca="1">INDEX($R$33:$R$82, RANDBETWEEN(1, COUNTA($R$33:$R$82)))</f>
        <v>NV11</v>
      </c>
      <c r="N610">
        <f t="shared" ca="1" si="90"/>
        <v>25</v>
      </c>
    </row>
    <row r="611" spans="1:14" ht="16.8" x14ac:dyDescent="0.3">
      <c r="A611" s="7" t="str">
        <f t="shared" si="82"/>
        <v>S0610</v>
      </c>
      <c r="B611" s="8">
        <f t="shared" ca="1" si="83"/>
        <v>45289</v>
      </c>
      <c r="C611" s="15" t="str" cm="1">
        <f t="array" aca="1" ref="C611" ca="1">INDEX($Q$2:$Q$31, RANDBETWEEN(1, COUNTA($Q$2:$Q$31)))</f>
        <v xml:space="preserve">Chocolate Freeze </v>
      </c>
      <c r="D611" s="10" t="str" cm="1">
        <f t="array" aca="1" ref="D611" ca="1">INDEX($R$2:$R$310, RANDBETWEEN(1, COUNTA($Q$2:$Q$310)))</f>
        <v>L</v>
      </c>
      <c r="E611">
        <f t="shared" ca="1" si="84"/>
        <v>5</v>
      </c>
      <c r="F611" cm="1">
        <f t="array" aca="1" ref="F611" ca="1">INDEX($S$2:$S$31, RANDBETWEEN(1, COUNTA($S$2:$S$31)))</f>
        <v>59000</v>
      </c>
      <c r="G611" cm="1">
        <f t="array" aca="1" ref="G611" ca="1">INDEX($S$2:$S$31, RANDBETWEEN(1, COUNTA($S$2:$S$31)))</f>
        <v>65000</v>
      </c>
      <c r="H611">
        <f t="shared" ca="1" si="85"/>
        <v>8</v>
      </c>
      <c r="I611">
        <f t="shared" ca="1" si="86"/>
        <v>65000</v>
      </c>
      <c r="J611" s="10" t="str">
        <f t="shared" ca="1" si="87"/>
        <v>Offline</v>
      </c>
      <c r="K611" s="10">
        <f t="shared" ca="1" si="88"/>
        <v>65000</v>
      </c>
      <c r="L611" s="10">
        <f t="shared" ca="1" si="89"/>
        <v>325000</v>
      </c>
      <c r="M611" s="12" t="str" cm="1">
        <f t="array" aca="1" ref="M611" ca="1">INDEX($R$33:$R$82, RANDBETWEEN(1, COUNTA($R$33:$R$82)))</f>
        <v>NV8</v>
      </c>
      <c r="N611">
        <f t="shared" ca="1" si="90"/>
        <v>4</v>
      </c>
    </row>
    <row r="612" spans="1:14" ht="16.8" x14ac:dyDescent="0.3">
      <c r="A612" s="7" t="str">
        <f t="shared" si="82"/>
        <v>S0611</v>
      </c>
      <c r="B612" s="8">
        <f t="shared" ca="1" si="83"/>
        <v>44782</v>
      </c>
      <c r="C612" s="15" t="str" cm="1">
        <f t="array" aca="1" ref="C612" ca="1">INDEX($Q$2:$Q$31, RANDBETWEEN(1, COUNTA($Q$2:$Q$31)))</f>
        <v xml:space="preserve">Green Tea Freeze </v>
      </c>
      <c r="D612" s="10" t="str" cm="1">
        <f t="array" aca="1" ref="D612" ca="1">INDEX($R$2:$R$310, RANDBETWEEN(1, COUNTA($Q$2:$Q$310)))</f>
        <v>S</v>
      </c>
      <c r="E612">
        <f t="shared" ca="1" si="84"/>
        <v>3</v>
      </c>
      <c r="F612" cm="1">
        <f t="array" aca="1" ref="F612" ca="1">INDEX($S$2:$S$31, RANDBETWEEN(1, COUNTA($S$2:$S$31)))</f>
        <v>65000</v>
      </c>
      <c r="G612" cm="1">
        <f t="array" aca="1" ref="G612" ca="1">INDEX($S$2:$S$31, RANDBETWEEN(1, COUNTA($S$2:$S$31)))</f>
        <v>65000</v>
      </c>
      <c r="H612">
        <f t="shared" ca="1" si="85"/>
        <v>8</v>
      </c>
      <c r="I612">
        <f t="shared" ca="1" si="86"/>
        <v>59800</v>
      </c>
      <c r="J612" s="10" t="str">
        <f t="shared" ca="1" si="87"/>
        <v>Online</v>
      </c>
      <c r="K612" s="10">
        <f t="shared" ca="1" si="88"/>
        <v>59800</v>
      </c>
      <c r="L612" s="10">
        <f t="shared" ca="1" si="89"/>
        <v>179400</v>
      </c>
      <c r="M612" s="12" t="str" cm="1">
        <f t="array" aca="1" ref="M612" ca="1">INDEX($R$33:$R$82, RANDBETWEEN(1, COUNTA($R$33:$R$82)))</f>
        <v>NV38</v>
      </c>
      <c r="N612">
        <f t="shared" ca="1" si="90"/>
        <v>51</v>
      </c>
    </row>
    <row r="613" spans="1:14" ht="16.8" x14ac:dyDescent="0.3">
      <c r="A613" s="7" t="str">
        <f t="shared" si="82"/>
        <v>S0612</v>
      </c>
      <c r="B613" s="8">
        <f t="shared" ca="1" si="83"/>
        <v>44842</v>
      </c>
      <c r="C613" s="15" t="str" cm="1">
        <f t="array" aca="1" ref="C613" ca="1">INDEX($Q$2:$Q$31, RANDBETWEEN(1, COUNTA($Q$2:$Q$31)))</f>
        <v>Latte</v>
      </c>
      <c r="D613" s="10" t="str" cm="1">
        <f t="array" aca="1" ref="D613" ca="1">INDEX($R$2:$R$310, RANDBETWEEN(1, COUNTA($Q$2:$Q$310)))</f>
        <v>L</v>
      </c>
      <c r="E613">
        <f t="shared" ca="1" si="84"/>
        <v>3</v>
      </c>
      <c r="F613" cm="1">
        <f t="array" aca="1" ref="F613" ca="1">INDEX($S$2:$S$31, RANDBETWEEN(1, COUNTA($S$2:$S$31)))</f>
        <v>69000</v>
      </c>
      <c r="G613" cm="1">
        <f t="array" aca="1" ref="G613" ca="1">INDEX($S$2:$S$31, RANDBETWEEN(1, COUNTA($S$2:$S$31)))</f>
        <v>69000</v>
      </c>
      <c r="H613">
        <f t="shared" ca="1" si="85"/>
        <v>10</v>
      </c>
      <c r="I613">
        <f t="shared" ca="1" si="86"/>
        <v>62100</v>
      </c>
      <c r="J613" s="10" t="str">
        <f t="shared" ca="1" si="87"/>
        <v>Online</v>
      </c>
      <c r="K613" s="10">
        <f t="shared" ca="1" si="88"/>
        <v>62100</v>
      </c>
      <c r="L613" s="10">
        <f t="shared" ca="1" si="89"/>
        <v>186300</v>
      </c>
      <c r="M613" s="12" t="str" cm="1">
        <f t="array" aca="1" ref="M613" ca="1">INDEX($R$33:$R$82, RANDBETWEEN(1, COUNTA($R$33:$R$82)))</f>
        <v>NV49</v>
      </c>
      <c r="N613">
        <f t="shared" ca="1" si="90"/>
        <v>32</v>
      </c>
    </row>
    <row r="614" spans="1:14" ht="16.8" x14ac:dyDescent="0.3">
      <c r="A614" s="7" t="str">
        <f t="shared" si="82"/>
        <v>S0613</v>
      </c>
      <c r="B614" s="8">
        <f t="shared" ca="1" si="83"/>
        <v>44308</v>
      </c>
      <c r="C614" s="15" t="str" cm="1">
        <f t="array" aca="1" ref="C614" ca="1">INDEX($Q$2:$Q$31, RANDBETWEEN(1, COUNTA($Q$2:$Q$31)))</f>
        <v xml:space="preserve">Chocolate Freeze </v>
      </c>
      <c r="D614" s="10" t="str" cm="1">
        <f t="array" aca="1" ref="D614" ca="1">INDEX($R$2:$R$310, RANDBETWEEN(1, COUNTA($Q$2:$Q$310)))</f>
        <v>S</v>
      </c>
      <c r="E614">
        <f t="shared" ca="1" si="84"/>
        <v>1</v>
      </c>
      <c r="F614" cm="1">
        <f t="array" aca="1" ref="F614" ca="1">INDEX($S$2:$S$31, RANDBETWEEN(1, COUNTA($S$2:$S$31)))</f>
        <v>49000</v>
      </c>
      <c r="G614" cm="1">
        <f t="array" aca="1" ref="G614" ca="1">INDEX($S$2:$S$31, RANDBETWEEN(1, COUNTA($S$2:$S$31)))</f>
        <v>49000</v>
      </c>
      <c r="H614">
        <f t="shared" ca="1" si="85"/>
        <v>6</v>
      </c>
      <c r="I614">
        <f t="shared" ca="1" si="86"/>
        <v>46060</v>
      </c>
      <c r="J614" s="10" t="str">
        <f t="shared" ca="1" si="87"/>
        <v>Online</v>
      </c>
      <c r="K614" s="10">
        <f t="shared" ca="1" si="88"/>
        <v>46060</v>
      </c>
      <c r="L614" s="10">
        <f t="shared" ca="1" si="89"/>
        <v>46060</v>
      </c>
      <c r="M614" s="12" t="str" cm="1">
        <f t="array" aca="1" ref="M614" ca="1">INDEX($R$33:$R$82, RANDBETWEEN(1, COUNTA($R$33:$R$82)))</f>
        <v>NV22</v>
      </c>
      <c r="N614">
        <f t="shared" ca="1" si="90"/>
        <v>13</v>
      </c>
    </row>
    <row r="615" spans="1:14" ht="16.8" x14ac:dyDescent="0.3">
      <c r="A615" s="7" t="str">
        <f t="shared" si="82"/>
        <v>S0614</v>
      </c>
      <c r="B615" s="8">
        <f t="shared" ca="1" si="83"/>
        <v>44541</v>
      </c>
      <c r="C615" s="15" t="str" cm="1">
        <f t="array" aca="1" ref="C615" ca="1">INDEX($Q$2:$Q$31, RANDBETWEEN(1, COUNTA($Q$2:$Q$31)))</f>
        <v>Iced Black Coffee</v>
      </c>
      <c r="D615" s="10" t="str" cm="1">
        <f t="array" aca="1" ref="D615" ca="1">INDEX($R$2:$R$310, RANDBETWEEN(1, COUNTA($Q$2:$Q$310)))</f>
        <v>S</v>
      </c>
      <c r="E615">
        <f t="shared" ca="1" si="84"/>
        <v>4</v>
      </c>
      <c r="F615" cm="1">
        <f t="array" aca="1" ref="F615" ca="1">INDEX($S$2:$S$31, RANDBETWEEN(1, COUNTA($S$2:$S$31)))</f>
        <v>65000</v>
      </c>
      <c r="G615" cm="1">
        <f t="array" aca="1" ref="G615" ca="1">INDEX($S$2:$S$31, RANDBETWEEN(1, COUNTA($S$2:$S$31)))</f>
        <v>59000</v>
      </c>
      <c r="H615">
        <f t="shared" ca="1" si="85"/>
        <v>7</v>
      </c>
      <c r="I615">
        <f t="shared" ca="1" si="86"/>
        <v>60449.999999999993</v>
      </c>
      <c r="J615" s="10" t="str">
        <f t="shared" ca="1" si="87"/>
        <v>Online</v>
      </c>
      <c r="K615" s="10">
        <f t="shared" ca="1" si="88"/>
        <v>60449.999999999993</v>
      </c>
      <c r="L615" s="10">
        <f t="shared" ca="1" si="89"/>
        <v>241799.99999999997</v>
      </c>
      <c r="M615" s="12" t="str" cm="1">
        <f t="array" aca="1" ref="M615" ca="1">INDEX($R$33:$R$82, RANDBETWEEN(1, COUNTA($R$33:$R$82)))</f>
        <v>NV20</v>
      </c>
      <c r="N615">
        <f t="shared" ca="1" si="90"/>
        <v>16</v>
      </c>
    </row>
    <row r="616" spans="1:14" ht="16.8" x14ac:dyDescent="0.3">
      <c r="A616" s="7" t="str">
        <f t="shared" si="82"/>
        <v>S0615</v>
      </c>
      <c r="B616" s="8">
        <f t="shared" ca="1" si="83"/>
        <v>45264</v>
      </c>
      <c r="C616" s="15" t="str" cm="1">
        <f t="array" aca="1" ref="C616" ca="1">INDEX($Q$2:$Q$31, RANDBETWEEN(1, COUNTA($Q$2:$Q$31)))</f>
        <v>Iced Black Coffee</v>
      </c>
      <c r="D616" s="10" t="str" cm="1">
        <f t="array" aca="1" ref="D616" ca="1">INDEX($R$2:$R$310, RANDBETWEEN(1, COUNTA($Q$2:$Q$310)))</f>
        <v>L</v>
      </c>
      <c r="E616">
        <f t="shared" ca="1" si="84"/>
        <v>5</v>
      </c>
      <c r="F616" cm="1">
        <f t="array" aca="1" ref="F616" ca="1">INDEX($S$2:$S$31, RANDBETWEEN(1, COUNTA($S$2:$S$31)))</f>
        <v>59000</v>
      </c>
      <c r="G616" cm="1">
        <f t="array" aca="1" ref="G616" ca="1">INDEX($S$2:$S$31, RANDBETWEEN(1, COUNTA($S$2:$S$31)))</f>
        <v>59000</v>
      </c>
      <c r="H616">
        <f t="shared" ca="1" si="85"/>
        <v>10</v>
      </c>
      <c r="I616">
        <f t="shared" ca="1" si="86"/>
        <v>53100</v>
      </c>
      <c r="J616" s="10" t="str">
        <f t="shared" ca="1" si="87"/>
        <v>Online</v>
      </c>
      <c r="K616" s="10">
        <f t="shared" ca="1" si="88"/>
        <v>53100</v>
      </c>
      <c r="L616" s="10">
        <f t="shared" ca="1" si="89"/>
        <v>265500</v>
      </c>
      <c r="M616" s="12" t="str" cm="1">
        <f t="array" aca="1" ref="M616" ca="1">INDEX($R$33:$R$82, RANDBETWEEN(1, COUNTA($R$33:$R$82)))</f>
        <v>NV2</v>
      </c>
      <c r="N616">
        <f t="shared" ca="1" si="90"/>
        <v>19</v>
      </c>
    </row>
    <row r="617" spans="1:14" ht="16.8" x14ac:dyDescent="0.3">
      <c r="A617" s="7" t="str">
        <f t="shared" si="82"/>
        <v>S0616</v>
      </c>
      <c r="B617" s="8">
        <f t="shared" ca="1" si="83"/>
        <v>44256</v>
      </c>
      <c r="C617" s="15" t="str" cm="1">
        <f t="array" aca="1" ref="C617" ca="1">INDEX($Q$2:$Q$31, RANDBETWEEN(1, COUNTA($Q$2:$Q$31)))</f>
        <v>Cookies &amp; Cream</v>
      </c>
      <c r="D617" s="10" t="str" cm="1">
        <f t="array" aca="1" ref="D617" ca="1">INDEX($R$2:$R$310, RANDBETWEEN(1, COUNTA($Q$2:$Q$310)))</f>
        <v>L</v>
      </c>
      <c r="E617">
        <f t="shared" ca="1" si="84"/>
        <v>4</v>
      </c>
      <c r="F617" cm="1">
        <f t="array" aca="1" ref="F617" ca="1">INDEX($S$2:$S$31, RANDBETWEEN(1, COUNTA($S$2:$S$31)))</f>
        <v>49000</v>
      </c>
      <c r="G617" cm="1">
        <f t="array" aca="1" ref="G617" ca="1">INDEX($S$2:$S$31, RANDBETWEEN(1, COUNTA($S$2:$S$31)))</f>
        <v>59000</v>
      </c>
      <c r="H617">
        <f t="shared" ca="1" si="85"/>
        <v>7</v>
      </c>
      <c r="I617">
        <f t="shared" ca="1" si="86"/>
        <v>59000</v>
      </c>
      <c r="J617" s="10" t="str">
        <f t="shared" ca="1" si="87"/>
        <v>Offline</v>
      </c>
      <c r="K617" s="10">
        <f t="shared" ca="1" si="88"/>
        <v>59000</v>
      </c>
      <c r="L617" s="10">
        <f t="shared" ca="1" si="89"/>
        <v>236000</v>
      </c>
      <c r="M617" s="12" t="str" cm="1">
        <f t="array" aca="1" ref="M617" ca="1">INDEX($R$33:$R$82, RANDBETWEEN(1, COUNTA($R$33:$R$82)))</f>
        <v>NV45</v>
      </c>
      <c r="N617">
        <f t="shared" ca="1" si="90"/>
        <v>49</v>
      </c>
    </row>
    <row r="618" spans="1:14" ht="16.8" x14ac:dyDescent="0.3">
      <c r="A618" s="7" t="str">
        <f t="shared" si="82"/>
        <v>S0617</v>
      </c>
      <c r="B618" s="8">
        <f t="shared" ca="1" si="83"/>
        <v>44944</v>
      </c>
      <c r="C618" s="15" t="str" cm="1">
        <f t="array" aca="1" ref="C618" ca="1">INDEX($Q$2:$Q$31, RANDBETWEEN(1, COUNTA($Q$2:$Q$31)))</f>
        <v>Cookies &amp; Cream</v>
      </c>
      <c r="D618" s="10" t="str" cm="1">
        <f t="array" aca="1" ref="D618" ca="1">INDEX($R$2:$R$310, RANDBETWEEN(1, COUNTA($Q$2:$Q$310)))</f>
        <v>M</v>
      </c>
      <c r="E618">
        <f t="shared" ca="1" si="84"/>
        <v>4</v>
      </c>
      <c r="F618" cm="1">
        <f t="array" aca="1" ref="F618" ca="1">INDEX($S$2:$S$31, RANDBETWEEN(1, COUNTA($S$2:$S$31)))</f>
        <v>49000</v>
      </c>
      <c r="G618" cm="1">
        <f t="array" aca="1" ref="G618" ca="1">INDEX($S$2:$S$31, RANDBETWEEN(1, COUNTA($S$2:$S$31)))</f>
        <v>59000</v>
      </c>
      <c r="H618">
        <f t="shared" ca="1" si="85"/>
        <v>10</v>
      </c>
      <c r="I618">
        <f t="shared" ca="1" si="86"/>
        <v>59000</v>
      </c>
      <c r="J618" s="10" t="str">
        <f t="shared" ca="1" si="87"/>
        <v>Offline</v>
      </c>
      <c r="K618" s="10">
        <f t="shared" ca="1" si="88"/>
        <v>59000</v>
      </c>
      <c r="L618" s="10">
        <f t="shared" ca="1" si="89"/>
        <v>236000</v>
      </c>
      <c r="M618" s="12" t="str" cm="1">
        <f t="array" aca="1" ref="M618" ca="1">INDEX($R$33:$R$82, RANDBETWEEN(1, COUNTA($R$33:$R$82)))</f>
        <v>NV12</v>
      </c>
      <c r="N618">
        <f t="shared" ca="1" si="90"/>
        <v>13</v>
      </c>
    </row>
    <row r="619" spans="1:14" ht="16.8" x14ac:dyDescent="0.3">
      <c r="A619" s="7" t="str">
        <f t="shared" si="82"/>
        <v>S0618</v>
      </c>
      <c r="B619" s="8">
        <f t="shared" ca="1" si="83"/>
        <v>45246</v>
      </c>
      <c r="C619" s="15" t="str" cm="1">
        <f t="array" aca="1" ref="C619" ca="1">INDEX($Q$2:$Q$31, RANDBETWEEN(1, COUNTA($Q$2:$Q$31)))</f>
        <v>Iced Black Coffee</v>
      </c>
      <c r="D619" s="10" t="str" cm="1">
        <f t="array" aca="1" ref="D619" ca="1">INDEX($R$2:$R$310, RANDBETWEEN(1, COUNTA($Q$2:$Q$310)))</f>
        <v>S</v>
      </c>
      <c r="E619">
        <f t="shared" ca="1" si="84"/>
        <v>2</v>
      </c>
      <c r="F619" cm="1">
        <f t="array" aca="1" ref="F619" ca="1">INDEX($S$2:$S$31, RANDBETWEEN(1, COUNTA($S$2:$S$31)))</f>
        <v>59000</v>
      </c>
      <c r="G619" cm="1">
        <f t="array" aca="1" ref="G619" ca="1">INDEX($S$2:$S$31, RANDBETWEEN(1, COUNTA($S$2:$S$31)))</f>
        <v>65000</v>
      </c>
      <c r="H619">
        <f t="shared" ca="1" si="85"/>
        <v>12</v>
      </c>
      <c r="I619">
        <f t="shared" ca="1" si="86"/>
        <v>51920</v>
      </c>
      <c r="J619" s="10" t="str">
        <f t="shared" ca="1" si="87"/>
        <v>Online</v>
      </c>
      <c r="K619" s="10">
        <f t="shared" ca="1" si="88"/>
        <v>51920</v>
      </c>
      <c r="L619" s="10">
        <f t="shared" ca="1" si="89"/>
        <v>103840</v>
      </c>
      <c r="M619" s="12" t="str" cm="1">
        <f t="array" aca="1" ref="M619" ca="1">INDEX($R$33:$R$82, RANDBETWEEN(1, COUNTA($R$33:$R$82)))</f>
        <v>NV26</v>
      </c>
      <c r="N619">
        <f t="shared" ca="1" si="90"/>
        <v>26</v>
      </c>
    </row>
    <row r="620" spans="1:14" ht="16.8" x14ac:dyDescent="0.3">
      <c r="A620" s="7" t="str">
        <f t="shared" si="82"/>
        <v>S0619</v>
      </c>
      <c r="B620" s="8">
        <f t="shared" ca="1" si="83"/>
        <v>44376</v>
      </c>
      <c r="C620" s="15" t="str" cm="1">
        <f t="array" aca="1" ref="C620" ca="1">INDEX($Q$2:$Q$31, RANDBETWEEN(1, COUNTA($Q$2:$Q$31)))</f>
        <v>Cappuccino</v>
      </c>
      <c r="D620" s="10" t="str" cm="1">
        <f t="array" aca="1" ref="D620" ca="1">INDEX($R$2:$R$310, RANDBETWEEN(1, COUNTA($Q$2:$Q$310)))</f>
        <v>L</v>
      </c>
      <c r="E620">
        <f t="shared" ca="1" si="84"/>
        <v>3</v>
      </c>
      <c r="F620" cm="1">
        <f t="array" aca="1" ref="F620" ca="1">INDEX($S$2:$S$31, RANDBETWEEN(1, COUNTA($S$2:$S$31)))</f>
        <v>65000</v>
      </c>
      <c r="G620" cm="1">
        <f t="array" aca="1" ref="G620" ca="1">INDEX($S$2:$S$31, RANDBETWEEN(1, COUNTA($S$2:$S$31)))</f>
        <v>49000</v>
      </c>
      <c r="H620">
        <f t="shared" ca="1" si="85"/>
        <v>14</v>
      </c>
      <c r="I620">
        <f t="shared" ca="1" si="86"/>
        <v>55900</v>
      </c>
      <c r="J620" s="10" t="str">
        <f t="shared" ca="1" si="87"/>
        <v>Online</v>
      </c>
      <c r="K620" s="10">
        <f t="shared" ca="1" si="88"/>
        <v>55900</v>
      </c>
      <c r="L620" s="10">
        <f t="shared" ca="1" si="89"/>
        <v>167700</v>
      </c>
      <c r="M620" s="12" t="str" cm="1">
        <f t="array" aca="1" ref="M620" ca="1">INDEX($R$33:$R$82, RANDBETWEEN(1, COUNTA($R$33:$R$82)))</f>
        <v>NV20</v>
      </c>
      <c r="N620">
        <f t="shared" ca="1" si="90"/>
        <v>21</v>
      </c>
    </row>
    <row r="621" spans="1:14" ht="16.8" x14ac:dyDescent="0.3">
      <c r="A621" s="7" t="str">
        <f t="shared" si="82"/>
        <v>S0620</v>
      </c>
      <c r="B621" s="8">
        <f t="shared" ca="1" si="83"/>
        <v>44685</v>
      </c>
      <c r="C621" s="15" t="str" cm="1">
        <f t="array" aca="1" ref="C621" ca="1">INDEX($Q$2:$Q$31, RANDBETWEEN(1, COUNTA($Q$2:$Q$31)))</f>
        <v xml:space="preserve">Chocolate Freeze </v>
      </c>
      <c r="D621" s="10" t="str" cm="1">
        <f t="array" aca="1" ref="D621" ca="1">INDEX($R$2:$R$310, RANDBETWEEN(1, COUNTA($Q$2:$Q$310)))</f>
        <v>M</v>
      </c>
      <c r="E621">
        <f t="shared" ca="1" si="84"/>
        <v>2</v>
      </c>
      <c r="F621" cm="1">
        <f t="array" aca="1" ref="F621" ca="1">INDEX($S$2:$S$31, RANDBETWEEN(1, COUNTA($S$2:$S$31)))</f>
        <v>49000</v>
      </c>
      <c r="G621" cm="1">
        <f t="array" aca="1" ref="G621" ca="1">INDEX($S$2:$S$31, RANDBETWEEN(1, COUNTA($S$2:$S$31)))</f>
        <v>65000</v>
      </c>
      <c r="H621">
        <f t="shared" ca="1" si="85"/>
        <v>15</v>
      </c>
      <c r="I621">
        <f t="shared" ca="1" si="86"/>
        <v>41650</v>
      </c>
      <c r="J621" s="10" t="str">
        <f t="shared" ca="1" si="87"/>
        <v>Online</v>
      </c>
      <c r="K621" s="10">
        <f t="shared" ca="1" si="88"/>
        <v>41650</v>
      </c>
      <c r="L621" s="10">
        <f t="shared" ca="1" si="89"/>
        <v>83300</v>
      </c>
      <c r="M621" s="12" t="str" cm="1">
        <f t="array" aca="1" ref="M621" ca="1">INDEX($R$33:$R$82, RANDBETWEEN(1, COUNTA($R$33:$R$82)))</f>
        <v>NV39</v>
      </c>
      <c r="N621">
        <f t="shared" ca="1" si="90"/>
        <v>6</v>
      </c>
    </row>
    <row r="622" spans="1:14" ht="16.8" x14ac:dyDescent="0.3">
      <c r="A622" s="7" t="str">
        <f t="shared" si="82"/>
        <v>S0621</v>
      </c>
      <c r="B622" s="8">
        <f t="shared" ca="1" si="83"/>
        <v>44210</v>
      </c>
      <c r="C622" s="15" t="str" cm="1">
        <f t="array" aca="1" ref="C622" ca="1">INDEX($Q$2:$Q$31, RANDBETWEEN(1, COUNTA($Q$2:$Q$31)))</f>
        <v>Cappuccino</v>
      </c>
      <c r="D622" s="10" t="str" cm="1">
        <f t="array" aca="1" ref="D622" ca="1">INDEX($R$2:$R$310, RANDBETWEEN(1, COUNTA($Q$2:$Q$310)))</f>
        <v>M</v>
      </c>
      <c r="E622">
        <f t="shared" ca="1" si="84"/>
        <v>3</v>
      </c>
      <c r="F622" cm="1">
        <f t="array" aca="1" ref="F622" ca="1">INDEX($S$2:$S$31, RANDBETWEEN(1, COUNTA($S$2:$S$31)))</f>
        <v>65000</v>
      </c>
      <c r="G622" cm="1">
        <f t="array" aca="1" ref="G622" ca="1">INDEX($S$2:$S$31, RANDBETWEEN(1, COUNTA($S$2:$S$31)))</f>
        <v>29000</v>
      </c>
      <c r="H622">
        <f t="shared" ca="1" si="85"/>
        <v>6</v>
      </c>
      <c r="I622">
        <f t="shared" ca="1" si="86"/>
        <v>29000</v>
      </c>
      <c r="J622" s="10" t="str">
        <f t="shared" ca="1" si="87"/>
        <v>Offline</v>
      </c>
      <c r="K622" s="10">
        <f t="shared" ca="1" si="88"/>
        <v>29000</v>
      </c>
      <c r="L622" s="10">
        <f t="shared" ca="1" si="89"/>
        <v>87000</v>
      </c>
      <c r="M622" s="12" t="str" cm="1">
        <f t="array" aca="1" ref="M622" ca="1">INDEX($R$33:$R$82, RANDBETWEEN(1, COUNTA($R$33:$R$82)))</f>
        <v>NV10</v>
      </c>
      <c r="N622">
        <f t="shared" ca="1" si="90"/>
        <v>41</v>
      </c>
    </row>
    <row r="623" spans="1:14" ht="16.8" x14ac:dyDescent="0.3">
      <c r="A623" s="7" t="str">
        <f t="shared" si="82"/>
        <v>S0622</v>
      </c>
      <c r="B623" s="8">
        <f t="shared" ca="1" si="83"/>
        <v>44718</v>
      </c>
      <c r="C623" s="15" t="str" cm="1">
        <f t="array" aca="1" ref="C623" ca="1">INDEX($Q$2:$Q$31, RANDBETWEEN(1, COUNTA($Q$2:$Q$31)))</f>
        <v>Cookies &amp; Cream</v>
      </c>
      <c r="D623" s="10" t="str" cm="1">
        <f t="array" aca="1" ref="D623" ca="1">INDEX($R$2:$R$310, RANDBETWEEN(1, COUNTA($Q$2:$Q$310)))</f>
        <v>M</v>
      </c>
      <c r="E623">
        <f t="shared" ca="1" si="84"/>
        <v>1</v>
      </c>
      <c r="F623" cm="1">
        <f t="array" aca="1" ref="F623" ca="1">INDEX($S$2:$S$31, RANDBETWEEN(1, COUNTA($S$2:$S$31)))</f>
        <v>55000</v>
      </c>
      <c r="G623" cm="1">
        <f t="array" aca="1" ref="G623" ca="1">INDEX($S$2:$S$31, RANDBETWEEN(1, COUNTA($S$2:$S$31)))</f>
        <v>55000</v>
      </c>
      <c r="H623">
        <f t="shared" ca="1" si="85"/>
        <v>15</v>
      </c>
      <c r="I623">
        <f t="shared" ca="1" si="86"/>
        <v>55000</v>
      </c>
      <c r="J623" s="10" t="str">
        <f t="shared" ca="1" si="87"/>
        <v>Offline</v>
      </c>
      <c r="K623" s="10">
        <f t="shared" ca="1" si="88"/>
        <v>55000</v>
      </c>
      <c r="L623" s="10">
        <f t="shared" ca="1" si="89"/>
        <v>55000</v>
      </c>
      <c r="M623" s="12" t="str" cm="1">
        <f t="array" aca="1" ref="M623" ca="1">INDEX($R$33:$R$82, RANDBETWEEN(1, COUNTA($R$33:$R$82)))</f>
        <v>NV38</v>
      </c>
      <c r="N623">
        <f t="shared" ca="1" si="90"/>
        <v>21</v>
      </c>
    </row>
    <row r="624" spans="1:14" ht="16.8" x14ac:dyDescent="0.3">
      <c r="A624" s="7" t="str">
        <f t="shared" si="82"/>
        <v>S0623</v>
      </c>
      <c r="B624" s="8">
        <f t="shared" ca="1" si="83"/>
        <v>44420</v>
      </c>
      <c r="C624" s="15" t="str" cm="1">
        <f t="array" aca="1" ref="C624" ca="1">INDEX($Q$2:$Q$31, RANDBETWEEN(1, COUNTA($Q$2:$Q$31)))</f>
        <v>Caramel Phin Freeze</v>
      </c>
      <c r="D624" s="10" t="str" cm="1">
        <f t="array" aca="1" ref="D624" ca="1">INDEX($R$2:$R$310, RANDBETWEEN(1, COUNTA($Q$2:$Q$310)))</f>
        <v>M</v>
      </c>
      <c r="E624">
        <f t="shared" ca="1" si="84"/>
        <v>3</v>
      </c>
      <c r="F624" cm="1">
        <f t="array" aca="1" ref="F624" ca="1">INDEX($S$2:$S$31, RANDBETWEEN(1, COUNTA($S$2:$S$31)))</f>
        <v>65000</v>
      </c>
      <c r="G624" cm="1">
        <f t="array" aca="1" ref="G624" ca="1">INDEX($S$2:$S$31, RANDBETWEEN(1, COUNTA($S$2:$S$31)))</f>
        <v>59000</v>
      </c>
      <c r="H624">
        <f t="shared" ca="1" si="85"/>
        <v>13</v>
      </c>
      <c r="I624">
        <f t="shared" ca="1" si="86"/>
        <v>59000</v>
      </c>
      <c r="J624" s="10" t="str">
        <f t="shared" ca="1" si="87"/>
        <v>Offline</v>
      </c>
      <c r="K624" s="10">
        <f t="shared" ca="1" si="88"/>
        <v>59000</v>
      </c>
      <c r="L624" s="10">
        <f t="shared" ca="1" si="89"/>
        <v>177000</v>
      </c>
      <c r="M624" s="12" t="str" cm="1">
        <f t="array" aca="1" ref="M624" ca="1">INDEX($R$33:$R$82, RANDBETWEEN(1, COUNTA($R$33:$R$82)))</f>
        <v>NV26</v>
      </c>
      <c r="N624">
        <f t="shared" ca="1" si="90"/>
        <v>10</v>
      </c>
    </row>
    <row r="625" spans="1:14" ht="16.8" x14ac:dyDescent="0.3">
      <c r="A625" s="7" t="str">
        <f t="shared" si="82"/>
        <v>S0624</v>
      </c>
      <c r="B625" s="8">
        <f t="shared" ca="1" si="83"/>
        <v>44279</v>
      </c>
      <c r="C625" s="15" t="str" cm="1">
        <f t="array" aca="1" ref="C625" ca="1">INDEX($Q$2:$Q$31, RANDBETWEEN(1, COUNTA($Q$2:$Q$31)))</f>
        <v>Americano</v>
      </c>
      <c r="D625" s="10" t="str" cm="1">
        <f t="array" aca="1" ref="D625" ca="1">INDEX($R$2:$R$310, RANDBETWEEN(1, COUNTA($Q$2:$Q$310)))</f>
        <v>S</v>
      </c>
      <c r="E625">
        <f t="shared" ca="1" si="84"/>
        <v>1</v>
      </c>
      <c r="F625" cm="1">
        <f t="array" aca="1" ref="F625" ca="1">INDEX($S$2:$S$31, RANDBETWEEN(1, COUNTA($S$2:$S$31)))</f>
        <v>65000</v>
      </c>
      <c r="G625" cm="1">
        <f t="array" aca="1" ref="G625" ca="1">INDEX($S$2:$S$31, RANDBETWEEN(1, COUNTA($S$2:$S$31)))</f>
        <v>59000</v>
      </c>
      <c r="H625">
        <f t="shared" ca="1" si="85"/>
        <v>7</v>
      </c>
      <c r="I625">
        <f t="shared" ca="1" si="86"/>
        <v>59000</v>
      </c>
      <c r="J625" s="10" t="str">
        <f t="shared" ca="1" si="87"/>
        <v>Offline</v>
      </c>
      <c r="K625" s="10">
        <f t="shared" ca="1" si="88"/>
        <v>59000</v>
      </c>
      <c r="L625" s="10">
        <f t="shared" ca="1" si="89"/>
        <v>59000</v>
      </c>
      <c r="M625" s="12" t="str" cm="1">
        <f t="array" aca="1" ref="M625" ca="1">INDEX($R$33:$R$82, RANDBETWEEN(1, COUNTA($R$33:$R$82)))</f>
        <v>NV44</v>
      </c>
      <c r="N625">
        <f t="shared" ca="1" si="90"/>
        <v>43</v>
      </c>
    </row>
    <row r="626" spans="1:14" ht="16.8" x14ac:dyDescent="0.3">
      <c r="A626" s="7" t="str">
        <f t="shared" si="82"/>
        <v>S0625</v>
      </c>
      <c r="B626" s="8">
        <f t="shared" ca="1" si="83"/>
        <v>44422</v>
      </c>
      <c r="C626" s="15" t="str" cm="1">
        <f t="array" aca="1" ref="C626" ca="1">INDEX($Q$2:$Q$31, RANDBETWEEN(1, COUNTA($Q$2:$Q$31)))</f>
        <v xml:space="preserve">Chocolate Freeze </v>
      </c>
      <c r="D626" s="10" t="str" cm="1">
        <f t="array" aca="1" ref="D626" ca="1">INDEX($R$2:$R$310, RANDBETWEEN(1, COUNTA($Q$2:$Q$310)))</f>
        <v>M</v>
      </c>
      <c r="E626">
        <f t="shared" ca="1" si="84"/>
        <v>4</v>
      </c>
      <c r="F626" cm="1">
        <f t="array" aca="1" ref="F626" ca="1">INDEX($S$2:$S$31, RANDBETWEEN(1, COUNTA($S$2:$S$31)))</f>
        <v>59000</v>
      </c>
      <c r="G626" cm="1">
        <f t="array" aca="1" ref="G626" ca="1">INDEX($S$2:$S$31, RANDBETWEEN(1, COUNTA($S$2:$S$31)))</f>
        <v>65000</v>
      </c>
      <c r="H626">
        <f t="shared" ca="1" si="85"/>
        <v>13</v>
      </c>
      <c r="I626">
        <f t="shared" ca="1" si="86"/>
        <v>51330</v>
      </c>
      <c r="J626" s="10" t="str">
        <f t="shared" ca="1" si="87"/>
        <v>Online</v>
      </c>
      <c r="K626" s="10">
        <f t="shared" ca="1" si="88"/>
        <v>51330</v>
      </c>
      <c r="L626" s="10">
        <f t="shared" ca="1" si="89"/>
        <v>205320</v>
      </c>
      <c r="M626" s="12" t="str" cm="1">
        <f t="array" aca="1" ref="M626" ca="1">INDEX($R$33:$R$82, RANDBETWEEN(1, COUNTA($R$33:$R$82)))</f>
        <v>NV1</v>
      </c>
      <c r="N626">
        <f t="shared" ca="1" si="90"/>
        <v>35</v>
      </c>
    </row>
    <row r="627" spans="1:14" ht="16.8" x14ac:dyDescent="0.3">
      <c r="A627" s="7" t="str">
        <f t="shared" si="82"/>
        <v>S0626</v>
      </c>
      <c r="B627" s="8">
        <f t="shared" ca="1" si="83"/>
        <v>44341</v>
      </c>
      <c r="C627" s="15" t="str" cm="1">
        <f t="array" aca="1" ref="C627" ca="1">INDEX($Q$2:$Q$31, RANDBETWEEN(1, COUNTA($Q$2:$Q$31)))</f>
        <v>Iced Black Coffee</v>
      </c>
      <c r="D627" s="10" t="str" cm="1">
        <f t="array" aca="1" ref="D627" ca="1">INDEX($R$2:$R$310, RANDBETWEEN(1, COUNTA($Q$2:$Q$310)))</f>
        <v>L</v>
      </c>
      <c r="E627">
        <f t="shared" ca="1" si="84"/>
        <v>2</v>
      </c>
      <c r="F627" cm="1">
        <f t="array" aca="1" ref="F627" ca="1">INDEX($S$2:$S$31, RANDBETWEEN(1, COUNTA($S$2:$S$31)))</f>
        <v>69000</v>
      </c>
      <c r="G627" cm="1">
        <f t="array" aca="1" ref="G627" ca="1">INDEX($S$2:$S$31, RANDBETWEEN(1, COUNTA($S$2:$S$31)))</f>
        <v>35000</v>
      </c>
      <c r="H627">
        <f t="shared" ca="1" si="85"/>
        <v>11</v>
      </c>
      <c r="I627">
        <f t="shared" ca="1" si="86"/>
        <v>35000</v>
      </c>
      <c r="J627" s="10" t="str">
        <f t="shared" ca="1" si="87"/>
        <v>Offline</v>
      </c>
      <c r="K627" s="10">
        <f t="shared" ca="1" si="88"/>
        <v>35000</v>
      </c>
      <c r="L627" s="10">
        <f t="shared" ca="1" si="89"/>
        <v>70000</v>
      </c>
      <c r="M627" s="12" t="str" cm="1">
        <f t="array" aca="1" ref="M627" ca="1">INDEX($R$33:$R$82, RANDBETWEEN(1, COUNTA($R$33:$R$82)))</f>
        <v>NV8</v>
      </c>
      <c r="N627">
        <f t="shared" ca="1" si="90"/>
        <v>45</v>
      </c>
    </row>
    <row r="628" spans="1:14" ht="16.8" x14ac:dyDescent="0.3">
      <c r="A628" s="7" t="str">
        <f t="shared" si="82"/>
        <v>S0627</v>
      </c>
      <c r="B628" s="8">
        <f t="shared" ca="1" si="83"/>
        <v>44451</v>
      </c>
      <c r="C628" s="15" t="str" cm="1">
        <f t="array" aca="1" ref="C628" ca="1">INDEX($Q$2:$Q$31, RANDBETWEEN(1, COUNTA($Q$2:$Q$31)))</f>
        <v>Latte</v>
      </c>
      <c r="D628" s="10" t="str" cm="1">
        <f t="array" aca="1" ref="D628" ca="1">INDEX($R$2:$R$310, RANDBETWEEN(1, COUNTA($Q$2:$Q$310)))</f>
        <v>L</v>
      </c>
      <c r="E628">
        <f t="shared" ca="1" si="84"/>
        <v>3</v>
      </c>
      <c r="F628" cm="1">
        <f t="array" aca="1" ref="F628" ca="1">INDEX($S$2:$S$31, RANDBETWEEN(1, COUNTA($S$2:$S$31)))</f>
        <v>49000</v>
      </c>
      <c r="G628" cm="1">
        <f t="array" aca="1" ref="G628" ca="1">INDEX($S$2:$S$31, RANDBETWEEN(1, COUNTA($S$2:$S$31)))</f>
        <v>49000</v>
      </c>
      <c r="H628">
        <f t="shared" ca="1" si="85"/>
        <v>10</v>
      </c>
      <c r="I628">
        <f t="shared" ca="1" si="86"/>
        <v>49000</v>
      </c>
      <c r="J628" s="10" t="str">
        <f t="shared" ca="1" si="87"/>
        <v>Offline</v>
      </c>
      <c r="K628" s="10">
        <f t="shared" ca="1" si="88"/>
        <v>49000</v>
      </c>
      <c r="L628" s="10">
        <f t="shared" ca="1" si="89"/>
        <v>147000</v>
      </c>
      <c r="M628" s="12" t="str" cm="1">
        <f t="array" aca="1" ref="M628" ca="1">INDEX($R$33:$R$82, RANDBETWEEN(1, COUNTA($R$33:$R$82)))</f>
        <v>NV43</v>
      </c>
      <c r="N628">
        <f t="shared" ca="1" si="90"/>
        <v>6</v>
      </c>
    </row>
    <row r="629" spans="1:14" ht="16.8" x14ac:dyDescent="0.3">
      <c r="A629" s="7" t="str">
        <f t="shared" si="82"/>
        <v>S0628</v>
      </c>
      <c r="B629" s="8">
        <f t="shared" ca="1" si="83"/>
        <v>45138</v>
      </c>
      <c r="C629" s="15" t="str" cm="1">
        <f t="array" aca="1" ref="C629" ca="1">INDEX($Q$2:$Q$31, RANDBETWEEN(1, COUNTA($Q$2:$Q$31)))</f>
        <v>Caramel Phin Freeze</v>
      </c>
      <c r="D629" s="10" t="str" cm="1">
        <f t="array" aca="1" ref="D629" ca="1">INDEX($R$2:$R$310, RANDBETWEEN(1, COUNTA($Q$2:$Q$310)))</f>
        <v>L</v>
      </c>
      <c r="E629">
        <f t="shared" ca="1" si="84"/>
        <v>5</v>
      </c>
      <c r="F629" cm="1">
        <f t="array" aca="1" ref="F629" ca="1">INDEX($S$2:$S$31, RANDBETWEEN(1, COUNTA($S$2:$S$31)))</f>
        <v>49000</v>
      </c>
      <c r="G629" cm="1">
        <f t="array" aca="1" ref="G629" ca="1">INDEX($S$2:$S$31, RANDBETWEEN(1, COUNTA($S$2:$S$31)))</f>
        <v>35000</v>
      </c>
      <c r="H629">
        <f t="shared" ca="1" si="85"/>
        <v>6</v>
      </c>
      <c r="I629">
        <f t="shared" ca="1" si="86"/>
        <v>46060</v>
      </c>
      <c r="J629" s="10" t="str">
        <f t="shared" ca="1" si="87"/>
        <v>Online</v>
      </c>
      <c r="K629" s="10">
        <f t="shared" ca="1" si="88"/>
        <v>46060</v>
      </c>
      <c r="L629" s="10">
        <f t="shared" ca="1" si="89"/>
        <v>230300</v>
      </c>
      <c r="M629" s="12" t="str" cm="1">
        <f t="array" aca="1" ref="M629" ca="1">INDEX($R$33:$R$82, RANDBETWEEN(1, COUNTA($R$33:$R$82)))</f>
        <v>NV30</v>
      </c>
      <c r="N629">
        <f t="shared" ca="1" si="90"/>
        <v>10</v>
      </c>
    </row>
    <row r="630" spans="1:14" ht="16.8" x14ac:dyDescent="0.3">
      <c r="A630" s="7" t="str">
        <f t="shared" si="82"/>
        <v>S0629</v>
      </c>
      <c r="B630" s="8">
        <f t="shared" ca="1" si="83"/>
        <v>44551</v>
      </c>
      <c r="C630" s="15" t="str" cm="1">
        <f t="array" aca="1" ref="C630" ca="1">INDEX($Q$2:$Q$31, RANDBETWEEN(1, COUNTA($Q$2:$Q$31)))</f>
        <v>Americano</v>
      </c>
      <c r="D630" s="10" t="str" cm="1">
        <f t="array" aca="1" ref="D630" ca="1">INDEX($R$2:$R$310, RANDBETWEEN(1, COUNTA($Q$2:$Q$310)))</f>
        <v>M</v>
      </c>
      <c r="E630">
        <f t="shared" ca="1" si="84"/>
        <v>4</v>
      </c>
      <c r="F630" cm="1">
        <f t="array" aca="1" ref="F630" ca="1">INDEX($S$2:$S$31, RANDBETWEEN(1, COUNTA($S$2:$S$31)))</f>
        <v>49000</v>
      </c>
      <c r="G630" cm="1">
        <f t="array" aca="1" ref="G630" ca="1">INDEX($S$2:$S$31, RANDBETWEEN(1, COUNTA($S$2:$S$31)))</f>
        <v>55000</v>
      </c>
      <c r="H630">
        <f t="shared" ca="1" si="85"/>
        <v>14</v>
      </c>
      <c r="I630">
        <f t="shared" ca="1" si="86"/>
        <v>42140</v>
      </c>
      <c r="J630" s="10" t="str">
        <f t="shared" ca="1" si="87"/>
        <v>Online</v>
      </c>
      <c r="K630" s="10">
        <f t="shared" ca="1" si="88"/>
        <v>42140</v>
      </c>
      <c r="L630" s="10">
        <f t="shared" ca="1" si="89"/>
        <v>168560</v>
      </c>
      <c r="M630" s="12" t="str" cm="1">
        <f t="array" aca="1" ref="M630" ca="1">INDEX($R$33:$R$82, RANDBETWEEN(1, COUNTA($R$33:$R$82)))</f>
        <v>NV16</v>
      </c>
      <c r="N630">
        <f t="shared" ca="1" si="90"/>
        <v>5</v>
      </c>
    </row>
    <row r="631" spans="1:14" ht="16.8" x14ac:dyDescent="0.3">
      <c r="A631" s="7" t="str">
        <f t="shared" si="82"/>
        <v>S0630</v>
      </c>
      <c r="B631" s="8">
        <f t="shared" ca="1" si="83"/>
        <v>45078</v>
      </c>
      <c r="C631" s="15" t="str" cm="1">
        <f t="array" aca="1" ref="C631" ca="1">INDEX($Q$2:$Q$31, RANDBETWEEN(1, COUNTA($Q$2:$Q$31)))</f>
        <v xml:space="preserve">Green Tea Freeze </v>
      </c>
      <c r="D631" s="10" t="str" cm="1">
        <f t="array" aca="1" ref="D631" ca="1">INDEX($R$2:$R$310, RANDBETWEEN(1, COUNTA($Q$2:$Q$310)))</f>
        <v>S</v>
      </c>
      <c r="E631">
        <f t="shared" ca="1" si="84"/>
        <v>2</v>
      </c>
      <c r="F631" cm="1">
        <f t="array" aca="1" ref="F631" ca="1">INDEX($S$2:$S$31, RANDBETWEEN(1, COUNTA($S$2:$S$31)))</f>
        <v>59000</v>
      </c>
      <c r="G631" cm="1">
        <f t="array" aca="1" ref="G631" ca="1">INDEX($S$2:$S$31, RANDBETWEEN(1, COUNTA($S$2:$S$31)))</f>
        <v>69000</v>
      </c>
      <c r="H631">
        <f t="shared" ca="1" si="85"/>
        <v>9</v>
      </c>
      <c r="I631">
        <f t="shared" ca="1" si="86"/>
        <v>53690</v>
      </c>
      <c r="J631" s="10" t="str">
        <f t="shared" ca="1" si="87"/>
        <v>Online</v>
      </c>
      <c r="K631" s="10">
        <f t="shared" ca="1" si="88"/>
        <v>53690</v>
      </c>
      <c r="L631" s="10">
        <f t="shared" ca="1" si="89"/>
        <v>107380</v>
      </c>
      <c r="M631" s="12" t="str" cm="1">
        <f t="array" aca="1" ref="M631" ca="1">INDEX($R$33:$R$82, RANDBETWEEN(1, COUNTA($R$33:$R$82)))</f>
        <v>NV41</v>
      </c>
      <c r="N631">
        <f t="shared" ca="1" si="90"/>
        <v>4</v>
      </c>
    </row>
    <row r="632" spans="1:14" ht="16.8" x14ac:dyDescent="0.3">
      <c r="A632" s="7" t="str">
        <f t="shared" si="82"/>
        <v>S0631</v>
      </c>
      <c r="B632" s="8">
        <f t="shared" ca="1" si="83"/>
        <v>44430</v>
      </c>
      <c r="C632" s="15" t="str" cm="1">
        <f t="array" aca="1" ref="C632" ca="1">INDEX($Q$2:$Q$31, RANDBETWEEN(1, COUNTA($Q$2:$Q$31)))</f>
        <v>Caramel Phin Freeze</v>
      </c>
      <c r="D632" s="10" t="str" cm="1">
        <f t="array" aca="1" ref="D632" ca="1">INDEX($R$2:$R$310, RANDBETWEEN(1, COUNTA($Q$2:$Q$310)))</f>
        <v>L</v>
      </c>
      <c r="E632">
        <f t="shared" ca="1" si="84"/>
        <v>2</v>
      </c>
      <c r="F632" cm="1">
        <f t="array" aca="1" ref="F632" ca="1">INDEX($S$2:$S$31, RANDBETWEEN(1, COUNTA($S$2:$S$31)))</f>
        <v>59000</v>
      </c>
      <c r="G632" cm="1">
        <f t="array" aca="1" ref="G632" ca="1">INDEX($S$2:$S$31, RANDBETWEEN(1, COUNTA($S$2:$S$31)))</f>
        <v>65000</v>
      </c>
      <c r="H632">
        <f t="shared" ca="1" si="85"/>
        <v>8</v>
      </c>
      <c r="I632">
        <f t="shared" ca="1" si="86"/>
        <v>54280</v>
      </c>
      <c r="J632" s="10" t="str">
        <f t="shared" ca="1" si="87"/>
        <v>Online</v>
      </c>
      <c r="K632" s="10">
        <f t="shared" ca="1" si="88"/>
        <v>54280</v>
      </c>
      <c r="L632" s="10">
        <f t="shared" ca="1" si="89"/>
        <v>108560</v>
      </c>
      <c r="M632" s="12" t="str" cm="1">
        <f t="array" aca="1" ref="M632" ca="1">INDEX($R$33:$R$82, RANDBETWEEN(1, COUNTA($R$33:$R$82)))</f>
        <v>NV14</v>
      </c>
      <c r="N632">
        <f t="shared" ca="1" si="90"/>
        <v>20</v>
      </c>
    </row>
    <row r="633" spans="1:14" ht="16.8" x14ac:dyDescent="0.3">
      <c r="A633" s="7" t="str">
        <f t="shared" si="82"/>
        <v>S0632</v>
      </c>
      <c r="B633" s="8">
        <f t="shared" ca="1" si="83"/>
        <v>44521</v>
      </c>
      <c r="C633" s="15" t="str" cm="1">
        <f t="array" aca="1" ref="C633" ca="1">INDEX($Q$2:$Q$31, RANDBETWEEN(1, COUNTA($Q$2:$Q$31)))</f>
        <v>Americano</v>
      </c>
      <c r="D633" s="10" t="str" cm="1">
        <f t="array" aca="1" ref="D633" ca="1">INDEX($R$2:$R$310, RANDBETWEEN(1, COUNTA($Q$2:$Q$310)))</f>
        <v>S</v>
      </c>
      <c r="E633">
        <f t="shared" ca="1" si="84"/>
        <v>4</v>
      </c>
      <c r="F633" cm="1">
        <f t="array" aca="1" ref="F633" ca="1">INDEX($S$2:$S$31, RANDBETWEEN(1, COUNTA($S$2:$S$31)))</f>
        <v>59000</v>
      </c>
      <c r="G633" cm="1">
        <f t="array" aca="1" ref="G633" ca="1">INDEX($S$2:$S$31, RANDBETWEEN(1, COUNTA($S$2:$S$31)))</f>
        <v>29000</v>
      </c>
      <c r="H633">
        <f t="shared" ca="1" si="85"/>
        <v>7</v>
      </c>
      <c r="I633">
        <f t="shared" ca="1" si="86"/>
        <v>29000</v>
      </c>
      <c r="J633" s="10" t="str">
        <f t="shared" ca="1" si="87"/>
        <v>Offline</v>
      </c>
      <c r="K633" s="10">
        <f t="shared" ca="1" si="88"/>
        <v>29000</v>
      </c>
      <c r="L633" s="10">
        <f t="shared" ca="1" si="89"/>
        <v>116000</v>
      </c>
      <c r="M633" s="12" t="str" cm="1">
        <f t="array" aca="1" ref="M633" ca="1">INDEX($R$33:$R$82, RANDBETWEEN(1, COUNTA($R$33:$R$82)))</f>
        <v>NV50</v>
      </c>
      <c r="N633">
        <f t="shared" ca="1" si="90"/>
        <v>18</v>
      </c>
    </row>
    <row r="634" spans="1:14" ht="16.8" x14ac:dyDescent="0.3">
      <c r="A634" s="7" t="str">
        <f t="shared" si="82"/>
        <v>S0633</v>
      </c>
      <c r="B634" s="8">
        <f t="shared" ca="1" si="83"/>
        <v>44368</v>
      </c>
      <c r="C634" s="15" t="str" cm="1">
        <f t="array" aca="1" ref="C634" ca="1">INDEX($Q$2:$Q$31, RANDBETWEEN(1, COUNTA($Q$2:$Q$31)))</f>
        <v>Latte</v>
      </c>
      <c r="D634" s="10" t="str" cm="1">
        <f t="array" aca="1" ref="D634" ca="1">INDEX($R$2:$R$310, RANDBETWEEN(1, COUNTA($Q$2:$Q$310)))</f>
        <v>M</v>
      </c>
      <c r="E634">
        <f t="shared" ca="1" si="84"/>
        <v>5</v>
      </c>
      <c r="F634" cm="1">
        <f t="array" aca="1" ref="F634" ca="1">INDEX($S$2:$S$31, RANDBETWEEN(1, COUNTA($S$2:$S$31)))</f>
        <v>39000</v>
      </c>
      <c r="G634" cm="1">
        <f t="array" aca="1" ref="G634" ca="1">INDEX($S$2:$S$31, RANDBETWEEN(1, COUNTA($S$2:$S$31)))</f>
        <v>69000</v>
      </c>
      <c r="H634">
        <f t="shared" ca="1" si="85"/>
        <v>9</v>
      </c>
      <c r="I634">
        <f t="shared" ca="1" si="86"/>
        <v>35490</v>
      </c>
      <c r="J634" s="10" t="str">
        <f t="shared" ca="1" si="87"/>
        <v>Online</v>
      </c>
      <c r="K634" s="10">
        <f t="shared" ca="1" si="88"/>
        <v>35490</v>
      </c>
      <c r="L634" s="10">
        <f t="shared" ca="1" si="89"/>
        <v>177450</v>
      </c>
      <c r="M634" s="12" t="str" cm="1">
        <f t="array" aca="1" ref="M634" ca="1">INDEX($R$33:$R$82, RANDBETWEEN(1, COUNTA($R$33:$R$82)))</f>
        <v>NV22</v>
      </c>
      <c r="N634">
        <f t="shared" ca="1" si="90"/>
        <v>21</v>
      </c>
    </row>
    <row r="635" spans="1:14" ht="16.8" x14ac:dyDescent="0.3">
      <c r="A635" s="7" t="str">
        <f t="shared" si="82"/>
        <v>S0634</v>
      </c>
      <c r="B635" s="8">
        <f t="shared" ca="1" si="83"/>
        <v>45010</v>
      </c>
      <c r="C635" s="15" t="str" cm="1">
        <f t="array" aca="1" ref="C635" ca="1">INDEX($Q$2:$Q$31, RANDBETWEEN(1, COUNTA($Q$2:$Q$31)))</f>
        <v>Cappuccino</v>
      </c>
      <c r="D635" s="10" t="str" cm="1">
        <f t="array" aca="1" ref="D635" ca="1">INDEX($R$2:$R$310, RANDBETWEEN(1, COUNTA($Q$2:$Q$310)))</f>
        <v>M</v>
      </c>
      <c r="E635">
        <f t="shared" ca="1" si="84"/>
        <v>3</v>
      </c>
      <c r="F635" cm="1">
        <f t="array" aca="1" ref="F635" ca="1">INDEX($S$2:$S$31, RANDBETWEEN(1, COUNTA($S$2:$S$31)))</f>
        <v>59000</v>
      </c>
      <c r="G635" cm="1">
        <f t="array" aca="1" ref="G635" ca="1">INDEX($S$2:$S$31, RANDBETWEEN(1, COUNTA($S$2:$S$31)))</f>
        <v>39000</v>
      </c>
      <c r="H635">
        <f t="shared" ca="1" si="85"/>
        <v>14</v>
      </c>
      <c r="I635">
        <f t="shared" ca="1" si="86"/>
        <v>39000</v>
      </c>
      <c r="J635" s="10" t="str">
        <f t="shared" ca="1" si="87"/>
        <v>Offline</v>
      </c>
      <c r="K635" s="10">
        <f t="shared" ca="1" si="88"/>
        <v>39000</v>
      </c>
      <c r="L635" s="10">
        <f t="shared" ca="1" si="89"/>
        <v>117000</v>
      </c>
      <c r="M635" s="12" t="str" cm="1">
        <f t="array" aca="1" ref="M635" ca="1">INDEX($R$33:$R$82, RANDBETWEEN(1, COUNTA($R$33:$R$82)))</f>
        <v>NV7</v>
      </c>
      <c r="N635">
        <f t="shared" ca="1" si="90"/>
        <v>3</v>
      </c>
    </row>
    <row r="636" spans="1:14" ht="16.8" x14ac:dyDescent="0.3">
      <c r="A636" s="7" t="str">
        <f t="shared" si="82"/>
        <v>S0635</v>
      </c>
      <c r="B636" s="8">
        <f t="shared" ca="1" si="83"/>
        <v>44353</v>
      </c>
      <c r="C636" s="15" t="str" cm="1">
        <f t="array" aca="1" ref="C636" ca="1">INDEX($Q$2:$Q$31, RANDBETWEEN(1, COUNTA($Q$2:$Q$31)))</f>
        <v>Latte</v>
      </c>
      <c r="D636" s="10" t="str" cm="1">
        <f t="array" aca="1" ref="D636" ca="1">INDEX($R$2:$R$310, RANDBETWEEN(1, COUNTA($Q$2:$Q$310)))</f>
        <v>S</v>
      </c>
      <c r="E636">
        <f t="shared" ca="1" si="84"/>
        <v>2</v>
      </c>
      <c r="F636" cm="1">
        <f t="array" aca="1" ref="F636" ca="1">INDEX($S$2:$S$31, RANDBETWEEN(1, COUNTA($S$2:$S$31)))</f>
        <v>35000</v>
      </c>
      <c r="G636" cm="1">
        <f t="array" aca="1" ref="G636" ca="1">INDEX($S$2:$S$31, RANDBETWEEN(1, COUNTA($S$2:$S$31)))</f>
        <v>65000</v>
      </c>
      <c r="H636">
        <f t="shared" ca="1" si="85"/>
        <v>10</v>
      </c>
      <c r="I636">
        <f t="shared" ca="1" si="86"/>
        <v>31500</v>
      </c>
      <c r="J636" s="10" t="str">
        <f t="shared" ca="1" si="87"/>
        <v>Online</v>
      </c>
      <c r="K636" s="10">
        <f t="shared" ca="1" si="88"/>
        <v>31500</v>
      </c>
      <c r="L636" s="10">
        <f t="shared" ca="1" si="89"/>
        <v>63000</v>
      </c>
      <c r="M636" s="12" t="str" cm="1">
        <f t="array" aca="1" ref="M636" ca="1">INDEX($R$33:$R$82, RANDBETWEEN(1, COUNTA($R$33:$R$82)))</f>
        <v>NV16</v>
      </c>
      <c r="N636">
        <f t="shared" ca="1" si="90"/>
        <v>42</v>
      </c>
    </row>
    <row r="637" spans="1:14" ht="16.8" x14ac:dyDescent="0.3">
      <c r="A637" s="7" t="str">
        <f t="shared" si="82"/>
        <v>S0636</v>
      </c>
      <c r="B637" s="8">
        <f t="shared" ca="1" si="83"/>
        <v>44874</v>
      </c>
      <c r="C637" s="15" t="str" cm="1">
        <f t="array" aca="1" ref="C637" ca="1">INDEX($Q$2:$Q$31, RANDBETWEEN(1, COUNTA($Q$2:$Q$31)))</f>
        <v>Latte</v>
      </c>
      <c r="D637" s="10" t="str" cm="1">
        <f t="array" aca="1" ref="D637" ca="1">INDEX($R$2:$R$310, RANDBETWEEN(1, COUNTA($Q$2:$Q$310)))</f>
        <v>M</v>
      </c>
      <c r="E637">
        <f t="shared" ca="1" si="84"/>
        <v>3</v>
      </c>
      <c r="F637" cm="1">
        <f t="array" aca="1" ref="F637" ca="1">INDEX($S$2:$S$31, RANDBETWEEN(1, COUNTA($S$2:$S$31)))</f>
        <v>65000</v>
      </c>
      <c r="G637" cm="1">
        <f t="array" aca="1" ref="G637" ca="1">INDEX($S$2:$S$31, RANDBETWEEN(1, COUNTA($S$2:$S$31)))</f>
        <v>49000</v>
      </c>
      <c r="H637">
        <f t="shared" ca="1" si="85"/>
        <v>7</v>
      </c>
      <c r="I637">
        <f t="shared" ca="1" si="86"/>
        <v>60449.999999999993</v>
      </c>
      <c r="J637" s="10" t="str">
        <f t="shared" ca="1" si="87"/>
        <v>Online</v>
      </c>
      <c r="K637" s="10">
        <f t="shared" ca="1" si="88"/>
        <v>60449.999999999993</v>
      </c>
      <c r="L637" s="10">
        <f t="shared" ca="1" si="89"/>
        <v>181349.99999999997</v>
      </c>
      <c r="M637" s="12" t="str" cm="1">
        <f t="array" aca="1" ref="M637" ca="1">INDEX($R$33:$R$82, RANDBETWEEN(1, COUNTA($R$33:$R$82)))</f>
        <v>NV9</v>
      </c>
      <c r="N637">
        <f t="shared" ca="1" si="90"/>
        <v>31</v>
      </c>
    </row>
    <row r="638" spans="1:14" ht="16.8" x14ac:dyDescent="0.3">
      <c r="A638" s="7" t="str">
        <f t="shared" si="82"/>
        <v>S0637</v>
      </c>
      <c r="B638" s="8">
        <f t="shared" ca="1" si="83"/>
        <v>44674</v>
      </c>
      <c r="C638" s="15" t="str" cm="1">
        <f t="array" aca="1" ref="C638" ca="1">INDEX($Q$2:$Q$31, RANDBETWEEN(1, COUNTA($Q$2:$Q$31)))</f>
        <v>Americano</v>
      </c>
      <c r="D638" s="10" t="str" cm="1">
        <f t="array" aca="1" ref="D638" ca="1">INDEX($R$2:$R$310, RANDBETWEEN(1, COUNTA($Q$2:$Q$310)))</f>
        <v>L</v>
      </c>
      <c r="E638">
        <f t="shared" ca="1" si="84"/>
        <v>4</v>
      </c>
      <c r="F638" cm="1">
        <f t="array" aca="1" ref="F638" ca="1">INDEX($S$2:$S$31, RANDBETWEEN(1, COUNTA($S$2:$S$31)))</f>
        <v>59000</v>
      </c>
      <c r="G638" cm="1">
        <f t="array" aca="1" ref="G638" ca="1">INDEX($S$2:$S$31, RANDBETWEEN(1, COUNTA($S$2:$S$31)))</f>
        <v>39000</v>
      </c>
      <c r="H638">
        <f t="shared" ca="1" si="85"/>
        <v>8</v>
      </c>
      <c r="I638">
        <f t="shared" ca="1" si="86"/>
        <v>39000</v>
      </c>
      <c r="J638" s="10" t="str">
        <f t="shared" ca="1" si="87"/>
        <v>Offline</v>
      </c>
      <c r="K638" s="10">
        <f t="shared" ca="1" si="88"/>
        <v>39000</v>
      </c>
      <c r="L638" s="10">
        <f t="shared" ca="1" si="89"/>
        <v>156000</v>
      </c>
      <c r="M638" s="12" t="str" cm="1">
        <f t="array" aca="1" ref="M638" ca="1">INDEX($R$33:$R$82, RANDBETWEEN(1, COUNTA($R$33:$R$82)))</f>
        <v>NV21</v>
      </c>
      <c r="N638">
        <f t="shared" ca="1" si="90"/>
        <v>16</v>
      </c>
    </row>
    <row r="639" spans="1:14" ht="16.8" x14ac:dyDescent="0.3">
      <c r="A639" s="7" t="str">
        <f t="shared" ref="A639:A702" si="91">"S"&amp;TEXT(ROW()-1,"0000")</f>
        <v>S0638</v>
      </c>
      <c r="B639" s="8">
        <f t="shared" ref="B639:B702" ca="1" si="92">DATE(2021,1,1) + RANDBETWEEN(0,1095)</f>
        <v>45009</v>
      </c>
      <c r="C639" s="15" t="str" cm="1">
        <f t="array" aca="1" ref="C639" ca="1">INDEX($Q$2:$Q$31, RANDBETWEEN(1, COUNTA($Q$2:$Q$31)))</f>
        <v>Cookies &amp; Cream</v>
      </c>
      <c r="D639" s="10" t="str" cm="1">
        <f t="array" aca="1" ref="D639" ca="1">INDEX($R$2:$R$310, RANDBETWEEN(1, COUNTA($Q$2:$Q$310)))</f>
        <v>L</v>
      </c>
      <c r="E639">
        <f t="shared" ref="E639:E702" ca="1" si="93">RANDBETWEEN(1,5)</f>
        <v>5</v>
      </c>
      <c r="F639" cm="1">
        <f t="array" aca="1" ref="F639" ca="1">INDEX($S$2:$S$31, RANDBETWEEN(1, COUNTA($S$2:$S$31)))</f>
        <v>39000</v>
      </c>
      <c r="G639" cm="1">
        <f t="array" aca="1" ref="G639" ca="1">INDEX($S$2:$S$31, RANDBETWEEN(1, COUNTA($S$2:$S$31)))</f>
        <v>69000</v>
      </c>
      <c r="H639">
        <f t="shared" ca="1" si="85"/>
        <v>6</v>
      </c>
      <c r="I639">
        <f t="shared" ca="1" si="86"/>
        <v>69000</v>
      </c>
      <c r="J639" s="10" t="str">
        <f t="shared" ca="1" si="87"/>
        <v>Offline</v>
      </c>
      <c r="K639" s="10">
        <f t="shared" ca="1" si="88"/>
        <v>69000</v>
      </c>
      <c r="L639" s="10">
        <f t="shared" ca="1" si="89"/>
        <v>345000</v>
      </c>
      <c r="M639" s="12" t="str" cm="1">
        <f t="array" aca="1" ref="M639" ca="1">INDEX($R$33:$R$82, RANDBETWEEN(1, COUNTA($R$33:$R$82)))</f>
        <v>NV13</v>
      </c>
      <c r="N639">
        <f t="shared" ca="1" si="90"/>
        <v>32</v>
      </c>
    </row>
    <row r="640" spans="1:14" ht="16.8" x14ac:dyDescent="0.3">
      <c r="A640" s="7" t="str">
        <f t="shared" si="91"/>
        <v>S0639</v>
      </c>
      <c r="B640" s="8">
        <f t="shared" ca="1" si="92"/>
        <v>44787</v>
      </c>
      <c r="C640" s="15" t="str" cm="1">
        <f t="array" aca="1" ref="C640" ca="1">INDEX($Q$2:$Q$31, RANDBETWEEN(1, COUNTA($Q$2:$Q$31)))</f>
        <v>Classic Phin Freeze</v>
      </c>
      <c r="D640" s="10" t="str" cm="1">
        <f t="array" aca="1" ref="D640" ca="1">INDEX($R$2:$R$310, RANDBETWEEN(1, COUNTA($Q$2:$Q$310)))</f>
        <v>L</v>
      </c>
      <c r="E640">
        <f t="shared" ca="1" si="93"/>
        <v>3</v>
      </c>
      <c r="F640" cm="1">
        <f t="array" aca="1" ref="F640" ca="1">INDEX($S$2:$S$31, RANDBETWEEN(1, COUNTA($S$2:$S$31)))</f>
        <v>59000</v>
      </c>
      <c r="G640" cm="1">
        <f t="array" aca="1" ref="G640" ca="1">INDEX($S$2:$S$31, RANDBETWEEN(1, COUNTA($S$2:$S$31)))</f>
        <v>59000</v>
      </c>
      <c r="H640">
        <f t="shared" ca="1" si="85"/>
        <v>10</v>
      </c>
      <c r="I640">
        <f t="shared" ca="1" si="86"/>
        <v>53100</v>
      </c>
      <c r="J640" s="10" t="str">
        <f t="shared" ca="1" si="87"/>
        <v>Online</v>
      </c>
      <c r="K640" s="10">
        <f t="shared" ca="1" si="88"/>
        <v>53100</v>
      </c>
      <c r="L640" s="10">
        <f t="shared" ca="1" si="89"/>
        <v>159300</v>
      </c>
      <c r="M640" s="12" t="str" cm="1">
        <f t="array" aca="1" ref="M640" ca="1">INDEX($R$33:$R$82, RANDBETWEEN(1, COUNTA($R$33:$R$82)))</f>
        <v>NV25</v>
      </c>
      <c r="N640">
        <f t="shared" ca="1" si="90"/>
        <v>18</v>
      </c>
    </row>
    <row r="641" spans="1:14" ht="16.8" x14ac:dyDescent="0.3">
      <c r="A641" s="7" t="str">
        <f t="shared" si="91"/>
        <v>S0640</v>
      </c>
      <c r="B641" s="8">
        <f t="shared" ca="1" si="92"/>
        <v>44535</v>
      </c>
      <c r="C641" s="15" t="str" cm="1">
        <f t="array" aca="1" ref="C641" ca="1">INDEX($Q$2:$Q$31, RANDBETWEEN(1, COUNTA($Q$2:$Q$31)))</f>
        <v>Americano</v>
      </c>
      <c r="D641" s="10" t="str" cm="1">
        <f t="array" aca="1" ref="D641" ca="1">INDEX($R$2:$R$310, RANDBETWEEN(1, COUNTA($Q$2:$Q$310)))</f>
        <v>L</v>
      </c>
      <c r="E641">
        <f t="shared" ca="1" si="93"/>
        <v>5</v>
      </c>
      <c r="F641" cm="1">
        <f t="array" aca="1" ref="F641" ca="1">INDEX($S$2:$S$31, RANDBETWEEN(1, COUNTA($S$2:$S$31)))</f>
        <v>65000</v>
      </c>
      <c r="G641" cm="1">
        <f t="array" aca="1" ref="G641" ca="1">INDEX($S$2:$S$31, RANDBETWEEN(1, COUNTA($S$2:$S$31)))</f>
        <v>65000</v>
      </c>
      <c r="H641">
        <f t="shared" ca="1" si="85"/>
        <v>11</v>
      </c>
      <c r="I641">
        <f t="shared" ca="1" si="86"/>
        <v>65000</v>
      </c>
      <c r="J641" s="10" t="str">
        <f t="shared" ca="1" si="87"/>
        <v>Offline</v>
      </c>
      <c r="K641" s="10">
        <f t="shared" ca="1" si="88"/>
        <v>65000</v>
      </c>
      <c r="L641" s="10">
        <f t="shared" ca="1" si="89"/>
        <v>325000</v>
      </c>
      <c r="M641" s="12" t="str" cm="1">
        <f t="array" aca="1" ref="M641" ca="1">INDEX($R$33:$R$82, RANDBETWEEN(1, COUNTA($R$33:$R$82)))</f>
        <v>NV36</v>
      </c>
      <c r="N641">
        <f t="shared" ca="1" si="90"/>
        <v>13</v>
      </c>
    </row>
    <row r="642" spans="1:14" ht="16.8" x14ac:dyDescent="0.3">
      <c r="A642" s="7" t="str">
        <f t="shared" si="91"/>
        <v>S0641</v>
      </c>
      <c r="B642" s="8">
        <f t="shared" ca="1" si="92"/>
        <v>44641</v>
      </c>
      <c r="C642" s="15" t="str" cm="1">
        <f t="array" aca="1" ref="C642" ca="1">INDEX($Q$2:$Q$31, RANDBETWEEN(1, COUNTA($Q$2:$Q$31)))</f>
        <v>Mocha</v>
      </c>
      <c r="D642" s="10" t="str" cm="1">
        <f t="array" aca="1" ref="D642" ca="1">INDEX($R$2:$R$310, RANDBETWEEN(1, COUNTA($Q$2:$Q$310)))</f>
        <v>L</v>
      </c>
      <c r="E642">
        <f t="shared" ca="1" si="93"/>
        <v>1</v>
      </c>
      <c r="F642" cm="1">
        <f t="array" aca="1" ref="F642" ca="1">INDEX($S$2:$S$31, RANDBETWEEN(1, COUNTA($S$2:$S$31)))</f>
        <v>69000</v>
      </c>
      <c r="G642" cm="1">
        <f t="array" aca="1" ref="G642" ca="1">INDEX($S$2:$S$31, RANDBETWEEN(1, COUNTA($S$2:$S$31)))</f>
        <v>65000</v>
      </c>
      <c r="H642">
        <f t="shared" ca="1" si="85"/>
        <v>10</v>
      </c>
      <c r="I642">
        <f t="shared" ca="1" si="86"/>
        <v>65000</v>
      </c>
      <c r="J642" s="10" t="str">
        <f t="shared" ca="1" si="87"/>
        <v>Offline</v>
      </c>
      <c r="K642" s="10">
        <f t="shared" ca="1" si="88"/>
        <v>65000</v>
      </c>
      <c r="L642" s="10">
        <f t="shared" ca="1" si="89"/>
        <v>65000</v>
      </c>
      <c r="M642" s="12" t="str" cm="1">
        <f t="array" aca="1" ref="M642" ca="1">INDEX($R$33:$R$82, RANDBETWEEN(1, COUNTA($R$33:$R$82)))</f>
        <v>NV13</v>
      </c>
      <c r="N642">
        <f t="shared" ca="1" si="90"/>
        <v>37</v>
      </c>
    </row>
    <row r="643" spans="1:14" ht="16.8" x14ac:dyDescent="0.3">
      <c r="A643" s="7" t="str">
        <f t="shared" si="91"/>
        <v>S0642</v>
      </c>
      <c r="B643" s="8">
        <f t="shared" ca="1" si="92"/>
        <v>44778</v>
      </c>
      <c r="C643" s="15" t="str" cm="1">
        <f t="array" aca="1" ref="C643" ca="1">INDEX($Q$2:$Q$31, RANDBETWEEN(1, COUNTA($Q$2:$Q$31)))</f>
        <v>Cappuccino</v>
      </c>
      <c r="D643" s="10" t="str" cm="1">
        <f t="array" aca="1" ref="D643" ca="1">INDEX($R$2:$R$310, RANDBETWEEN(1, COUNTA($Q$2:$Q$310)))</f>
        <v>M</v>
      </c>
      <c r="E643">
        <f t="shared" ca="1" si="93"/>
        <v>5</v>
      </c>
      <c r="F643" cm="1">
        <f t="array" aca="1" ref="F643" ca="1">INDEX($S$2:$S$31, RANDBETWEEN(1, COUNTA($S$2:$S$31)))</f>
        <v>55000</v>
      </c>
      <c r="G643" cm="1">
        <f t="array" aca="1" ref="G643" ca="1">INDEX($S$2:$S$31, RANDBETWEEN(1, COUNTA($S$2:$S$31)))</f>
        <v>65000</v>
      </c>
      <c r="H643">
        <f t="shared" ref="H643:H706" ca="1" si="94">RANDBETWEEN(5,15)</f>
        <v>5</v>
      </c>
      <c r="I643">
        <f t="shared" ref="I643:I706" ca="1" si="95">IF(J643="Online", F643*(1-H643/100), G643)</f>
        <v>52250</v>
      </c>
      <c r="J643" s="10" t="str">
        <f t="shared" ref="J643:J706" ca="1" si="96">IF(RANDBETWEEN(1,2)=1,"Online","Offline")</f>
        <v>Online</v>
      </c>
      <c r="K643" s="10">
        <f t="shared" ref="K643:K706" ca="1" si="97">I643</f>
        <v>52250</v>
      </c>
      <c r="L643" s="10">
        <f t="shared" ref="L643:L706" ca="1" si="98">E643*K643</f>
        <v>261250</v>
      </c>
      <c r="M643" s="12" t="str" cm="1">
        <f t="array" aca="1" ref="M643" ca="1">INDEX($R$33:$R$82, RANDBETWEEN(1, COUNTA($R$33:$R$82)))</f>
        <v>NV21</v>
      </c>
      <c r="N643">
        <f t="shared" ref="N643:N706" ca="1" si="99" xml:space="preserve"> RANDBETWEEN(2,51)</f>
        <v>51</v>
      </c>
    </row>
    <row r="644" spans="1:14" ht="16.8" x14ac:dyDescent="0.3">
      <c r="A644" s="7" t="str">
        <f t="shared" si="91"/>
        <v>S0643</v>
      </c>
      <c r="B644" s="8">
        <f t="shared" ca="1" si="92"/>
        <v>45126</v>
      </c>
      <c r="C644" s="15" t="str" cm="1">
        <f t="array" aca="1" ref="C644" ca="1">INDEX($Q$2:$Q$31, RANDBETWEEN(1, COUNTA($Q$2:$Q$31)))</f>
        <v>Latte</v>
      </c>
      <c r="D644" s="10" t="str" cm="1">
        <f t="array" aca="1" ref="D644" ca="1">INDEX($R$2:$R$310, RANDBETWEEN(1, COUNTA($Q$2:$Q$310)))</f>
        <v>M</v>
      </c>
      <c r="E644">
        <f t="shared" ca="1" si="93"/>
        <v>3</v>
      </c>
      <c r="F644" cm="1">
        <f t="array" aca="1" ref="F644" ca="1">INDEX($S$2:$S$31, RANDBETWEEN(1, COUNTA($S$2:$S$31)))</f>
        <v>69000</v>
      </c>
      <c r="G644" cm="1">
        <f t="array" aca="1" ref="G644" ca="1">INDEX($S$2:$S$31, RANDBETWEEN(1, COUNTA($S$2:$S$31)))</f>
        <v>59000</v>
      </c>
      <c r="H644">
        <f t="shared" ca="1" si="94"/>
        <v>6</v>
      </c>
      <c r="I644">
        <f t="shared" ca="1" si="95"/>
        <v>59000</v>
      </c>
      <c r="J644" s="10" t="str">
        <f t="shared" ca="1" si="96"/>
        <v>Offline</v>
      </c>
      <c r="K644" s="10">
        <f t="shared" ca="1" si="97"/>
        <v>59000</v>
      </c>
      <c r="L644" s="10">
        <f t="shared" ca="1" si="98"/>
        <v>177000</v>
      </c>
      <c r="M644" s="12" t="str" cm="1">
        <f t="array" aca="1" ref="M644" ca="1">INDEX($R$33:$R$82, RANDBETWEEN(1, COUNTA($R$33:$R$82)))</f>
        <v>NV29</v>
      </c>
      <c r="N644">
        <f t="shared" ca="1" si="99"/>
        <v>16</v>
      </c>
    </row>
    <row r="645" spans="1:14" ht="16.8" x14ac:dyDescent="0.3">
      <c r="A645" s="7" t="str">
        <f t="shared" si="91"/>
        <v>S0644</v>
      </c>
      <c r="B645" s="8">
        <f t="shared" ca="1" si="92"/>
        <v>44987</v>
      </c>
      <c r="C645" s="15" t="str" cm="1">
        <f t="array" aca="1" ref="C645" ca="1">INDEX($Q$2:$Q$31, RANDBETWEEN(1, COUNTA($Q$2:$Q$31)))</f>
        <v>Americano</v>
      </c>
      <c r="D645" s="10" t="str" cm="1">
        <f t="array" aca="1" ref="D645" ca="1">INDEX($R$2:$R$310, RANDBETWEEN(1, COUNTA($Q$2:$Q$310)))</f>
        <v>L</v>
      </c>
      <c r="E645">
        <f t="shared" ca="1" si="93"/>
        <v>1</v>
      </c>
      <c r="F645" cm="1">
        <f t="array" aca="1" ref="F645" ca="1">INDEX($S$2:$S$31, RANDBETWEEN(1, COUNTA($S$2:$S$31)))</f>
        <v>35000</v>
      </c>
      <c r="G645" cm="1">
        <f t="array" aca="1" ref="G645" ca="1">INDEX($S$2:$S$31, RANDBETWEEN(1, COUNTA($S$2:$S$31)))</f>
        <v>75000</v>
      </c>
      <c r="H645">
        <f t="shared" ca="1" si="94"/>
        <v>11</v>
      </c>
      <c r="I645">
        <f t="shared" ca="1" si="95"/>
        <v>31150</v>
      </c>
      <c r="J645" s="10" t="str">
        <f t="shared" ca="1" si="96"/>
        <v>Online</v>
      </c>
      <c r="K645" s="10">
        <f t="shared" ca="1" si="97"/>
        <v>31150</v>
      </c>
      <c r="L645" s="10">
        <f t="shared" ca="1" si="98"/>
        <v>31150</v>
      </c>
      <c r="M645" s="12" t="str" cm="1">
        <f t="array" aca="1" ref="M645" ca="1">INDEX($R$33:$R$82, RANDBETWEEN(1, COUNTA($R$33:$R$82)))</f>
        <v>NV29</v>
      </c>
      <c r="N645">
        <f t="shared" ca="1" si="99"/>
        <v>45</v>
      </c>
    </row>
    <row r="646" spans="1:14" ht="16.8" x14ac:dyDescent="0.3">
      <c r="A646" s="7" t="str">
        <f t="shared" si="91"/>
        <v>S0645</v>
      </c>
      <c r="B646" s="8">
        <f t="shared" ca="1" si="92"/>
        <v>44257</v>
      </c>
      <c r="C646" s="15" t="str" cm="1">
        <f t="array" aca="1" ref="C646" ca="1">INDEX($Q$2:$Q$31, RANDBETWEEN(1, COUNTA($Q$2:$Q$31)))</f>
        <v>Latte</v>
      </c>
      <c r="D646" s="10" t="str" cm="1">
        <f t="array" aca="1" ref="D646" ca="1">INDEX($R$2:$R$310, RANDBETWEEN(1, COUNTA($Q$2:$Q$310)))</f>
        <v>S</v>
      </c>
      <c r="E646">
        <f t="shared" ca="1" si="93"/>
        <v>5</v>
      </c>
      <c r="F646" cm="1">
        <f t="array" aca="1" ref="F646" ca="1">INDEX($S$2:$S$31, RANDBETWEEN(1, COUNTA($S$2:$S$31)))</f>
        <v>59000</v>
      </c>
      <c r="G646" cm="1">
        <f t="array" aca="1" ref="G646" ca="1">INDEX($S$2:$S$31, RANDBETWEEN(1, COUNTA($S$2:$S$31)))</f>
        <v>29000</v>
      </c>
      <c r="H646">
        <f t="shared" ca="1" si="94"/>
        <v>13</v>
      </c>
      <c r="I646">
        <f t="shared" ca="1" si="95"/>
        <v>51330</v>
      </c>
      <c r="J646" s="10" t="str">
        <f t="shared" ca="1" si="96"/>
        <v>Online</v>
      </c>
      <c r="K646" s="10">
        <f t="shared" ca="1" si="97"/>
        <v>51330</v>
      </c>
      <c r="L646" s="10">
        <f t="shared" ca="1" si="98"/>
        <v>256650</v>
      </c>
      <c r="M646" s="12" t="str" cm="1">
        <f t="array" aca="1" ref="M646" ca="1">INDEX($R$33:$R$82, RANDBETWEEN(1, COUNTA($R$33:$R$82)))</f>
        <v>NV42</v>
      </c>
      <c r="N646">
        <f t="shared" ca="1" si="99"/>
        <v>24</v>
      </c>
    </row>
    <row r="647" spans="1:14" ht="16.8" x14ac:dyDescent="0.3">
      <c r="A647" s="7" t="str">
        <f t="shared" si="91"/>
        <v>S0646</v>
      </c>
      <c r="B647" s="8">
        <f t="shared" ca="1" si="92"/>
        <v>45258</v>
      </c>
      <c r="C647" s="15" t="str" cm="1">
        <f t="array" aca="1" ref="C647" ca="1">INDEX($Q$2:$Q$31, RANDBETWEEN(1, COUNTA($Q$2:$Q$31)))</f>
        <v xml:space="preserve">Chocolate Freeze </v>
      </c>
      <c r="D647" s="10" t="str" cm="1">
        <f t="array" aca="1" ref="D647" ca="1">INDEX($R$2:$R$310, RANDBETWEEN(1, COUNTA($Q$2:$Q$310)))</f>
        <v>L</v>
      </c>
      <c r="E647">
        <f t="shared" ca="1" si="93"/>
        <v>1</v>
      </c>
      <c r="F647" cm="1">
        <f t="array" aca="1" ref="F647" ca="1">INDEX($S$2:$S$31, RANDBETWEEN(1, COUNTA($S$2:$S$31)))</f>
        <v>65000</v>
      </c>
      <c r="G647" cm="1">
        <f t="array" aca="1" ref="G647" ca="1">INDEX($S$2:$S$31, RANDBETWEEN(1, COUNTA($S$2:$S$31)))</f>
        <v>59000</v>
      </c>
      <c r="H647">
        <f t="shared" ca="1" si="94"/>
        <v>8</v>
      </c>
      <c r="I647">
        <f t="shared" ca="1" si="95"/>
        <v>59000</v>
      </c>
      <c r="J647" s="10" t="str">
        <f t="shared" ca="1" si="96"/>
        <v>Offline</v>
      </c>
      <c r="K647" s="10">
        <f t="shared" ca="1" si="97"/>
        <v>59000</v>
      </c>
      <c r="L647" s="10">
        <f t="shared" ca="1" si="98"/>
        <v>59000</v>
      </c>
      <c r="M647" s="12" t="str" cm="1">
        <f t="array" aca="1" ref="M647" ca="1">INDEX($R$33:$R$82, RANDBETWEEN(1, COUNTA($R$33:$R$82)))</f>
        <v>NV17</v>
      </c>
      <c r="N647">
        <f t="shared" ca="1" si="99"/>
        <v>41</v>
      </c>
    </row>
    <row r="648" spans="1:14" ht="16.8" x14ac:dyDescent="0.3">
      <c r="A648" s="7" t="str">
        <f t="shared" si="91"/>
        <v>S0647</v>
      </c>
      <c r="B648" s="8">
        <f t="shared" ca="1" si="92"/>
        <v>44899</v>
      </c>
      <c r="C648" s="15" t="str" cm="1">
        <f t="array" aca="1" ref="C648" ca="1">INDEX($Q$2:$Q$31, RANDBETWEEN(1, COUNTA($Q$2:$Q$31)))</f>
        <v>Americano</v>
      </c>
      <c r="D648" s="10" t="str" cm="1">
        <f t="array" aca="1" ref="D648" ca="1">INDEX($R$2:$R$310, RANDBETWEEN(1, COUNTA($Q$2:$Q$310)))</f>
        <v>S</v>
      </c>
      <c r="E648">
        <f t="shared" ca="1" si="93"/>
        <v>2</v>
      </c>
      <c r="F648" cm="1">
        <f t="array" aca="1" ref="F648" ca="1">INDEX($S$2:$S$31, RANDBETWEEN(1, COUNTA($S$2:$S$31)))</f>
        <v>69000</v>
      </c>
      <c r="G648" cm="1">
        <f t="array" aca="1" ref="G648" ca="1">INDEX($S$2:$S$31, RANDBETWEEN(1, COUNTA($S$2:$S$31)))</f>
        <v>65000</v>
      </c>
      <c r="H648">
        <f t="shared" ca="1" si="94"/>
        <v>7</v>
      </c>
      <c r="I648">
        <f t="shared" ca="1" si="95"/>
        <v>65000</v>
      </c>
      <c r="J648" s="10" t="str">
        <f t="shared" ca="1" si="96"/>
        <v>Offline</v>
      </c>
      <c r="K648" s="10">
        <f t="shared" ca="1" si="97"/>
        <v>65000</v>
      </c>
      <c r="L648" s="10">
        <f t="shared" ca="1" si="98"/>
        <v>130000</v>
      </c>
      <c r="M648" s="12" t="str" cm="1">
        <f t="array" aca="1" ref="M648" ca="1">INDEX($R$33:$R$82, RANDBETWEEN(1, COUNTA($R$33:$R$82)))</f>
        <v>NV36</v>
      </c>
      <c r="N648">
        <f t="shared" ca="1" si="99"/>
        <v>16</v>
      </c>
    </row>
    <row r="649" spans="1:14" ht="16.8" x14ac:dyDescent="0.3">
      <c r="A649" s="7" t="str">
        <f t="shared" si="91"/>
        <v>S0648</v>
      </c>
      <c r="B649" s="8">
        <f t="shared" ca="1" si="92"/>
        <v>44358</v>
      </c>
      <c r="C649" s="15" t="str" cm="1">
        <f t="array" aca="1" ref="C649" ca="1">INDEX($Q$2:$Q$31, RANDBETWEEN(1, COUNTA($Q$2:$Q$31)))</f>
        <v>Cappuccino</v>
      </c>
      <c r="D649" s="10" t="str" cm="1">
        <f t="array" aca="1" ref="D649" ca="1">INDEX($R$2:$R$310, RANDBETWEEN(1, COUNTA($Q$2:$Q$310)))</f>
        <v>M</v>
      </c>
      <c r="E649">
        <f t="shared" ca="1" si="93"/>
        <v>4</v>
      </c>
      <c r="F649" cm="1">
        <f t="array" aca="1" ref="F649" ca="1">INDEX($S$2:$S$31, RANDBETWEEN(1, COUNTA($S$2:$S$31)))</f>
        <v>59000</v>
      </c>
      <c r="G649" cm="1">
        <f t="array" aca="1" ref="G649" ca="1">INDEX($S$2:$S$31, RANDBETWEEN(1, COUNTA($S$2:$S$31)))</f>
        <v>65000</v>
      </c>
      <c r="H649">
        <f t="shared" ca="1" si="94"/>
        <v>12</v>
      </c>
      <c r="I649">
        <f t="shared" ca="1" si="95"/>
        <v>65000</v>
      </c>
      <c r="J649" s="10" t="str">
        <f t="shared" ca="1" si="96"/>
        <v>Offline</v>
      </c>
      <c r="K649" s="10">
        <f t="shared" ca="1" si="97"/>
        <v>65000</v>
      </c>
      <c r="L649" s="10">
        <f t="shared" ca="1" si="98"/>
        <v>260000</v>
      </c>
      <c r="M649" s="12" t="str" cm="1">
        <f t="array" aca="1" ref="M649" ca="1">INDEX($R$33:$R$82, RANDBETWEEN(1, COUNTA($R$33:$R$82)))</f>
        <v>NV1</v>
      </c>
      <c r="N649">
        <f t="shared" ca="1" si="99"/>
        <v>45</v>
      </c>
    </row>
    <row r="650" spans="1:14" ht="16.8" x14ac:dyDescent="0.3">
      <c r="A650" s="7" t="str">
        <f t="shared" si="91"/>
        <v>S0649</v>
      </c>
      <c r="B650" s="8">
        <f t="shared" ca="1" si="92"/>
        <v>45003</v>
      </c>
      <c r="C650" s="15" t="str" cm="1">
        <f t="array" aca="1" ref="C650" ca="1">INDEX($Q$2:$Q$31, RANDBETWEEN(1, COUNTA($Q$2:$Q$31)))</f>
        <v xml:space="preserve">Green Tea Freeze </v>
      </c>
      <c r="D650" s="10" t="str" cm="1">
        <f t="array" aca="1" ref="D650" ca="1">INDEX($R$2:$R$310, RANDBETWEEN(1, COUNTA($Q$2:$Q$310)))</f>
        <v>S</v>
      </c>
      <c r="E650">
        <f t="shared" ca="1" si="93"/>
        <v>4</v>
      </c>
      <c r="F650" cm="1">
        <f t="array" aca="1" ref="F650" ca="1">INDEX($S$2:$S$31, RANDBETWEEN(1, COUNTA($S$2:$S$31)))</f>
        <v>65000</v>
      </c>
      <c r="G650" cm="1">
        <f t="array" aca="1" ref="G650" ca="1">INDEX($S$2:$S$31, RANDBETWEEN(1, COUNTA($S$2:$S$31)))</f>
        <v>49000</v>
      </c>
      <c r="H650">
        <f t="shared" ca="1" si="94"/>
        <v>5</v>
      </c>
      <c r="I650">
        <f t="shared" ca="1" si="95"/>
        <v>49000</v>
      </c>
      <c r="J650" s="10" t="str">
        <f t="shared" ca="1" si="96"/>
        <v>Offline</v>
      </c>
      <c r="K650" s="10">
        <f t="shared" ca="1" si="97"/>
        <v>49000</v>
      </c>
      <c r="L650" s="10">
        <f t="shared" ca="1" si="98"/>
        <v>196000</v>
      </c>
      <c r="M650" s="12" t="str" cm="1">
        <f t="array" aca="1" ref="M650" ca="1">INDEX($R$33:$R$82, RANDBETWEEN(1, COUNTA($R$33:$R$82)))</f>
        <v>NV34</v>
      </c>
      <c r="N650">
        <f t="shared" ca="1" si="99"/>
        <v>32</v>
      </c>
    </row>
    <row r="651" spans="1:14" ht="16.8" x14ac:dyDescent="0.3">
      <c r="A651" s="7" t="str">
        <f t="shared" si="91"/>
        <v>S0650</v>
      </c>
      <c r="B651" s="8">
        <f t="shared" ca="1" si="92"/>
        <v>44753</v>
      </c>
      <c r="C651" s="15" t="str" cm="1">
        <f t="array" aca="1" ref="C651" ca="1">INDEX($Q$2:$Q$31, RANDBETWEEN(1, COUNTA($Q$2:$Q$31)))</f>
        <v xml:space="preserve">Green Tea Freeze </v>
      </c>
      <c r="D651" s="10" t="str" cm="1">
        <f t="array" aca="1" ref="D651" ca="1">INDEX($R$2:$R$310, RANDBETWEEN(1, COUNTA($Q$2:$Q$310)))</f>
        <v>M</v>
      </c>
      <c r="E651">
        <f t="shared" ca="1" si="93"/>
        <v>3</v>
      </c>
      <c r="F651" cm="1">
        <f t="array" aca="1" ref="F651" ca="1">INDEX($S$2:$S$31, RANDBETWEEN(1, COUNTA($S$2:$S$31)))</f>
        <v>29000</v>
      </c>
      <c r="G651" cm="1">
        <f t="array" aca="1" ref="G651" ca="1">INDEX($S$2:$S$31, RANDBETWEEN(1, COUNTA($S$2:$S$31)))</f>
        <v>29000</v>
      </c>
      <c r="H651">
        <f t="shared" ca="1" si="94"/>
        <v>15</v>
      </c>
      <c r="I651">
        <f t="shared" ca="1" si="95"/>
        <v>29000</v>
      </c>
      <c r="J651" s="10" t="str">
        <f t="shared" ca="1" si="96"/>
        <v>Offline</v>
      </c>
      <c r="K651" s="10">
        <f t="shared" ca="1" si="97"/>
        <v>29000</v>
      </c>
      <c r="L651" s="10">
        <f t="shared" ca="1" si="98"/>
        <v>87000</v>
      </c>
      <c r="M651" s="12" t="str" cm="1">
        <f t="array" aca="1" ref="M651" ca="1">INDEX($R$33:$R$82, RANDBETWEEN(1, COUNTA($R$33:$R$82)))</f>
        <v>NV17</v>
      </c>
      <c r="N651">
        <f t="shared" ca="1" si="99"/>
        <v>42</v>
      </c>
    </row>
    <row r="652" spans="1:14" ht="16.8" x14ac:dyDescent="0.3">
      <c r="A652" s="7" t="str">
        <f t="shared" si="91"/>
        <v>S0651</v>
      </c>
      <c r="B652" s="8">
        <f t="shared" ca="1" si="92"/>
        <v>44971</v>
      </c>
      <c r="C652" s="15" t="str" cm="1">
        <f t="array" aca="1" ref="C652" ca="1">INDEX($Q$2:$Q$31, RANDBETWEEN(1, COUNTA($Q$2:$Q$31)))</f>
        <v>Cookies &amp; Cream</v>
      </c>
      <c r="D652" s="10" t="str" cm="1">
        <f t="array" aca="1" ref="D652" ca="1">INDEX($R$2:$R$310, RANDBETWEEN(1, COUNTA($Q$2:$Q$310)))</f>
        <v>L</v>
      </c>
      <c r="E652">
        <f t="shared" ca="1" si="93"/>
        <v>1</v>
      </c>
      <c r="F652" cm="1">
        <f t="array" aca="1" ref="F652" ca="1">INDEX($S$2:$S$31, RANDBETWEEN(1, COUNTA($S$2:$S$31)))</f>
        <v>65000</v>
      </c>
      <c r="G652" cm="1">
        <f t="array" aca="1" ref="G652" ca="1">INDEX($S$2:$S$31, RANDBETWEEN(1, COUNTA($S$2:$S$31)))</f>
        <v>59000</v>
      </c>
      <c r="H652">
        <f t="shared" ca="1" si="94"/>
        <v>8</v>
      </c>
      <c r="I652">
        <f t="shared" ca="1" si="95"/>
        <v>59800</v>
      </c>
      <c r="J652" s="10" t="str">
        <f t="shared" ca="1" si="96"/>
        <v>Online</v>
      </c>
      <c r="K652" s="10">
        <f t="shared" ca="1" si="97"/>
        <v>59800</v>
      </c>
      <c r="L652" s="10">
        <f t="shared" ca="1" si="98"/>
        <v>59800</v>
      </c>
      <c r="M652" s="12" t="str" cm="1">
        <f t="array" aca="1" ref="M652" ca="1">INDEX($R$33:$R$82, RANDBETWEEN(1, COUNTA($R$33:$R$82)))</f>
        <v>NV1</v>
      </c>
      <c r="N652">
        <f t="shared" ca="1" si="99"/>
        <v>39</v>
      </c>
    </row>
    <row r="653" spans="1:14" ht="16.8" x14ac:dyDescent="0.3">
      <c r="A653" s="7" t="str">
        <f t="shared" si="91"/>
        <v>S0652</v>
      </c>
      <c r="B653" s="8">
        <f t="shared" ca="1" si="92"/>
        <v>44827</v>
      </c>
      <c r="C653" s="15" t="str" cm="1">
        <f t="array" aca="1" ref="C653" ca="1">INDEX($Q$2:$Q$31, RANDBETWEEN(1, COUNTA($Q$2:$Q$31)))</f>
        <v>Americano</v>
      </c>
      <c r="D653" s="10" t="str" cm="1">
        <f t="array" aca="1" ref="D653" ca="1">INDEX($R$2:$R$310, RANDBETWEEN(1, COUNTA($Q$2:$Q$310)))</f>
        <v>M</v>
      </c>
      <c r="E653">
        <f t="shared" ca="1" si="93"/>
        <v>4</v>
      </c>
      <c r="F653" cm="1">
        <f t="array" aca="1" ref="F653" ca="1">INDEX($S$2:$S$31, RANDBETWEEN(1, COUNTA($S$2:$S$31)))</f>
        <v>65000</v>
      </c>
      <c r="G653" cm="1">
        <f t="array" aca="1" ref="G653" ca="1">INDEX($S$2:$S$31, RANDBETWEEN(1, COUNTA($S$2:$S$31)))</f>
        <v>69000</v>
      </c>
      <c r="H653">
        <f t="shared" ca="1" si="94"/>
        <v>9</v>
      </c>
      <c r="I653">
        <f t="shared" ca="1" si="95"/>
        <v>69000</v>
      </c>
      <c r="J653" s="10" t="str">
        <f t="shared" ca="1" si="96"/>
        <v>Offline</v>
      </c>
      <c r="K653" s="10">
        <f t="shared" ca="1" si="97"/>
        <v>69000</v>
      </c>
      <c r="L653" s="10">
        <f t="shared" ca="1" si="98"/>
        <v>276000</v>
      </c>
      <c r="M653" s="12" t="str" cm="1">
        <f t="array" aca="1" ref="M653" ca="1">INDEX($R$33:$R$82, RANDBETWEEN(1, COUNTA($R$33:$R$82)))</f>
        <v>NV30</v>
      </c>
      <c r="N653">
        <f t="shared" ca="1" si="99"/>
        <v>39</v>
      </c>
    </row>
    <row r="654" spans="1:14" ht="16.8" x14ac:dyDescent="0.3">
      <c r="A654" s="7" t="str">
        <f t="shared" si="91"/>
        <v>S0653</v>
      </c>
      <c r="B654" s="8">
        <f t="shared" ca="1" si="92"/>
        <v>45194</v>
      </c>
      <c r="C654" s="15" t="str" cm="1">
        <f t="array" aca="1" ref="C654" ca="1">INDEX($Q$2:$Q$31, RANDBETWEEN(1, COUNTA($Q$2:$Q$31)))</f>
        <v>Caramel Phin Freeze</v>
      </c>
      <c r="D654" s="10" t="str" cm="1">
        <f t="array" aca="1" ref="D654" ca="1">INDEX($R$2:$R$310, RANDBETWEEN(1, COUNTA($Q$2:$Q$310)))</f>
        <v>S</v>
      </c>
      <c r="E654">
        <f t="shared" ca="1" si="93"/>
        <v>1</v>
      </c>
      <c r="F654" cm="1">
        <f t="array" aca="1" ref="F654" ca="1">INDEX($S$2:$S$31, RANDBETWEEN(1, COUNTA($S$2:$S$31)))</f>
        <v>75000</v>
      </c>
      <c r="G654" cm="1">
        <f t="array" aca="1" ref="G654" ca="1">INDEX($S$2:$S$31, RANDBETWEEN(1, COUNTA($S$2:$S$31)))</f>
        <v>59000</v>
      </c>
      <c r="H654">
        <f t="shared" ca="1" si="94"/>
        <v>9</v>
      </c>
      <c r="I654">
        <f t="shared" ca="1" si="95"/>
        <v>59000</v>
      </c>
      <c r="J654" s="10" t="str">
        <f t="shared" ca="1" si="96"/>
        <v>Offline</v>
      </c>
      <c r="K654" s="10">
        <f t="shared" ca="1" si="97"/>
        <v>59000</v>
      </c>
      <c r="L654" s="10">
        <f t="shared" ca="1" si="98"/>
        <v>59000</v>
      </c>
      <c r="M654" s="12" t="str" cm="1">
        <f t="array" aca="1" ref="M654" ca="1">INDEX($R$33:$R$82, RANDBETWEEN(1, COUNTA($R$33:$R$82)))</f>
        <v>NV40</v>
      </c>
      <c r="N654">
        <f t="shared" ca="1" si="99"/>
        <v>38</v>
      </c>
    </row>
    <row r="655" spans="1:14" ht="16.8" x14ac:dyDescent="0.3">
      <c r="A655" s="7" t="str">
        <f t="shared" si="91"/>
        <v>S0654</v>
      </c>
      <c r="B655" s="8">
        <f t="shared" ca="1" si="92"/>
        <v>44752</v>
      </c>
      <c r="C655" s="15" t="str" cm="1">
        <f t="array" aca="1" ref="C655" ca="1">INDEX($Q$2:$Q$31, RANDBETWEEN(1, COUNTA($Q$2:$Q$31)))</f>
        <v>Americano</v>
      </c>
      <c r="D655" s="10" t="str" cm="1">
        <f t="array" aca="1" ref="D655" ca="1">INDEX($R$2:$R$310, RANDBETWEEN(1, COUNTA($Q$2:$Q$310)))</f>
        <v>S</v>
      </c>
      <c r="E655">
        <f t="shared" ca="1" si="93"/>
        <v>1</v>
      </c>
      <c r="F655" cm="1">
        <f t="array" aca="1" ref="F655" ca="1">INDEX($S$2:$S$31, RANDBETWEEN(1, COUNTA($S$2:$S$31)))</f>
        <v>59000</v>
      </c>
      <c r="G655" cm="1">
        <f t="array" aca="1" ref="G655" ca="1">INDEX($S$2:$S$31, RANDBETWEEN(1, COUNTA($S$2:$S$31)))</f>
        <v>75000</v>
      </c>
      <c r="H655">
        <f t="shared" ca="1" si="94"/>
        <v>5</v>
      </c>
      <c r="I655">
        <f t="shared" ca="1" si="95"/>
        <v>75000</v>
      </c>
      <c r="J655" s="10" t="str">
        <f t="shared" ca="1" si="96"/>
        <v>Offline</v>
      </c>
      <c r="K655" s="10">
        <f t="shared" ca="1" si="97"/>
        <v>75000</v>
      </c>
      <c r="L655" s="10">
        <f t="shared" ca="1" si="98"/>
        <v>75000</v>
      </c>
      <c r="M655" s="12" t="str" cm="1">
        <f t="array" aca="1" ref="M655" ca="1">INDEX($R$33:$R$82, RANDBETWEEN(1, COUNTA($R$33:$R$82)))</f>
        <v>NV26</v>
      </c>
      <c r="N655">
        <f t="shared" ca="1" si="99"/>
        <v>11</v>
      </c>
    </row>
    <row r="656" spans="1:14" ht="16.8" x14ac:dyDescent="0.3">
      <c r="A656" s="7" t="str">
        <f t="shared" si="91"/>
        <v>S0655</v>
      </c>
      <c r="B656" s="8">
        <f t="shared" ca="1" si="92"/>
        <v>44632</v>
      </c>
      <c r="C656" s="15" t="str" cm="1">
        <f t="array" aca="1" ref="C656" ca="1">INDEX($Q$2:$Q$31, RANDBETWEEN(1, COUNTA($Q$2:$Q$31)))</f>
        <v>Caramel Phin Freeze</v>
      </c>
      <c r="D656" s="10" t="str" cm="1">
        <f t="array" aca="1" ref="D656" ca="1">INDEX($R$2:$R$310, RANDBETWEEN(1, COUNTA($Q$2:$Q$310)))</f>
        <v>S</v>
      </c>
      <c r="E656">
        <f t="shared" ca="1" si="93"/>
        <v>3</v>
      </c>
      <c r="F656" cm="1">
        <f t="array" aca="1" ref="F656" ca="1">INDEX($S$2:$S$31, RANDBETWEEN(1, COUNTA($S$2:$S$31)))</f>
        <v>75000</v>
      </c>
      <c r="G656" cm="1">
        <f t="array" aca="1" ref="G656" ca="1">INDEX($S$2:$S$31, RANDBETWEEN(1, COUNTA($S$2:$S$31)))</f>
        <v>65000</v>
      </c>
      <c r="H656">
        <f t="shared" ca="1" si="94"/>
        <v>7</v>
      </c>
      <c r="I656">
        <f t="shared" ca="1" si="95"/>
        <v>69750</v>
      </c>
      <c r="J656" s="10" t="str">
        <f t="shared" ca="1" si="96"/>
        <v>Online</v>
      </c>
      <c r="K656" s="10">
        <f t="shared" ca="1" si="97"/>
        <v>69750</v>
      </c>
      <c r="L656" s="10">
        <f t="shared" ca="1" si="98"/>
        <v>209250</v>
      </c>
      <c r="M656" s="12" t="str" cm="1">
        <f t="array" aca="1" ref="M656" ca="1">INDEX($R$33:$R$82, RANDBETWEEN(1, COUNTA($R$33:$R$82)))</f>
        <v>NV30</v>
      </c>
      <c r="N656">
        <f t="shared" ca="1" si="99"/>
        <v>7</v>
      </c>
    </row>
    <row r="657" spans="1:14" ht="16.8" x14ac:dyDescent="0.3">
      <c r="A657" s="7" t="str">
        <f t="shared" si="91"/>
        <v>S0656</v>
      </c>
      <c r="B657" s="8">
        <f t="shared" ca="1" si="92"/>
        <v>45090</v>
      </c>
      <c r="C657" s="15" t="str" cm="1">
        <f t="array" aca="1" ref="C657" ca="1">INDEX($Q$2:$Q$31, RANDBETWEEN(1, COUNTA($Q$2:$Q$31)))</f>
        <v>Mocha</v>
      </c>
      <c r="D657" s="10" t="str" cm="1">
        <f t="array" aca="1" ref="D657" ca="1">INDEX($R$2:$R$310, RANDBETWEEN(1, COUNTA($Q$2:$Q$310)))</f>
        <v>S</v>
      </c>
      <c r="E657">
        <f t="shared" ca="1" si="93"/>
        <v>5</v>
      </c>
      <c r="F657" cm="1">
        <f t="array" aca="1" ref="F657" ca="1">INDEX($S$2:$S$31, RANDBETWEEN(1, COUNTA($S$2:$S$31)))</f>
        <v>59000</v>
      </c>
      <c r="G657" cm="1">
        <f t="array" aca="1" ref="G657" ca="1">INDEX($S$2:$S$31, RANDBETWEEN(1, COUNTA($S$2:$S$31)))</f>
        <v>35000</v>
      </c>
      <c r="H657">
        <f t="shared" ca="1" si="94"/>
        <v>6</v>
      </c>
      <c r="I657">
        <f t="shared" ca="1" si="95"/>
        <v>35000</v>
      </c>
      <c r="J657" s="10" t="str">
        <f t="shared" ca="1" si="96"/>
        <v>Offline</v>
      </c>
      <c r="K657" s="10">
        <f t="shared" ca="1" si="97"/>
        <v>35000</v>
      </c>
      <c r="L657" s="10">
        <f t="shared" ca="1" si="98"/>
        <v>175000</v>
      </c>
      <c r="M657" s="12" t="str" cm="1">
        <f t="array" aca="1" ref="M657" ca="1">INDEX($R$33:$R$82, RANDBETWEEN(1, COUNTA($R$33:$R$82)))</f>
        <v>NV14</v>
      </c>
      <c r="N657">
        <f t="shared" ca="1" si="99"/>
        <v>38</v>
      </c>
    </row>
    <row r="658" spans="1:14" ht="16.8" x14ac:dyDescent="0.3">
      <c r="A658" s="7" t="str">
        <f t="shared" si="91"/>
        <v>S0657</v>
      </c>
      <c r="B658" s="8">
        <f t="shared" ca="1" si="92"/>
        <v>44951</v>
      </c>
      <c r="C658" s="15" t="str" cm="1">
        <f t="array" aca="1" ref="C658" ca="1">INDEX($Q$2:$Q$31, RANDBETWEEN(1, COUNTA($Q$2:$Q$31)))</f>
        <v>Classic Phin Freeze</v>
      </c>
      <c r="D658" s="10" t="str" cm="1">
        <f t="array" aca="1" ref="D658" ca="1">INDEX($R$2:$R$310, RANDBETWEEN(1, COUNTA($Q$2:$Q$310)))</f>
        <v>M</v>
      </c>
      <c r="E658">
        <f t="shared" ca="1" si="93"/>
        <v>2</v>
      </c>
      <c r="F658" cm="1">
        <f t="array" aca="1" ref="F658" ca="1">INDEX($S$2:$S$31, RANDBETWEEN(1, COUNTA($S$2:$S$31)))</f>
        <v>49000</v>
      </c>
      <c r="G658" cm="1">
        <f t="array" aca="1" ref="G658" ca="1">INDEX($S$2:$S$31, RANDBETWEEN(1, COUNTA($S$2:$S$31)))</f>
        <v>65000</v>
      </c>
      <c r="H658">
        <f t="shared" ca="1" si="94"/>
        <v>9</v>
      </c>
      <c r="I658">
        <f t="shared" ca="1" si="95"/>
        <v>65000</v>
      </c>
      <c r="J658" s="10" t="str">
        <f t="shared" ca="1" si="96"/>
        <v>Offline</v>
      </c>
      <c r="K658" s="10">
        <f t="shared" ca="1" si="97"/>
        <v>65000</v>
      </c>
      <c r="L658" s="10">
        <f t="shared" ca="1" si="98"/>
        <v>130000</v>
      </c>
      <c r="M658" s="12" t="str" cm="1">
        <f t="array" aca="1" ref="M658" ca="1">INDEX($R$33:$R$82, RANDBETWEEN(1, COUNTA($R$33:$R$82)))</f>
        <v>NV23</v>
      </c>
      <c r="N658">
        <f t="shared" ca="1" si="99"/>
        <v>28</v>
      </c>
    </row>
    <row r="659" spans="1:14" ht="16.8" x14ac:dyDescent="0.3">
      <c r="A659" s="7" t="str">
        <f t="shared" si="91"/>
        <v>S0658</v>
      </c>
      <c r="B659" s="8">
        <f t="shared" ca="1" si="92"/>
        <v>44602</v>
      </c>
      <c r="C659" s="15" t="str" cm="1">
        <f t="array" aca="1" ref="C659" ca="1">INDEX($Q$2:$Q$31, RANDBETWEEN(1, COUNTA($Q$2:$Q$31)))</f>
        <v>Iced Black Coffee</v>
      </c>
      <c r="D659" s="10" t="str" cm="1">
        <f t="array" aca="1" ref="D659" ca="1">INDEX($R$2:$R$310, RANDBETWEEN(1, COUNTA($Q$2:$Q$310)))</f>
        <v>S</v>
      </c>
      <c r="E659">
        <f t="shared" ca="1" si="93"/>
        <v>3</v>
      </c>
      <c r="F659" cm="1">
        <f t="array" aca="1" ref="F659" ca="1">INDEX($S$2:$S$31, RANDBETWEEN(1, COUNTA($S$2:$S$31)))</f>
        <v>65000</v>
      </c>
      <c r="G659" cm="1">
        <f t="array" aca="1" ref="G659" ca="1">INDEX($S$2:$S$31, RANDBETWEEN(1, COUNTA($S$2:$S$31)))</f>
        <v>69000</v>
      </c>
      <c r="H659">
        <f t="shared" ca="1" si="94"/>
        <v>6</v>
      </c>
      <c r="I659">
        <f t="shared" ca="1" si="95"/>
        <v>69000</v>
      </c>
      <c r="J659" s="10" t="str">
        <f t="shared" ca="1" si="96"/>
        <v>Offline</v>
      </c>
      <c r="K659" s="10">
        <f t="shared" ca="1" si="97"/>
        <v>69000</v>
      </c>
      <c r="L659" s="10">
        <f t="shared" ca="1" si="98"/>
        <v>207000</v>
      </c>
      <c r="M659" s="12" t="str" cm="1">
        <f t="array" aca="1" ref="M659" ca="1">INDEX($R$33:$R$82, RANDBETWEEN(1, COUNTA($R$33:$R$82)))</f>
        <v>NV16</v>
      </c>
      <c r="N659">
        <f t="shared" ca="1" si="99"/>
        <v>33</v>
      </c>
    </row>
    <row r="660" spans="1:14" ht="16.8" x14ac:dyDescent="0.3">
      <c r="A660" s="7" t="str">
        <f t="shared" si="91"/>
        <v>S0659</v>
      </c>
      <c r="B660" s="8">
        <f t="shared" ca="1" si="92"/>
        <v>44892</v>
      </c>
      <c r="C660" s="15" t="str" cm="1">
        <f t="array" aca="1" ref="C660" ca="1">INDEX($Q$2:$Q$31, RANDBETWEEN(1, COUNTA($Q$2:$Q$31)))</f>
        <v>Latte</v>
      </c>
      <c r="D660" s="10" t="str" cm="1">
        <f t="array" aca="1" ref="D660" ca="1">INDEX($R$2:$R$310, RANDBETWEEN(1, COUNTA($Q$2:$Q$310)))</f>
        <v>L</v>
      </c>
      <c r="E660">
        <f t="shared" ca="1" si="93"/>
        <v>1</v>
      </c>
      <c r="F660" cm="1">
        <f t="array" aca="1" ref="F660" ca="1">INDEX($S$2:$S$31, RANDBETWEEN(1, COUNTA($S$2:$S$31)))</f>
        <v>65000</v>
      </c>
      <c r="G660" cm="1">
        <f t="array" aca="1" ref="G660" ca="1">INDEX($S$2:$S$31, RANDBETWEEN(1, COUNTA($S$2:$S$31)))</f>
        <v>59000</v>
      </c>
      <c r="H660">
        <f t="shared" ca="1" si="94"/>
        <v>6</v>
      </c>
      <c r="I660">
        <f t="shared" ca="1" si="95"/>
        <v>59000</v>
      </c>
      <c r="J660" s="10" t="str">
        <f t="shared" ca="1" si="96"/>
        <v>Offline</v>
      </c>
      <c r="K660" s="10">
        <f t="shared" ca="1" si="97"/>
        <v>59000</v>
      </c>
      <c r="L660" s="10">
        <f t="shared" ca="1" si="98"/>
        <v>59000</v>
      </c>
      <c r="M660" s="12" t="str" cm="1">
        <f t="array" aca="1" ref="M660" ca="1">INDEX($R$33:$R$82, RANDBETWEEN(1, COUNTA($R$33:$R$82)))</f>
        <v>NV26</v>
      </c>
      <c r="N660">
        <f t="shared" ca="1" si="99"/>
        <v>35</v>
      </c>
    </row>
    <row r="661" spans="1:14" ht="16.8" x14ac:dyDescent="0.3">
      <c r="A661" s="7" t="str">
        <f t="shared" si="91"/>
        <v>S0660</v>
      </c>
      <c r="B661" s="8">
        <f t="shared" ca="1" si="92"/>
        <v>45208</v>
      </c>
      <c r="C661" s="15" t="str" cm="1">
        <f t="array" aca="1" ref="C661" ca="1">INDEX($Q$2:$Q$31, RANDBETWEEN(1, COUNTA($Q$2:$Q$31)))</f>
        <v>Cookies &amp; Cream</v>
      </c>
      <c r="D661" s="10" t="str" cm="1">
        <f t="array" aca="1" ref="D661" ca="1">INDEX($R$2:$R$310, RANDBETWEEN(1, COUNTA($Q$2:$Q$310)))</f>
        <v>M</v>
      </c>
      <c r="E661">
        <f t="shared" ca="1" si="93"/>
        <v>1</v>
      </c>
      <c r="F661" cm="1">
        <f t="array" aca="1" ref="F661" ca="1">INDEX($S$2:$S$31, RANDBETWEEN(1, COUNTA($S$2:$S$31)))</f>
        <v>59000</v>
      </c>
      <c r="G661" cm="1">
        <f t="array" aca="1" ref="G661" ca="1">INDEX($S$2:$S$31, RANDBETWEEN(1, COUNTA($S$2:$S$31)))</f>
        <v>35000</v>
      </c>
      <c r="H661">
        <f t="shared" ca="1" si="94"/>
        <v>12</v>
      </c>
      <c r="I661">
        <f t="shared" ca="1" si="95"/>
        <v>51920</v>
      </c>
      <c r="J661" s="10" t="str">
        <f t="shared" ca="1" si="96"/>
        <v>Online</v>
      </c>
      <c r="K661" s="10">
        <f t="shared" ca="1" si="97"/>
        <v>51920</v>
      </c>
      <c r="L661" s="10">
        <f t="shared" ca="1" si="98"/>
        <v>51920</v>
      </c>
      <c r="M661" s="12" t="str" cm="1">
        <f t="array" aca="1" ref="M661" ca="1">INDEX($R$33:$R$82, RANDBETWEEN(1, COUNTA($R$33:$R$82)))</f>
        <v>NV11</v>
      </c>
      <c r="N661">
        <f t="shared" ca="1" si="99"/>
        <v>8</v>
      </c>
    </row>
    <row r="662" spans="1:14" ht="16.8" x14ac:dyDescent="0.3">
      <c r="A662" s="7" t="str">
        <f t="shared" si="91"/>
        <v>S0661</v>
      </c>
      <c r="B662" s="8">
        <f t="shared" ca="1" si="92"/>
        <v>45017</v>
      </c>
      <c r="C662" s="15" t="str" cm="1">
        <f t="array" aca="1" ref="C662" ca="1">INDEX($Q$2:$Q$31, RANDBETWEEN(1, COUNTA($Q$2:$Q$31)))</f>
        <v>Cappuccino</v>
      </c>
      <c r="D662" s="10" t="str" cm="1">
        <f t="array" aca="1" ref="D662" ca="1">INDEX($R$2:$R$310, RANDBETWEEN(1, COUNTA($Q$2:$Q$310)))</f>
        <v>S</v>
      </c>
      <c r="E662">
        <f t="shared" ca="1" si="93"/>
        <v>3</v>
      </c>
      <c r="F662" cm="1">
        <f t="array" aca="1" ref="F662" ca="1">INDEX($S$2:$S$31, RANDBETWEEN(1, COUNTA($S$2:$S$31)))</f>
        <v>49000</v>
      </c>
      <c r="G662" cm="1">
        <f t="array" aca="1" ref="G662" ca="1">INDEX($S$2:$S$31, RANDBETWEEN(1, COUNTA($S$2:$S$31)))</f>
        <v>69000</v>
      </c>
      <c r="H662">
        <f t="shared" ca="1" si="94"/>
        <v>10</v>
      </c>
      <c r="I662">
        <f t="shared" ca="1" si="95"/>
        <v>69000</v>
      </c>
      <c r="J662" s="10" t="str">
        <f t="shared" ca="1" si="96"/>
        <v>Offline</v>
      </c>
      <c r="K662" s="10">
        <f t="shared" ca="1" si="97"/>
        <v>69000</v>
      </c>
      <c r="L662" s="10">
        <f t="shared" ca="1" si="98"/>
        <v>207000</v>
      </c>
      <c r="M662" s="12" t="str" cm="1">
        <f t="array" aca="1" ref="M662" ca="1">INDEX($R$33:$R$82, RANDBETWEEN(1, COUNTA($R$33:$R$82)))</f>
        <v>NV13</v>
      </c>
      <c r="N662">
        <f t="shared" ca="1" si="99"/>
        <v>38</v>
      </c>
    </row>
    <row r="663" spans="1:14" ht="16.8" x14ac:dyDescent="0.3">
      <c r="A663" s="7" t="str">
        <f t="shared" si="91"/>
        <v>S0662</v>
      </c>
      <c r="B663" s="8">
        <f t="shared" ca="1" si="92"/>
        <v>44564</v>
      </c>
      <c r="C663" s="15" t="str" cm="1">
        <f t="array" aca="1" ref="C663" ca="1">INDEX($Q$2:$Q$31, RANDBETWEEN(1, COUNTA($Q$2:$Q$31)))</f>
        <v>Latte</v>
      </c>
      <c r="D663" s="10" t="str" cm="1">
        <f t="array" aca="1" ref="D663" ca="1">INDEX($R$2:$R$310, RANDBETWEEN(1, COUNTA($Q$2:$Q$310)))</f>
        <v>S</v>
      </c>
      <c r="E663">
        <f t="shared" ca="1" si="93"/>
        <v>3</v>
      </c>
      <c r="F663" cm="1">
        <f t="array" aca="1" ref="F663" ca="1">INDEX($S$2:$S$31, RANDBETWEEN(1, COUNTA($S$2:$S$31)))</f>
        <v>49000</v>
      </c>
      <c r="G663" cm="1">
        <f t="array" aca="1" ref="G663" ca="1">INDEX($S$2:$S$31, RANDBETWEEN(1, COUNTA($S$2:$S$31)))</f>
        <v>69000</v>
      </c>
      <c r="H663">
        <f t="shared" ca="1" si="94"/>
        <v>9</v>
      </c>
      <c r="I663">
        <f t="shared" ca="1" si="95"/>
        <v>44590</v>
      </c>
      <c r="J663" s="10" t="str">
        <f t="shared" ca="1" si="96"/>
        <v>Online</v>
      </c>
      <c r="K663" s="10">
        <f t="shared" ca="1" si="97"/>
        <v>44590</v>
      </c>
      <c r="L663" s="10">
        <f t="shared" ca="1" si="98"/>
        <v>133770</v>
      </c>
      <c r="M663" s="12" t="str" cm="1">
        <f t="array" aca="1" ref="M663" ca="1">INDEX($R$33:$R$82, RANDBETWEEN(1, COUNTA($R$33:$R$82)))</f>
        <v>NV11</v>
      </c>
      <c r="N663">
        <f t="shared" ca="1" si="99"/>
        <v>3</v>
      </c>
    </row>
    <row r="664" spans="1:14" ht="16.8" x14ac:dyDescent="0.3">
      <c r="A664" s="7" t="str">
        <f t="shared" si="91"/>
        <v>S0663</v>
      </c>
      <c r="B664" s="8">
        <f t="shared" ca="1" si="92"/>
        <v>44530</v>
      </c>
      <c r="C664" s="15" t="str" cm="1">
        <f t="array" aca="1" ref="C664" ca="1">INDEX($Q$2:$Q$31, RANDBETWEEN(1, COUNTA($Q$2:$Q$31)))</f>
        <v>Cappuccino</v>
      </c>
      <c r="D664" s="10" t="str" cm="1">
        <f t="array" aca="1" ref="D664" ca="1">INDEX($R$2:$R$310, RANDBETWEEN(1, COUNTA($Q$2:$Q$310)))</f>
        <v>L</v>
      </c>
      <c r="E664">
        <f t="shared" ca="1" si="93"/>
        <v>5</v>
      </c>
      <c r="F664" cm="1">
        <f t="array" aca="1" ref="F664" ca="1">INDEX($S$2:$S$31, RANDBETWEEN(1, COUNTA($S$2:$S$31)))</f>
        <v>59000</v>
      </c>
      <c r="G664" cm="1">
        <f t="array" aca="1" ref="G664" ca="1">INDEX($S$2:$S$31, RANDBETWEEN(1, COUNTA($S$2:$S$31)))</f>
        <v>75000</v>
      </c>
      <c r="H664">
        <f t="shared" ca="1" si="94"/>
        <v>14</v>
      </c>
      <c r="I664">
        <f t="shared" ca="1" si="95"/>
        <v>50740</v>
      </c>
      <c r="J664" s="10" t="str">
        <f t="shared" ca="1" si="96"/>
        <v>Online</v>
      </c>
      <c r="K664" s="10">
        <f t="shared" ca="1" si="97"/>
        <v>50740</v>
      </c>
      <c r="L664" s="10">
        <f t="shared" ca="1" si="98"/>
        <v>253700</v>
      </c>
      <c r="M664" s="12" t="str" cm="1">
        <f t="array" aca="1" ref="M664" ca="1">INDEX($R$33:$R$82, RANDBETWEEN(1, COUNTA($R$33:$R$82)))</f>
        <v>NV35</v>
      </c>
      <c r="N664">
        <f t="shared" ca="1" si="99"/>
        <v>5</v>
      </c>
    </row>
    <row r="665" spans="1:14" ht="16.8" x14ac:dyDescent="0.3">
      <c r="A665" s="7" t="str">
        <f t="shared" si="91"/>
        <v>S0664</v>
      </c>
      <c r="B665" s="8">
        <f t="shared" ca="1" si="92"/>
        <v>44417</v>
      </c>
      <c r="C665" s="15" t="str" cm="1">
        <f t="array" aca="1" ref="C665" ca="1">INDEX($Q$2:$Q$31, RANDBETWEEN(1, COUNTA($Q$2:$Q$31)))</f>
        <v>Americano</v>
      </c>
      <c r="D665" s="10" t="str" cm="1">
        <f t="array" aca="1" ref="D665" ca="1">INDEX($R$2:$R$310, RANDBETWEEN(1, COUNTA($Q$2:$Q$310)))</f>
        <v>L</v>
      </c>
      <c r="E665">
        <f t="shared" ca="1" si="93"/>
        <v>2</v>
      </c>
      <c r="F665" cm="1">
        <f t="array" aca="1" ref="F665" ca="1">INDEX($S$2:$S$31, RANDBETWEEN(1, COUNTA($S$2:$S$31)))</f>
        <v>65000</v>
      </c>
      <c r="G665" cm="1">
        <f t="array" aca="1" ref="G665" ca="1">INDEX($S$2:$S$31, RANDBETWEEN(1, COUNTA($S$2:$S$31)))</f>
        <v>49000</v>
      </c>
      <c r="H665">
        <f t="shared" ca="1" si="94"/>
        <v>6</v>
      </c>
      <c r="I665">
        <f t="shared" ca="1" si="95"/>
        <v>49000</v>
      </c>
      <c r="J665" s="10" t="str">
        <f t="shared" ca="1" si="96"/>
        <v>Offline</v>
      </c>
      <c r="K665" s="10">
        <f t="shared" ca="1" si="97"/>
        <v>49000</v>
      </c>
      <c r="L665" s="10">
        <f t="shared" ca="1" si="98"/>
        <v>98000</v>
      </c>
      <c r="M665" s="12" t="str" cm="1">
        <f t="array" aca="1" ref="M665" ca="1">INDEX($R$33:$R$82, RANDBETWEEN(1, COUNTA($R$33:$R$82)))</f>
        <v>NV26</v>
      </c>
      <c r="N665">
        <f t="shared" ca="1" si="99"/>
        <v>40</v>
      </c>
    </row>
    <row r="666" spans="1:14" ht="16.8" x14ac:dyDescent="0.3">
      <c r="A666" s="7" t="str">
        <f t="shared" si="91"/>
        <v>S0665</v>
      </c>
      <c r="B666" s="8">
        <f t="shared" ca="1" si="92"/>
        <v>45280</v>
      </c>
      <c r="C666" s="15" t="str" cm="1">
        <f t="array" aca="1" ref="C666" ca="1">INDEX($Q$2:$Q$31, RANDBETWEEN(1, COUNTA($Q$2:$Q$31)))</f>
        <v>Caramel Phin Freeze</v>
      </c>
      <c r="D666" s="10" t="str" cm="1">
        <f t="array" aca="1" ref="D666" ca="1">INDEX($R$2:$R$310, RANDBETWEEN(1, COUNTA($Q$2:$Q$310)))</f>
        <v>L</v>
      </c>
      <c r="E666">
        <f t="shared" ca="1" si="93"/>
        <v>1</v>
      </c>
      <c r="F666" cm="1">
        <f t="array" aca="1" ref="F666" ca="1">INDEX($S$2:$S$31, RANDBETWEEN(1, COUNTA($S$2:$S$31)))</f>
        <v>65000</v>
      </c>
      <c r="G666" cm="1">
        <f t="array" aca="1" ref="G666" ca="1">INDEX($S$2:$S$31, RANDBETWEEN(1, COUNTA($S$2:$S$31)))</f>
        <v>49000</v>
      </c>
      <c r="H666">
        <f t="shared" ca="1" si="94"/>
        <v>9</v>
      </c>
      <c r="I666">
        <f t="shared" ca="1" si="95"/>
        <v>59150</v>
      </c>
      <c r="J666" s="10" t="str">
        <f t="shared" ca="1" si="96"/>
        <v>Online</v>
      </c>
      <c r="K666" s="10">
        <f t="shared" ca="1" si="97"/>
        <v>59150</v>
      </c>
      <c r="L666" s="10">
        <f t="shared" ca="1" si="98"/>
        <v>59150</v>
      </c>
      <c r="M666" s="12" t="str" cm="1">
        <f t="array" aca="1" ref="M666" ca="1">INDEX($R$33:$R$82, RANDBETWEEN(1, COUNTA($R$33:$R$82)))</f>
        <v>NV33</v>
      </c>
      <c r="N666">
        <f t="shared" ca="1" si="99"/>
        <v>49</v>
      </c>
    </row>
    <row r="667" spans="1:14" ht="16.8" x14ac:dyDescent="0.3">
      <c r="A667" s="7" t="str">
        <f t="shared" si="91"/>
        <v>S0666</v>
      </c>
      <c r="B667" s="8">
        <f t="shared" ca="1" si="92"/>
        <v>44694</v>
      </c>
      <c r="C667" s="15" t="str" cm="1">
        <f t="array" aca="1" ref="C667" ca="1">INDEX($Q$2:$Q$31, RANDBETWEEN(1, COUNTA($Q$2:$Q$31)))</f>
        <v>Iced Black Coffee</v>
      </c>
      <c r="D667" s="10" t="str" cm="1">
        <f t="array" aca="1" ref="D667" ca="1">INDEX($R$2:$R$310, RANDBETWEEN(1, COUNTA($Q$2:$Q$310)))</f>
        <v>M</v>
      </c>
      <c r="E667">
        <f t="shared" ca="1" si="93"/>
        <v>5</v>
      </c>
      <c r="F667" cm="1">
        <f t="array" aca="1" ref="F667" ca="1">INDEX($S$2:$S$31, RANDBETWEEN(1, COUNTA($S$2:$S$31)))</f>
        <v>39000</v>
      </c>
      <c r="G667" cm="1">
        <f t="array" aca="1" ref="G667" ca="1">INDEX($S$2:$S$31, RANDBETWEEN(1, COUNTA($S$2:$S$31)))</f>
        <v>39000</v>
      </c>
      <c r="H667">
        <f t="shared" ca="1" si="94"/>
        <v>8</v>
      </c>
      <c r="I667">
        <f t="shared" ca="1" si="95"/>
        <v>35880</v>
      </c>
      <c r="J667" s="10" t="str">
        <f t="shared" ca="1" si="96"/>
        <v>Online</v>
      </c>
      <c r="K667" s="10">
        <f t="shared" ca="1" si="97"/>
        <v>35880</v>
      </c>
      <c r="L667" s="10">
        <f t="shared" ca="1" si="98"/>
        <v>179400</v>
      </c>
      <c r="M667" s="12" t="str" cm="1">
        <f t="array" aca="1" ref="M667" ca="1">INDEX($R$33:$R$82, RANDBETWEEN(1, COUNTA($R$33:$R$82)))</f>
        <v>NV12</v>
      </c>
      <c r="N667">
        <f t="shared" ca="1" si="99"/>
        <v>31</v>
      </c>
    </row>
    <row r="668" spans="1:14" ht="16.8" x14ac:dyDescent="0.3">
      <c r="A668" s="7" t="str">
        <f t="shared" si="91"/>
        <v>S0667</v>
      </c>
      <c r="B668" s="8">
        <f t="shared" ca="1" si="92"/>
        <v>45292</v>
      </c>
      <c r="C668" s="15" t="str" cm="1">
        <f t="array" aca="1" ref="C668" ca="1">INDEX($Q$2:$Q$31, RANDBETWEEN(1, COUNTA($Q$2:$Q$31)))</f>
        <v>Iced Black Coffee</v>
      </c>
      <c r="D668" s="10" t="str" cm="1">
        <f t="array" aca="1" ref="D668" ca="1">INDEX($R$2:$R$310, RANDBETWEEN(1, COUNTA($Q$2:$Q$310)))</f>
        <v>M</v>
      </c>
      <c r="E668">
        <f t="shared" ca="1" si="93"/>
        <v>3</v>
      </c>
      <c r="F668" cm="1">
        <f t="array" aca="1" ref="F668" ca="1">INDEX($S$2:$S$31, RANDBETWEEN(1, COUNTA($S$2:$S$31)))</f>
        <v>45000</v>
      </c>
      <c r="G668" cm="1">
        <f t="array" aca="1" ref="G668" ca="1">INDEX($S$2:$S$31, RANDBETWEEN(1, COUNTA($S$2:$S$31)))</f>
        <v>29000</v>
      </c>
      <c r="H668">
        <f t="shared" ca="1" si="94"/>
        <v>5</v>
      </c>
      <c r="I668">
        <f t="shared" ca="1" si="95"/>
        <v>29000</v>
      </c>
      <c r="J668" s="10" t="str">
        <f t="shared" ca="1" si="96"/>
        <v>Offline</v>
      </c>
      <c r="K668" s="10">
        <f t="shared" ca="1" si="97"/>
        <v>29000</v>
      </c>
      <c r="L668" s="10">
        <f t="shared" ca="1" si="98"/>
        <v>87000</v>
      </c>
      <c r="M668" s="12" t="str" cm="1">
        <f t="array" aca="1" ref="M668" ca="1">INDEX($R$33:$R$82, RANDBETWEEN(1, COUNTA($R$33:$R$82)))</f>
        <v>NV42</v>
      </c>
      <c r="N668">
        <f t="shared" ca="1" si="99"/>
        <v>38</v>
      </c>
    </row>
    <row r="669" spans="1:14" ht="16.8" x14ac:dyDescent="0.3">
      <c r="A669" s="7" t="str">
        <f t="shared" si="91"/>
        <v>S0668</v>
      </c>
      <c r="B669" s="8">
        <f t="shared" ca="1" si="92"/>
        <v>44382</v>
      </c>
      <c r="C669" s="15" t="str" cm="1">
        <f t="array" aca="1" ref="C669" ca="1">INDEX($Q$2:$Q$31, RANDBETWEEN(1, COUNTA($Q$2:$Q$31)))</f>
        <v>Cookies &amp; Cream</v>
      </c>
      <c r="D669" s="10" t="str" cm="1">
        <f t="array" aca="1" ref="D669" ca="1">INDEX($R$2:$R$310, RANDBETWEEN(1, COUNTA($Q$2:$Q$310)))</f>
        <v>L</v>
      </c>
      <c r="E669">
        <f t="shared" ca="1" si="93"/>
        <v>2</v>
      </c>
      <c r="F669" cm="1">
        <f t="array" aca="1" ref="F669" ca="1">INDEX($S$2:$S$31, RANDBETWEEN(1, COUNTA($S$2:$S$31)))</f>
        <v>69000</v>
      </c>
      <c r="G669" cm="1">
        <f t="array" aca="1" ref="G669" ca="1">INDEX($S$2:$S$31, RANDBETWEEN(1, COUNTA($S$2:$S$31)))</f>
        <v>35000</v>
      </c>
      <c r="H669">
        <f t="shared" ca="1" si="94"/>
        <v>7</v>
      </c>
      <c r="I669">
        <f t="shared" ca="1" si="95"/>
        <v>64169.999999999993</v>
      </c>
      <c r="J669" s="10" t="str">
        <f t="shared" ca="1" si="96"/>
        <v>Online</v>
      </c>
      <c r="K669" s="10">
        <f t="shared" ca="1" si="97"/>
        <v>64169.999999999993</v>
      </c>
      <c r="L669" s="10">
        <f t="shared" ca="1" si="98"/>
        <v>128339.99999999999</v>
      </c>
      <c r="M669" s="12" t="str" cm="1">
        <f t="array" aca="1" ref="M669" ca="1">INDEX($R$33:$R$82, RANDBETWEEN(1, COUNTA($R$33:$R$82)))</f>
        <v>NV23</v>
      </c>
      <c r="N669">
        <f t="shared" ca="1" si="99"/>
        <v>48</v>
      </c>
    </row>
    <row r="670" spans="1:14" ht="16.8" x14ac:dyDescent="0.3">
      <c r="A670" s="7" t="str">
        <f t="shared" si="91"/>
        <v>S0669</v>
      </c>
      <c r="B670" s="8">
        <f t="shared" ca="1" si="92"/>
        <v>44216</v>
      </c>
      <c r="C670" s="15" t="str" cm="1">
        <f t="array" aca="1" ref="C670" ca="1">INDEX($Q$2:$Q$31, RANDBETWEEN(1, COUNTA($Q$2:$Q$31)))</f>
        <v xml:space="preserve">Chocolate Freeze </v>
      </c>
      <c r="D670" s="10" t="str" cm="1">
        <f t="array" aca="1" ref="D670" ca="1">INDEX($R$2:$R$310, RANDBETWEEN(1, COUNTA($Q$2:$Q$310)))</f>
        <v>S</v>
      </c>
      <c r="E670">
        <f t="shared" ca="1" si="93"/>
        <v>4</v>
      </c>
      <c r="F670" cm="1">
        <f t="array" aca="1" ref="F670" ca="1">INDEX($S$2:$S$31, RANDBETWEEN(1, COUNTA($S$2:$S$31)))</f>
        <v>65000</v>
      </c>
      <c r="G670" cm="1">
        <f t="array" aca="1" ref="G670" ca="1">INDEX($S$2:$S$31, RANDBETWEEN(1, COUNTA($S$2:$S$31)))</f>
        <v>29000</v>
      </c>
      <c r="H670">
        <f t="shared" ca="1" si="94"/>
        <v>5</v>
      </c>
      <c r="I670">
        <f t="shared" ca="1" si="95"/>
        <v>29000</v>
      </c>
      <c r="J670" s="10" t="str">
        <f t="shared" ca="1" si="96"/>
        <v>Offline</v>
      </c>
      <c r="K670" s="10">
        <f t="shared" ca="1" si="97"/>
        <v>29000</v>
      </c>
      <c r="L670" s="10">
        <f t="shared" ca="1" si="98"/>
        <v>116000</v>
      </c>
      <c r="M670" s="12" t="str" cm="1">
        <f t="array" aca="1" ref="M670" ca="1">INDEX($R$33:$R$82, RANDBETWEEN(1, COUNTA($R$33:$R$82)))</f>
        <v>NV6</v>
      </c>
      <c r="N670">
        <f t="shared" ca="1" si="99"/>
        <v>44</v>
      </c>
    </row>
    <row r="671" spans="1:14" ht="16.8" x14ac:dyDescent="0.3">
      <c r="A671" s="7" t="str">
        <f t="shared" si="91"/>
        <v>S0670</v>
      </c>
      <c r="B671" s="8">
        <f t="shared" ca="1" si="92"/>
        <v>44446</v>
      </c>
      <c r="C671" s="15" t="str" cm="1">
        <f t="array" aca="1" ref="C671" ca="1">INDEX($Q$2:$Q$31, RANDBETWEEN(1, COUNTA($Q$2:$Q$31)))</f>
        <v>Classic Phin Freeze</v>
      </c>
      <c r="D671" s="10" t="str" cm="1">
        <f t="array" aca="1" ref="D671" ca="1">INDEX($R$2:$R$310, RANDBETWEEN(1, COUNTA($Q$2:$Q$310)))</f>
        <v>S</v>
      </c>
      <c r="E671">
        <f t="shared" ca="1" si="93"/>
        <v>5</v>
      </c>
      <c r="F671" cm="1">
        <f t="array" aca="1" ref="F671" ca="1">INDEX($S$2:$S$31, RANDBETWEEN(1, COUNTA($S$2:$S$31)))</f>
        <v>65000</v>
      </c>
      <c r="G671" cm="1">
        <f t="array" aca="1" ref="G671" ca="1">INDEX($S$2:$S$31, RANDBETWEEN(1, COUNTA($S$2:$S$31)))</f>
        <v>49000</v>
      </c>
      <c r="H671">
        <f t="shared" ca="1" si="94"/>
        <v>11</v>
      </c>
      <c r="I671">
        <f t="shared" ca="1" si="95"/>
        <v>49000</v>
      </c>
      <c r="J671" s="10" t="str">
        <f t="shared" ca="1" si="96"/>
        <v>Offline</v>
      </c>
      <c r="K671" s="10">
        <f t="shared" ca="1" si="97"/>
        <v>49000</v>
      </c>
      <c r="L671" s="10">
        <f t="shared" ca="1" si="98"/>
        <v>245000</v>
      </c>
      <c r="M671" s="12" t="str" cm="1">
        <f t="array" aca="1" ref="M671" ca="1">INDEX($R$33:$R$82, RANDBETWEEN(1, COUNTA($R$33:$R$82)))</f>
        <v>NV45</v>
      </c>
      <c r="N671">
        <f t="shared" ca="1" si="99"/>
        <v>13</v>
      </c>
    </row>
    <row r="672" spans="1:14" ht="16.8" x14ac:dyDescent="0.3">
      <c r="A672" s="7" t="str">
        <f t="shared" si="91"/>
        <v>S0671</v>
      </c>
      <c r="B672" s="8">
        <f t="shared" ca="1" si="92"/>
        <v>44900</v>
      </c>
      <c r="C672" s="15" t="str" cm="1">
        <f t="array" aca="1" ref="C672" ca="1">INDEX($Q$2:$Q$31, RANDBETWEEN(1, COUNTA($Q$2:$Q$31)))</f>
        <v>Iced Black Coffee</v>
      </c>
      <c r="D672" s="10" t="str" cm="1">
        <f t="array" aca="1" ref="D672" ca="1">INDEX($R$2:$R$310, RANDBETWEEN(1, COUNTA($Q$2:$Q$310)))</f>
        <v>S</v>
      </c>
      <c r="E672">
        <f t="shared" ca="1" si="93"/>
        <v>2</v>
      </c>
      <c r="F672" cm="1">
        <f t="array" aca="1" ref="F672" ca="1">INDEX($S$2:$S$31, RANDBETWEEN(1, COUNTA($S$2:$S$31)))</f>
        <v>35000</v>
      </c>
      <c r="G672" cm="1">
        <f t="array" aca="1" ref="G672" ca="1">INDEX($S$2:$S$31, RANDBETWEEN(1, COUNTA($S$2:$S$31)))</f>
        <v>49000</v>
      </c>
      <c r="H672">
        <f t="shared" ca="1" si="94"/>
        <v>7</v>
      </c>
      <c r="I672">
        <f t="shared" ca="1" si="95"/>
        <v>32549.999999999996</v>
      </c>
      <c r="J672" s="10" t="str">
        <f t="shared" ca="1" si="96"/>
        <v>Online</v>
      </c>
      <c r="K672" s="10">
        <f t="shared" ca="1" si="97"/>
        <v>32549.999999999996</v>
      </c>
      <c r="L672" s="10">
        <f t="shared" ca="1" si="98"/>
        <v>65099.999999999993</v>
      </c>
      <c r="M672" s="12" t="str" cm="1">
        <f t="array" aca="1" ref="M672" ca="1">INDEX($R$33:$R$82, RANDBETWEEN(1, COUNTA($R$33:$R$82)))</f>
        <v>NV31</v>
      </c>
      <c r="N672">
        <f t="shared" ca="1" si="99"/>
        <v>23</v>
      </c>
    </row>
    <row r="673" spans="1:14" ht="16.8" x14ac:dyDescent="0.3">
      <c r="A673" s="7" t="str">
        <f t="shared" si="91"/>
        <v>S0672</v>
      </c>
      <c r="B673" s="8">
        <f t="shared" ca="1" si="92"/>
        <v>44222</v>
      </c>
      <c r="C673" s="15" t="str" cm="1">
        <f t="array" aca="1" ref="C673" ca="1">INDEX($Q$2:$Q$31, RANDBETWEEN(1, COUNTA($Q$2:$Q$31)))</f>
        <v>Latte</v>
      </c>
      <c r="D673" s="10" t="str" cm="1">
        <f t="array" aca="1" ref="D673" ca="1">INDEX($R$2:$R$310, RANDBETWEEN(1, COUNTA($Q$2:$Q$310)))</f>
        <v>L</v>
      </c>
      <c r="E673">
        <f t="shared" ca="1" si="93"/>
        <v>4</v>
      </c>
      <c r="F673" cm="1">
        <f t="array" aca="1" ref="F673" ca="1">INDEX($S$2:$S$31, RANDBETWEEN(1, COUNTA($S$2:$S$31)))</f>
        <v>55000</v>
      </c>
      <c r="G673" cm="1">
        <f t="array" aca="1" ref="G673" ca="1">INDEX($S$2:$S$31, RANDBETWEEN(1, COUNTA($S$2:$S$31)))</f>
        <v>65000</v>
      </c>
      <c r="H673">
        <f t="shared" ca="1" si="94"/>
        <v>8</v>
      </c>
      <c r="I673">
        <f t="shared" ca="1" si="95"/>
        <v>50600</v>
      </c>
      <c r="J673" s="10" t="str">
        <f t="shared" ca="1" si="96"/>
        <v>Online</v>
      </c>
      <c r="K673" s="10">
        <f t="shared" ca="1" si="97"/>
        <v>50600</v>
      </c>
      <c r="L673" s="10">
        <f t="shared" ca="1" si="98"/>
        <v>202400</v>
      </c>
      <c r="M673" s="12" t="str" cm="1">
        <f t="array" aca="1" ref="M673" ca="1">INDEX($R$33:$R$82, RANDBETWEEN(1, COUNTA($R$33:$R$82)))</f>
        <v>NV20</v>
      </c>
      <c r="N673">
        <f t="shared" ca="1" si="99"/>
        <v>19</v>
      </c>
    </row>
    <row r="674" spans="1:14" ht="16.8" x14ac:dyDescent="0.3">
      <c r="A674" s="7" t="str">
        <f t="shared" si="91"/>
        <v>S0673</v>
      </c>
      <c r="B674" s="8">
        <f t="shared" ca="1" si="92"/>
        <v>45142</v>
      </c>
      <c r="C674" s="15" t="str" cm="1">
        <f t="array" aca="1" ref="C674" ca="1">INDEX($Q$2:$Q$31, RANDBETWEEN(1, COUNTA($Q$2:$Q$31)))</f>
        <v>Latte</v>
      </c>
      <c r="D674" s="10" t="str" cm="1">
        <f t="array" aca="1" ref="D674" ca="1">INDEX($R$2:$R$310, RANDBETWEEN(1, COUNTA($Q$2:$Q$310)))</f>
        <v>M</v>
      </c>
      <c r="E674">
        <f t="shared" ca="1" si="93"/>
        <v>1</v>
      </c>
      <c r="F674" cm="1">
        <f t="array" aca="1" ref="F674" ca="1">INDEX($S$2:$S$31, RANDBETWEEN(1, COUNTA($S$2:$S$31)))</f>
        <v>69000</v>
      </c>
      <c r="G674" cm="1">
        <f t="array" aca="1" ref="G674" ca="1">INDEX($S$2:$S$31, RANDBETWEEN(1, COUNTA($S$2:$S$31)))</f>
        <v>65000</v>
      </c>
      <c r="H674">
        <f t="shared" ca="1" si="94"/>
        <v>6</v>
      </c>
      <c r="I674">
        <f t="shared" ca="1" si="95"/>
        <v>64859.999999999993</v>
      </c>
      <c r="J674" s="10" t="str">
        <f t="shared" ca="1" si="96"/>
        <v>Online</v>
      </c>
      <c r="K674" s="10">
        <f t="shared" ca="1" si="97"/>
        <v>64859.999999999993</v>
      </c>
      <c r="L674" s="10">
        <f t="shared" ca="1" si="98"/>
        <v>64859.999999999993</v>
      </c>
      <c r="M674" s="12" t="str" cm="1">
        <f t="array" aca="1" ref="M674" ca="1">INDEX($R$33:$R$82, RANDBETWEEN(1, COUNTA($R$33:$R$82)))</f>
        <v>NV22</v>
      </c>
      <c r="N674">
        <f t="shared" ca="1" si="99"/>
        <v>10</v>
      </c>
    </row>
    <row r="675" spans="1:14" ht="16.8" x14ac:dyDescent="0.3">
      <c r="A675" s="7" t="str">
        <f t="shared" si="91"/>
        <v>S0674</v>
      </c>
      <c r="B675" s="8">
        <f t="shared" ca="1" si="92"/>
        <v>45120</v>
      </c>
      <c r="C675" s="15" t="str" cm="1">
        <f t="array" aca="1" ref="C675" ca="1">INDEX($Q$2:$Q$31, RANDBETWEEN(1, COUNTA($Q$2:$Q$31)))</f>
        <v>Cappuccino</v>
      </c>
      <c r="D675" s="10" t="str" cm="1">
        <f t="array" aca="1" ref="D675" ca="1">INDEX($R$2:$R$310, RANDBETWEEN(1, COUNTA($Q$2:$Q$310)))</f>
        <v>L</v>
      </c>
      <c r="E675">
        <f t="shared" ca="1" si="93"/>
        <v>2</v>
      </c>
      <c r="F675" cm="1">
        <f t="array" aca="1" ref="F675" ca="1">INDEX($S$2:$S$31, RANDBETWEEN(1, COUNTA($S$2:$S$31)))</f>
        <v>49000</v>
      </c>
      <c r="G675" cm="1">
        <f t="array" aca="1" ref="G675" ca="1">INDEX($S$2:$S$31, RANDBETWEEN(1, COUNTA($S$2:$S$31)))</f>
        <v>65000</v>
      </c>
      <c r="H675">
        <f t="shared" ca="1" si="94"/>
        <v>10</v>
      </c>
      <c r="I675">
        <f t="shared" ca="1" si="95"/>
        <v>65000</v>
      </c>
      <c r="J675" s="10" t="str">
        <f t="shared" ca="1" si="96"/>
        <v>Offline</v>
      </c>
      <c r="K675" s="10">
        <f t="shared" ca="1" si="97"/>
        <v>65000</v>
      </c>
      <c r="L675" s="10">
        <f t="shared" ca="1" si="98"/>
        <v>130000</v>
      </c>
      <c r="M675" s="12" t="str" cm="1">
        <f t="array" aca="1" ref="M675" ca="1">INDEX($R$33:$R$82, RANDBETWEEN(1, COUNTA($R$33:$R$82)))</f>
        <v>NV3</v>
      </c>
      <c r="N675">
        <f t="shared" ca="1" si="99"/>
        <v>46</v>
      </c>
    </row>
    <row r="676" spans="1:14" ht="16.8" x14ac:dyDescent="0.3">
      <c r="A676" s="7" t="str">
        <f t="shared" si="91"/>
        <v>S0675</v>
      </c>
      <c r="B676" s="8">
        <f t="shared" ca="1" si="92"/>
        <v>44563</v>
      </c>
      <c r="C676" s="15" t="str" cm="1">
        <f t="array" aca="1" ref="C676" ca="1">INDEX($Q$2:$Q$31, RANDBETWEEN(1, COUNTA($Q$2:$Q$31)))</f>
        <v>Caramel Phin Freeze</v>
      </c>
      <c r="D676" s="10" t="str" cm="1">
        <f t="array" aca="1" ref="D676" ca="1">INDEX($R$2:$R$310, RANDBETWEEN(1, COUNTA($Q$2:$Q$310)))</f>
        <v>S</v>
      </c>
      <c r="E676">
        <f t="shared" ca="1" si="93"/>
        <v>1</v>
      </c>
      <c r="F676" cm="1">
        <f t="array" aca="1" ref="F676" ca="1">INDEX($S$2:$S$31, RANDBETWEEN(1, COUNTA($S$2:$S$31)))</f>
        <v>39000</v>
      </c>
      <c r="G676" cm="1">
        <f t="array" aca="1" ref="G676" ca="1">INDEX($S$2:$S$31, RANDBETWEEN(1, COUNTA($S$2:$S$31)))</f>
        <v>49000</v>
      </c>
      <c r="H676">
        <f t="shared" ca="1" si="94"/>
        <v>5</v>
      </c>
      <c r="I676">
        <f t="shared" ca="1" si="95"/>
        <v>37050</v>
      </c>
      <c r="J676" s="10" t="str">
        <f t="shared" ca="1" si="96"/>
        <v>Online</v>
      </c>
      <c r="K676" s="10">
        <f t="shared" ca="1" si="97"/>
        <v>37050</v>
      </c>
      <c r="L676" s="10">
        <f t="shared" ca="1" si="98"/>
        <v>37050</v>
      </c>
      <c r="M676" s="12" t="str" cm="1">
        <f t="array" aca="1" ref="M676" ca="1">INDEX($R$33:$R$82, RANDBETWEEN(1, COUNTA($R$33:$R$82)))</f>
        <v>NV1</v>
      </c>
      <c r="N676">
        <f t="shared" ca="1" si="99"/>
        <v>43</v>
      </c>
    </row>
    <row r="677" spans="1:14" ht="16.8" x14ac:dyDescent="0.3">
      <c r="A677" s="7" t="str">
        <f t="shared" si="91"/>
        <v>S0676</v>
      </c>
      <c r="B677" s="8">
        <f t="shared" ca="1" si="92"/>
        <v>44943</v>
      </c>
      <c r="C677" s="15" t="str" cm="1">
        <f t="array" aca="1" ref="C677" ca="1">INDEX($Q$2:$Q$31, RANDBETWEEN(1, COUNTA($Q$2:$Q$31)))</f>
        <v>Latte</v>
      </c>
      <c r="D677" s="10" t="str" cm="1">
        <f t="array" aca="1" ref="D677" ca="1">INDEX($R$2:$R$310, RANDBETWEEN(1, COUNTA($Q$2:$Q$310)))</f>
        <v>M</v>
      </c>
      <c r="E677">
        <f t="shared" ca="1" si="93"/>
        <v>5</v>
      </c>
      <c r="F677" cm="1">
        <f t="array" aca="1" ref="F677" ca="1">INDEX($S$2:$S$31, RANDBETWEEN(1, COUNTA($S$2:$S$31)))</f>
        <v>59000</v>
      </c>
      <c r="G677" cm="1">
        <f t="array" aca="1" ref="G677" ca="1">INDEX($S$2:$S$31, RANDBETWEEN(1, COUNTA($S$2:$S$31)))</f>
        <v>65000</v>
      </c>
      <c r="H677">
        <f t="shared" ca="1" si="94"/>
        <v>15</v>
      </c>
      <c r="I677">
        <f t="shared" ca="1" si="95"/>
        <v>50150</v>
      </c>
      <c r="J677" s="10" t="str">
        <f t="shared" ca="1" si="96"/>
        <v>Online</v>
      </c>
      <c r="K677" s="10">
        <f t="shared" ca="1" si="97"/>
        <v>50150</v>
      </c>
      <c r="L677" s="10">
        <f t="shared" ca="1" si="98"/>
        <v>250750</v>
      </c>
      <c r="M677" s="12" t="str" cm="1">
        <f t="array" aca="1" ref="M677" ca="1">INDEX($R$33:$R$82, RANDBETWEEN(1, COUNTA($R$33:$R$82)))</f>
        <v>NV38</v>
      </c>
      <c r="N677">
        <f t="shared" ca="1" si="99"/>
        <v>9</v>
      </c>
    </row>
    <row r="678" spans="1:14" ht="16.8" x14ac:dyDescent="0.3">
      <c r="A678" s="7" t="str">
        <f t="shared" si="91"/>
        <v>S0677</v>
      </c>
      <c r="B678" s="8">
        <f t="shared" ca="1" si="92"/>
        <v>44824</v>
      </c>
      <c r="C678" s="15" t="str" cm="1">
        <f t="array" aca="1" ref="C678" ca="1">INDEX($Q$2:$Q$31, RANDBETWEEN(1, COUNTA($Q$2:$Q$31)))</f>
        <v xml:space="preserve">Chocolate Freeze </v>
      </c>
      <c r="D678" s="10" t="str" cm="1">
        <f t="array" aca="1" ref="D678" ca="1">INDEX($R$2:$R$310, RANDBETWEEN(1, COUNTA($Q$2:$Q$310)))</f>
        <v>S</v>
      </c>
      <c r="E678">
        <f t="shared" ca="1" si="93"/>
        <v>2</v>
      </c>
      <c r="F678" cm="1">
        <f t="array" aca="1" ref="F678" ca="1">INDEX($S$2:$S$31, RANDBETWEEN(1, COUNTA($S$2:$S$31)))</f>
        <v>59000</v>
      </c>
      <c r="G678" cm="1">
        <f t="array" aca="1" ref="G678" ca="1">INDEX($S$2:$S$31, RANDBETWEEN(1, COUNTA($S$2:$S$31)))</f>
        <v>65000</v>
      </c>
      <c r="H678">
        <f t="shared" ca="1" si="94"/>
        <v>12</v>
      </c>
      <c r="I678">
        <f t="shared" ca="1" si="95"/>
        <v>51920</v>
      </c>
      <c r="J678" s="10" t="str">
        <f t="shared" ca="1" si="96"/>
        <v>Online</v>
      </c>
      <c r="K678" s="10">
        <f t="shared" ca="1" si="97"/>
        <v>51920</v>
      </c>
      <c r="L678" s="10">
        <f t="shared" ca="1" si="98"/>
        <v>103840</v>
      </c>
      <c r="M678" s="12" t="str" cm="1">
        <f t="array" aca="1" ref="M678" ca="1">INDEX($R$33:$R$82, RANDBETWEEN(1, COUNTA($R$33:$R$82)))</f>
        <v>NV2</v>
      </c>
      <c r="N678">
        <f t="shared" ca="1" si="99"/>
        <v>10</v>
      </c>
    </row>
    <row r="679" spans="1:14" ht="16.8" x14ac:dyDescent="0.3">
      <c r="A679" s="7" t="str">
        <f t="shared" si="91"/>
        <v>S0678</v>
      </c>
      <c r="B679" s="8">
        <f t="shared" ca="1" si="92"/>
        <v>44213</v>
      </c>
      <c r="C679" s="15" t="str" cm="1">
        <f t="array" aca="1" ref="C679" ca="1">INDEX($Q$2:$Q$31, RANDBETWEEN(1, COUNTA($Q$2:$Q$31)))</f>
        <v xml:space="preserve">Green Tea Freeze </v>
      </c>
      <c r="D679" s="10" t="str" cm="1">
        <f t="array" aca="1" ref="D679" ca="1">INDEX($R$2:$R$310, RANDBETWEEN(1, COUNTA($Q$2:$Q$310)))</f>
        <v>M</v>
      </c>
      <c r="E679">
        <f t="shared" ca="1" si="93"/>
        <v>2</v>
      </c>
      <c r="F679" cm="1">
        <f t="array" aca="1" ref="F679" ca="1">INDEX($S$2:$S$31, RANDBETWEEN(1, COUNTA($S$2:$S$31)))</f>
        <v>39000</v>
      </c>
      <c r="G679" cm="1">
        <f t="array" aca="1" ref="G679" ca="1">INDEX($S$2:$S$31, RANDBETWEEN(1, COUNTA($S$2:$S$31)))</f>
        <v>65000</v>
      </c>
      <c r="H679">
        <f t="shared" ca="1" si="94"/>
        <v>6</v>
      </c>
      <c r="I679">
        <f t="shared" ca="1" si="95"/>
        <v>36660</v>
      </c>
      <c r="J679" s="10" t="str">
        <f t="shared" ca="1" si="96"/>
        <v>Online</v>
      </c>
      <c r="K679" s="10">
        <f t="shared" ca="1" si="97"/>
        <v>36660</v>
      </c>
      <c r="L679" s="10">
        <f t="shared" ca="1" si="98"/>
        <v>73320</v>
      </c>
      <c r="M679" s="12" t="str" cm="1">
        <f t="array" aca="1" ref="M679" ca="1">INDEX($R$33:$R$82, RANDBETWEEN(1, COUNTA($R$33:$R$82)))</f>
        <v>NV46</v>
      </c>
      <c r="N679">
        <f t="shared" ca="1" si="99"/>
        <v>47</v>
      </c>
    </row>
    <row r="680" spans="1:14" ht="16.8" x14ac:dyDescent="0.3">
      <c r="A680" s="7" t="str">
        <f t="shared" si="91"/>
        <v>S0679</v>
      </c>
      <c r="B680" s="8">
        <f t="shared" ca="1" si="92"/>
        <v>44983</v>
      </c>
      <c r="C680" s="15" t="str" cm="1">
        <f t="array" aca="1" ref="C680" ca="1">INDEX($Q$2:$Q$31, RANDBETWEEN(1, COUNTA($Q$2:$Q$31)))</f>
        <v>Caramel Phin Freeze</v>
      </c>
      <c r="D680" s="10" t="str" cm="1">
        <f t="array" aca="1" ref="D680" ca="1">INDEX($R$2:$R$310, RANDBETWEEN(1, COUNTA($Q$2:$Q$310)))</f>
        <v>L</v>
      </c>
      <c r="E680">
        <f t="shared" ca="1" si="93"/>
        <v>1</v>
      </c>
      <c r="F680" cm="1">
        <f t="array" aca="1" ref="F680" ca="1">INDEX($S$2:$S$31, RANDBETWEEN(1, COUNTA($S$2:$S$31)))</f>
        <v>35000</v>
      </c>
      <c r="G680" cm="1">
        <f t="array" aca="1" ref="G680" ca="1">INDEX($S$2:$S$31, RANDBETWEEN(1, COUNTA($S$2:$S$31)))</f>
        <v>65000</v>
      </c>
      <c r="H680">
        <f t="shared" ca="1" si="94"/>
        <v>8</v>
      </c>
      <c r="I680">
        <f t="shared" ca="1" si="95"/>
        <v>65000</v>
      </c>
      <c r="J680" s="10" t="str">
        <f t="shared" ca="1" si="96"/>
        <v>Offline</v>
      </c>
      <c r="K680" s="10">
        <f t="shared" ca="1" si="97"/>
        <v>65000</v>
      </c>
      <c r="L680" s="10">
        <f t="shared" ca="1" si="98"/>
        <v>65000</v>
      </c>
      <c r="M680" s="12" t="str" cm="1">
        <f t="array" aca="1" ref="M680" ca="1">INDEX($R$33:$R$82, RANDBETWEEN(1, COUNTA($R$33:$R$82)))</f>
        <v>NV40</v>
      </c>
      <c r="N680">
        <f t="shared" ca="1" si="99"/>
        <v>8</v>
      </c>
    </row>
    <row r="681" spans="1:14" ht="16.8" x14ac:dyDescent="0.3">
      <c r="A681" s="7" t="str">
        <f t="shared" si="91"/>
        <v>S0680</v>
      </c>
      <c r="B681" s="8">
        <f t="shared" ca="1" si="92"/>
        <v>44265</v>
      </c>
      <c r="C681" s="15" t="str" cm="1">
        <f t="array" aca="1" ref="C681" ca="1">INDEX($Q$2:$Q$31, RANDBETWEEN(1, COUNTA($Q$2:$Q$31)))</f>
        <v>Iced Black Coffee</v>
      </c>
      <c r="D681" s="10" t="str" cm="1">
        <f t="array" aca="1" ref="D681" ca="1">INDEX($R$2:$R$310, RANDBETWEEN(1, COUNTA($Q$2:$Q$310)))</f>
        <v>M</v>
      </c>
      <c r="E681">
        <f t="shared" ca="1" si="93"/>
        <v>2</v>
      </c>
      <c r="F681" cm="1">
        <f t="array" aca="1" ref="F681" ca="1">INDEX($S$2:$S$31, RANDBETWEEN(1, COUNTA($S$2:$S$31)))</f>
        <v>55000</v>
      </c>
      <c r="G681" cm="1">
        <f t="array" aca="1" ref="G681" ca="1">INDEX($S$2:$S$31, RANDBETWEEN(1, COUNTA($S$2:$S$31)))</f>
        <v>59000</v>
      </c>
      <c r="H681">
        <f t="shared" ca="1" si="94"/>
        <v>8</v>
      </c>
      <c r="I681">
        <f t="shared" ca="1" si="95"/>
        <v>50600</v>
      </c>
      <c r="J681" s="10" t="str">
        <f t="shared" ca="1" si="96"/>
        <v>Online</v>
      </c>
      <c r="K681" s="10">
        <f t="shared" ca="1" si="97"/>
        <v>50600</v>
      </c>
      <c r="L681" s="10">
        <f t="shared" ca="1" si="98"/>
        <v>101200</v>
      </c>
      <c r="M681" s="12" t="str" cm="1">
        <f t="array" aca="1" ref="M681" ca="1">INDEX($R$33:$R$82, RANDBETWEEN(1, COUNTA($R$33:$R$82)))</f>
        <v>NV48</v>
      </c>
      <c r="N681">
        <f t="shared" ca="1" si="99"/>
        <v>12</v>
      </c>
    </row>
    <row r="682" spans="1:14" ht="16.8" x14ac:dyDescent="0.3">
      <c r="A682" s="7" t="str">
        <f t="shared" si="91"/>
        <v>S0681</v>
      </c>
      <c r="B682" s="8">
        <f t="shared" ca="1" si="92"/>
        <v>44434</v>
      </c>
      <c r="C682" s="15" t="str" cm="1">
        <f t="array" aca="1" ref="C682" ca="1">INDEX($Q$2:$Q$31, RANDBETWEEN(1, COUNTA($Q$2:$Q$31)))</f>
        <v xml:space="preserve">Chocolate Freeze </v>
      </c>
      <c r="D682" s="10" t="str" cm="1">
        <f t="array" aca="1" ref="D682" ca="1">INDEX($R$2:$R$310, RANDBETWEEN(1, COUNTA($Q$2:$Q$310)))</f>
        <v>M</v>
      </c>
      <c r="E682">
        <f t="shared" ca="1" si="93"/>
        <v>3</v>
      </c>
      <c r="F682" cm="1">
        <f t="array" aca="1" ref="F682" ca="1">INDEX($S$2:$S$31, RANDBETWEEN(1, COUNTA($S$2:$S$31)))</f>
        <v>49000</v>
      </c>
      <c r="G682" cm="1">
        <f t="array" aca="1" ref="G682" ca="1">INDEX($S$2:$S$31, RANDBETWEEN(1, COUNTA($S$2:$S$31)))</f>
        <v>55000</v>
      </c>
      <c r="H682">
        <f t="shared" ca="1" si="94"/>
        <v>9</v>
      </c>
      <c r="I682">
        <f t="shared" ca="1" si="95"/>
        <v>44590</v>
      </c>
      <c r="J682" s="10" t="str">
        <f t="shared" ca="1" si="96"/>
        <v>Online</v>
      </c>
      <c r="K682" s="10">
        <f t="shared" ca="1" si="97"/>
        <v>44590</v>
      </c>
      <c r="L682" s="10">
        <f t="shared" ca="1" si="98"/>
        <v>133770</v>
      </c>
      <c r="M682" s="12" t="str" cm="1">
        <f t="array" aca="1" ref="M682" ca="1">INDEX($R$33:$R$82, RANDBETWEEN(1, COUNTA($R$33:$R$82)))</f>
        <v>NV12</v>
      </c>
      <c r="N682">
        <f t="shared" ca="1" si="99"/>
        <v>26</v>
      </c>
    </row>
    <row r="683" spans="1:14" ht="16.8" x14ac:dyDescent="0.3">
      <c r="A683" s="7" t="str">
        <f t="shared" si="91"/>
        <v>S0682</v>
      </c>
      <c r="B683" s="8">
        <f t="shared" ca="1" si="92"/>
        <v>45042</v>
      </c>
      <c r="C683" s="15" t="str" cm="1">
        <f t="array" aca="1" ref="C683" ca="1">INDEX($Q$2:$Q$31, RANDBETWEEN(1, COUNTA($Q$2:$Q$31)))</f>
        <v>Cookies &amp; Cream</v>
      </c>
      <c r="D683" s="10" t="str" cm="1">
        <f t="array" aca="1" ref="D683" ca="1">INDEX($R$2:$R$310, RANDBETWEEN(1, COUNTA($Q$2:$Q$310)))</f>
        <v>L</v>
      </c>
      <c r="E683">
        <f t="shared" ca="1" si="93"/>
        <v>3</v>
      </c>
      <c r="F683" cm="1">
        <f t="array" aca="1" ref="F683" ca="1">INDEX($S$2:$S$31, RANDBETWEEN(1, COUNTA($S$2:$S$31)))</f>
        <v>35000</v>
      </c>
      <c r="G683" cm="1">
        <f t="array" aca="1" ref="G683" ca="1">INDEX($S$2:$S$31, RANDBETWEEN(1, COUNTA($S$2:$S$31)))</f>
        <v>29000</v>
      </c>
      <c r="H683">
        <f t="shared" ca="1" si="94"/>
        <v>15</v>
      </c>
      <c r="I683">
        <f t="shared" ca="1" si="95"/>
        <v>29750</v>
      </c>
      <c r="J683" s="10" t="str">
        <f t="shared" ca="1" si="96"/>
        <v>Online</v>
      </c>
      <c r="K683" s="10">
        <f t="shared" ca="1" si="97"/>
        <v>29750</v>
      </c>
      <c r="L683" s="10">
        <f t="shared" ca="1" si="98"/>
        <v>89250</v>
      </c>
      <c r="M683" s="12" t="str" cm="1">
        <f t="array" aca="1" ref="M683" ca="1">INDEX($R$33:$R$82, RANDBETWEEN(1, COUNTA($R$33:$R$82)))</f>
        <v>NV8</v>
      </c>
      <c r="N683">
        <f t="shared" ca="1" si="99"/>
        <v>32</v>
      </c>
    </row>
    <row r="684" spans="1:14" ht="16.8" x14ac:dyDescent="0.3">
      <c r="A684" s="7" t="str">
        <f t="shared" si="91"/>
        <v>S0683</v>
      </c>
      <c r="B684" s="8">
        <f t="shared" ca="1" si="92"/>
        <v>44989</v>
      </c>
      <c r="C684" s="15" t="str" cm="1">
        <f t="array" aca="1" ref="C684" ca="1">INDEX($Q$2:$Q$31, RANDBETWEEN(1, COUNTA($Q$2:$Q$31)))</f>
        <v>Caramel Phin Freeze</v>
      </c>
      <c r="D684" s="10" t="str" cm="1">
        <f t="array" aca="1" ref="D684" ca="1">INDEX($R$2:$R$310, RANDBETWEEN(1, COUNTA($Q$2:$Q$310)))</f>
        <v>S</v>
      </c>
      <c r="E684">
        <f t="shared" ca="1" si="93"/>
        <v>4</v>
      </c>
      <c r="F684" cm="1">
        <f t="array" aca="1" ref="F684" ca="1">INDEX($S$2:$S$31, RANDBETWEEN(1, COUNTA($S$2:$S$31)))</f>
        <v>65000</v>
      </c>
      <c r="G684" cm="1">
        <f t="array" aca="1" ref="G684" ca="1">INDEX($S$2:$S$31, RANDBETWEEN(1, COUNTA($S$2:$S$31)))</f>
        <v>45000</v>
      </c>
      <c r="H684">
        <f t="shared" ca="1" si="94"/>
        <v>14</v>
      </c>
      <c r="I684">
        <f t="shared" ca="1" si="95"/>
        <v>45000</v>
      </c>
      <c r="J684" s="10" t="str">
        <f t="shared" ca="1" si="96"/>
        <v>Offline</v>
      </c>
      <c r="K684" s="10">
        <f t="shared" ca="1" si="97"/>
        <v>45000</v>
      </c>
      <c r="L684" s="10">
        <f t="shared" ca="1" si="98"/>
        <v>180000</v>
      </c>
      <c r="M684" s="12" t="str" cm="1">
        <f t="array" aca="1" ref="M684" ca="1">INDEX($R$33:$R$82, RANDBETWEEN(1, COUNTA($R$33:$R$82)))</f>
        <v>NV21</v>
      </c>
      <c r="N684">
        <f t="shared" ca="1" si="99"/>
        <v>36</v>
      </c>
    </row>
    <row r="685" spans="1:14" ht="16.8" x14ac:dyDescent="0.3">
      <c r="A685" s="7" t="str">
        <f t="shared" si="91"/>
        <v>S0684</v>
      </c>
      <c r="B685" s="8">
        <f t="shared" ca="1" si="92"/>
        <v>45091</v>
      </c>
      <c r="C685" s="15" t="str" cm="1">
        <f t="array" aca="1" ref="C685" ca="1">INDEX($Q$2:$Q$31, RANDBETWEEN(1, COUNTA($Q$2:$Q$31)))</f>
        <v>Cappuccino</v>
      </c>
      <c r="D685" s="10" t="str" cm="1">
        <f t="array" aca="1" ref="D685" ca="1">INDEX($R$2:$R$310, RANDBETWEEN(1, COUNTA($Q$2:$Q$310)))</f>
        <v>M</v>
      </c>
      <c r="E685">
        <f t="shared" ca="1" si="93"/>
        <v>5</v>
      </c>
      <c r="F685" cm="1">
        <f t="array" aca="1" ref="F685" ca="1">INDEX($S$2:$S$31, RANDBETWEEN(1, COUNTA($S$2:$S$31)))</f>
        <v>59000</v>
      </c>
      <c r="G685" cm="1">
        <f t="array" aca="1" ref="G685" ca="1">INDEX($S$2:$S$31, RANDBETWEEN(1, COUNTA($S$2:$S$31)))</f>
        <v>35000</v>
      </c>
      <c r="H685">
        <f t="shared" ca="1" si="94"/>
        <v>15</v>
      </c>
      <c r="I685">
        <f t="shared" ca="1" si="95"/>
        <v>35000</v>
      </c>
      <c r="J685" s="10" t="str">
        <f t="shared" ca="1" si="96"/>
        <v>Offline</v>
      </c>
      <c r="K685" s="10">
        <f t="shared" ca="1" si="97"/>
        <v>35000</v>
      </c>
      <c r="L685" s="10">
        <f t="shared" ca="1" si="98"/>
        <v>175000</v>
      </c>
      <c r="M685" s="12" t="str" cm="1">
        <f t="array" aca="1" ref="M685" ca="1">INDEX($R$33:$R$82, RANDBETWEEN(1, COUNTA($R$33:$R$82)))</f>
        <v>NV44</v>
      </c>
      <c r="N685">
        <f t="shared" ca="1" si="99"/>
        <v>10</v>
      </c>
    </row>
    <row r="686" spans="1:14" ht="16.8" x14ac:dyDescent="0.3">
      <c r="A686" s="7" t="str">
        <f t="shared" si="91"/>
        <v>S0685</v>
      </c>
      <c r="B686" s="8">
        <f t="shared" ca="1" si="92"/>
        <v>44480</v>
      </c>
      <c r="C686" s="15" t="str" cm="1">
        <f t="array" aca="1" ref="C686" ca="1">INDEX($Q$2:$Q$31, RANDBETWEEN(1, COUNTA($Q$2:$Q$31)))</f>
        <v xml:space="preserve">Green Tea Freeze </v>
      </c>
      <c r="D686" s="10" t="str" cm="1">
        <f t="array" aca="1" ref="D686" ca="1">INDEX($R$2:$R$310, RANDBETWEEN(1, COUNTA($Q$2:$Q$310)))</f>
        <v>L</v>
      </c>
      <c r="E686">
        <f t="shared" ca="1" si="93"/>
        <v>3</v>
      </c>
      <c r="F686" cm="1">
        <f t="array" aca="1" ref="F686" ca="1">INDEX($S$2:$S$31, RANDBETWEEN(1, COUNTA($S$2:$S$31)))</f>
        <v>65000</v>
      </c>
      <c r="G686" cm="1">
        <f t="array" aca="1" ref="G686" ca="1">INDEX($S$2:$S$31, RANDBETWEEN(1, COUNTA($S$2:$S$31)))</f>
        <v>49000</v>
      </c>
      <c r="H686">
        <f t="shared" ca="1" si="94"/>
        <v>8</v>
      </c>
      <c r="I686">
        <f t="shared" ca="1" si="95"/>
        <v>49000</v>
      </c>
      <c r="J686" s="10" t="str">
        <f t="shared" ca="1" si="96"/>
        <v>Offline</v>
      </c>
      <c r="K686" s="10">
        <f t="shared" ca="1" si="97"/>
        <v>49000</v>
      </c>
      <c r="L686" s="10">
        <f t="shared" ca="1" si="98"/>
        <v>147000</v>
      </c>
      <c r="M686" s="12" t="str" cm="1">
        <f t="array" aca="1" ref="M686" ca="1">INDEX($R$33:$R$82, RANDBETWEEN(1, COUNTA($R$33:$R$82)))</f>
        <v>NV12</v>
      </c>
      <c r="N686">
        <f t="shared" ca="1" si="99"/>
        <v>11</v>
      </c>
    </row>
    <row r="687" spans="1:14" ht="16.8" x14ac:dyDescent="0.3">
      <c r="A687" s="7" t="str">
        <f t="shared" si="91"/>
        <v>S0686</v>
      </c>
      <c r="B687" s="8">
        <f t="shared" ca="1" si="92"/>
        <v>45227</v>
      </c>
      <c r="C687" s="15" t="str" cm="1">
        <f t="array" aca="1" ref="C687" ca="1">INDEX($Q$2:$Q$31, RANDBETWEEN(1, COUNTA($Q$2:$Q$31)))</f>
        <v xml:space="preserve">Green Tea Freeze </v>
      </c>
      <c r="D687" s="10" t="str" cm="1">
        <f t="array" aca="1" ref="D687" ca="1">INDEX($R$2:$R$310, RANDBETWEEN(1, COUNTA($Q$2:$Q$310)))</f>
        <v>L</v>
      </c>
      <c r="E687">
        <f t="shared" ca="1" si="93"/>
        <v>5</v>
      </c>
      <c r="F687" cm="1">
        <f t="array" aca="1" ref="F687" ca="1">INDEX($S$2:$S$31, RANDBETWEEN(1, COUNTA($S$2:$S$31)))</f>
        <v>69000</v>
      </c>
      <c r="G687" cm="1">
        <f t="array" aca="1" ref="G687" ca="1">INDEX($S$2:$S$31, RANDBETWEEN(1, COUNTA($S$2:$S$31)))</f>
        <v>39000</v>
      </c>
      <c r="H687">
        <f t="shared" ca="1" si="94"/>
        <v>13</v>
      </c>
      <c r="I687">
        <f t="shared" ca="1" si="95"/>
        <v>39000</v>
      </c>
      <c r="J687" s="10" t="str">
        <f t="shared" ca="1" si="96"/>
        <v>Offline</v>
      </c>
      <c r="K687" s="10">
        <f t="shared" ca="1" si="97"/>
        <v>39000</v>
      </c>
      <c r="L687" s="10">
        <f t="shared" ca="1" si="98"/>
        <v>195000</v>
      </c>
      <c r="M687" s="12" t="str" cm="1">
        <f t="array" aca="1" ref="M687" ca="1">INDEX($R$33:$R$82, RANDBETWEEN(1, COUNTA($R$33:$R$82)))</f>
        <v>NV16</v>
      </c>
      <c r="N687">
        <f t="shared" ca="1" si="99"/>
        <v>47</v>
      </c>
    </row>
    <row r="688" spans="1:14" ht="16.8" x14ac:dyDescent="0.3">
      <c r="A688" s="7" t="str">
        <f t="shared" si="91"/>
        <v>S0687</v>
      </c>
      <c r="B688" s="8">
        <f t="shared" ca="1" si="92"/>
        <v>44710</v>
      </c>
      <c r="C688" s="15" t="str" cm="1">
        <f t="array" aca="1" ref="C688" ca="1">INDEX($Q$2:$Q$31, RANDBETWEEN(1, COUNTA($Q$2:$Q$31)))</f>
        <v xml:space="preserve">Green Tea Freeze </v>
      </c>
      <c r="D688" s="10" t="str" cm="1">
        <f t="array" aca="1" ref="D688" ca="1">INDEX($R$2:$R$310, RANDBETWEEN(1, COUNTA($Q$2:$Q$310)))</f>
        <v>L</v>
      </c>
      <c r="E688">
        <f t="shared" ca="1" si="93"/>
        <v>3</v>
      </c>
      <c r="F688" cm="1">
        <f t="array" aca="1" ref="F688" ca="1">INDEX($S$2:$S$31, RANDBETWEEN(1, COUNTA($S$2:$S$31)))</f>
        <v>59000</v>
      </c>
      <c r="G688" cm="1">
        <f t="array" aca="1" ref="G688" ca="1">INDEX($S$2:$S$31, RANDBETWEEN(1, COUNTA($S$2:$S$31)))</f>
        <v>65000</v>
      </c>
      <c r="H688">
        <f t="shared" ca="1" si="94"/>
        <v>8</v>
      </c>
      <c r="I688">
        <f t="shared" ca="1" si="95"/>
        <v>65000</v>
      </c>
      <c r="J688" s="10" t="str">
        <f t="shared" ca="1" si="96"/>
        <v>Offline</v>
      </c>
      <c r="K688" s="10">
        <f t="shared" ca="1" si="97"/>
        <v>65000</v>
      </c>
      <c r="L688" s="10">
        <f t="shared" ca="1" si="98"/>
        <v>195000</v>
      </c>
      <c r="M688" s="12" t="str" cm="1">
        <f t="array" aca="1" ref="M688" ca="1">INDEX($R$33:$R$82, RANDBETWEEN(1, COUNTA($R$33:$R$82)))</f>
        <v>NV26</v>
      </c>
      <c r="N688">
        <f t="shared" ca="1" si="99"/>
        <v>9</v>
      </c>
    </row>
    <row r="689" spans="1:14" ht="16.8" x14ac:dyDescent="0.3">
      <c r="A689" s="7" t="str">
        <f t="shared" si="91"/>
        <v>S0688</v>
      </c>
      <c r="B689" s="8">
        <f t="shared" ca="1" si="92"/>
        <v>44992</v>
      </c>
      <c r="C689" s="15" t="str" cm="1">
        <f t="array" aca="1" ref="C689" ca="1">INDEX($Q$2:$Q$31, RANDBETWEEN(1, COUNTA($Q$2:$Q$31)))</f>
        <v>Classic Phin Freeze</v>
      </c>
      <c r="D689" s="10" t="str" cm="1">
        <f t="array" aca="1" ref="D689" ca="1">INDEX($R$2:$R$310, RANDBETWEEN(1, COUNTA($Q$2:$Q$310)))</f>
        <v>M</v>
      </c>
      <c r="E689">
        <f t="shared" ca="1" si="93"/>
        <v>2</v>
      </c>
      <c r="F689" cm="1">
        <f t="array" aca="1" ref="F689" ca="1">INDEX($S$2:$S$31, RANDBETWEEN(1, COUNTA($S$2:$S$31)))</f>
        <v>65000</v>
      </c>
      <c r="G689" cm="1">
        <f t="array" aca="1" ref="G689" ca="1">INDEX($S$2:$S$31, RANDBETWEEN(1, COUNTA($S$2:$S$31)))</f>
        <v>65000</v>
      </c>
      <c r="H689">
        <f t="shared" ca="1" si="94"/>
        <v>5</v>
      </c>
      <c r="I689">
        <f t="shared" ca="1" si="95"/>
        <v>65000</v>
      </c>
      <c r="J689" s="10" t="str">
        <f t="shared" ca="1" si="96"/>
        <v>Offline</v>
      </c>
      <c r="K689" s="10">
        <f t="shared" ca="1" si="97"/>
        <v>65000</v>
      </c>
      <c r="L689" s="10">
        <f t="shared" ca="1" si="98"/>
        <v>130000</v>
      </c>
      <c r="M689" s="12" t="str" cm="1">
        <f t="array" aca="1" ref="M689" ca="1">INDEX($R$33:$R$82, RANDBETWEEN(1, COUNTA($R$33:$R$82)))</f>
        <v>NV16</v>
      </c>
      <c r="N689">
        <f t="shared" ca="1" si="99"/>
        <v>39</v>
      </c>
    </row>
    <row r="690" spans="1:14" ht="16.8" x14ac:dyDescent="0.3">
      <c r="A690" s="7" t="str">
        <f t="shared" si="91"/>
        <v>S0689</v>
      </c>
      <c r="B690" s="8">
        <f t="shared" ca="1" si="92"/>
        <v>44218</v>
      </c>
      <c r="C690" s="15" t="str" cm="1">
        <f t="array" aca="1" ref="C690" ca="1">INDEX($Q$2:$Q$31, RANDBETWEEN(1, COUNTA($Q$2:$Q$31)))</f>
        <v>Cappuccino</v>
      </c>
      <c r="D690" s="10" t="str" cm="1">
        <f t="array" aca="1" ref="D690" ca="1">INDEX($R$2:$R$310, RANDBETWEEN(1, COUNTA($Q$2:$Q$310)))</f>
        <v>M</v>
      </c>
      <c r="E690">
        <f t="shared" ca="1" si="93"/>
        <v>2</v>
      </c>
      <c r="F690" cm="1">
        <f t="array" aca="1" ref="F690" ca="1">INDEX($S$2:$S$31, RANDBETWEEN(1, COUNTA($S$2:$S$31)))</f>
        <v>35000</v>
      </c>
      <c r="G690" cm="1">
        <f t="array" aca="1" ref="G690" ca="1">INDEX($S$2:$S$31, RANDBETWEEN(1, COUNTA($S$2:$S$31)))</f>
        <v>35000</v>
      </c>
      <c r="H690">
        <f t="shared" ca="1" si="94"/>
        <v>9</v>
      </c>
      <c r="I690">
        <f t="shared" ca="1" si="95"/>
        <v>31850</v>
      </c>
      <c r="J690" s="10" t="str">
        <f t="shared" ca="1" si="96"/>
        <v>Online</v>
      </c>
      <c r="K690" s="10">
        <f t="shared" ca="1" si="97"/>
        <v>31850</v>
      </c>
      <c r="L690" s="10">
        <f t="shared" ca="1" si="98"/>
        <v>63700</v>
      </c>
      <c r="M690" s="12" t="str" cm="1">
        <f t="array" aca="1" ref="M690" ca="1">INDEX($R$33:$R$82, RANDBETWEEN(1, COUNTA($R$33:$R$82)))</f>
        <v>NV23</v>
      </c>
      <c r="N690">
        <f t="shared" ca="1" si="99"/>
        <v>28</v>
      </c>
    </row>
    <row r="691" spans="1:14" ht="16.8" x14ac:dyDescent="0.3">
      <c r="A691" s="7" t="str">
        <f t="shared" si="91"/>
        <v>S0690</v>
      </c>
      <c r="B691" s="8">
        <f t="shared" ca="1" si="92"/>
        <v>44307</v>
      </c>
      <c r="C691" s="15" t="str" cm="1">
        <f t="array" aca="1" ref="C691" ca="1">INDEX($Q$2:$Q$31, RANDBETWEEN(1, COUNTA($Q$2:$Q$31)))</f>
        <v xml:space="preserve">Green Tea Freeze </v>
      </c>
      <c r="D691" s="10" t="str" cm="1">
        <f t="array" aca="1" ref="D691" ca="1">INDEX($R$2:$R$310, RANDBETWEEN(1, COUNTA($Q$2:$Q$310)))</f>
        <v>S</v>
      </c>
      <c r="E691">
        <f t="shared" ca="1" si="93"/>
        <v>2</v>
      </c>
      <c r="F691" cm="1">
        <f t="array" aca="1" ref="F691" ca="1">INDEX($S$2:$S$31, RANDBETWEEN(1, COUNTA($S$2:$S$31)))</f>
        <v>65000</v>
      </c>
      <c r="G691" cm="1">
        <f t="array" aca="1" ref="G691" ca="1">INDEX($S$2:$S$31, RANDBETWEEN(1, COUNTA($S$2:$S$31)))</f>
        <v>69000</v>
      </c>
      <c r="H691">
        <f t="shared" ca="1" si="94"/>
        <v>5</v>
      </c>
      <c r="I691">
        <f t="shared" ca="1" si="95"/>
        <v>69000</v>
      </c>
      <c r="J691" s="10" t="str">
        <f t="shared" ca="1" si="96"/>
        <v>Offline</v>
      </c>
      <c r="K691" s="10">
        <f t="shared" ca="1" si="97"/>
        <v>69000</v>
      </c>
      <c r="L691" s="10">
        <f t="shared" ca="1" si="98"/>
        <v>138000</v>
      </c>
      <c r="M691" s="12" t="str" cm="1">
        <f t="array" aca="1" ref="M691" ca="1">INDEX($R$33:$R$82, RANDBETWEEN(1, COUNTA($R$33:$R$82)))</f>
        <v>NV46</v>
      </c>
      <c r="N691">
        <f t="shared" ca="1" si="99"/>
        <v>45</v>
      </c>
    </row>
    <row r="692" spans="1:14" ht="16.8" x14ac:dyDescent="0.3">
      <c r="A692" s="7" t="str">
        <f t="shared" si="91"/>
        <v>S0691</v>
      </c>
      <c r="B692" s="8">
        <f t="shared" ca="1" si="92"/>
        <v>44477</v>
      </c>
      <c r="C692" s="15" t="str" cm="1">
        <f t="array" aca="1" ref="C692" ca="1">INDEX($Q$2:$Q$31, RANDBETWEEN(1, COUNTA($Q$2:$Q$31)))</f>
        <v xml:space="preserve">Green Tea Freeze </v>
      </c>
      <c r="D692" s="10" t="str" cm="1">
        <f t="array" aca="1" ref="D692" ca="1">INDEX($R$2:$R$310, RANDBETWEEN(1, COUNTA($Q$2:$Q$310)))</f>
        <v>L</v>
      </c>
      <c r="E692">
        <f t="shared" ca="1" si="93"/>
        <v>5</v>
      </c>
      <c r="F692" cm="1">
        <f t="array" aca="1" ref="F692" ca="1">INDEX($S$2:$S$31, RANDBETWEEN(1, COUNTA($S$2:$S$31)))</f>
        <v>59000</v>
      </c>
      <c r="G692" cm="1">
        <f t="array" aca="1" ref="G692" ca="1">INDEX($S$2:$S$31, RANDBETWEEN(1, COUNTA($S$2:$S$31)))</f>
        <v>65000</v>
      </c>
      <c r="H692">
        <f t="shared" ca="1" si="94"/>
        <v>12</v>
      </c>
      <c r="I692">
        <f t="shared" ca="1" si="95"/>
        <v>65000</v>
      </c>
      <c r="J692" s="10" t="str">
        <f t="shared" ca="1" si="96"/>
        <v>Offline</v>
      </c>
      <c r="K692" s="10">
        <f t="shared" ca="1" si="97"/>
        <v>65000</v>
      </c>
      <c r="L692" s="10">
        <f t="shared" ca="1" si="98"/>
        <v>325000</v>
      </c>
      <c r="M692" s="12" t="str" cm="1">
        <f t="array" aca="1" ref="M692" ca="1">INDEX($R$33:$R$82, RANDBETWEEN(1, COUNTA($R$33:$R$82)))</f>
        <v>NV17</v>
      </c>
      <c r="N692">
        <f t="shared" ca="1" si="99"/>
        <v>35</v>
      </c>
    </row>
    <row r="693" spans="1:14" ht="16.8" x14ac:dyDescent="0.3">
      <c r="A693" s="7" t="str">
        <f t="shared" si="91"/>
        <v>S0692</v>
      </c>
      <c r="B693" s="8">
        <f t="shared" ca="1" si="92"/>
        <v>44615</v>
      </c>
      <c r="C693" s="15" t="str" cm="1">
        <f t="array" aca="1" ref="C693" ca="1">INDEX($Q$2:$Q$31, RANDBETWEEN(1, COUNTA($Q$2:$Q$31)))</f>
        <v>Caramel Phin Freeze</v>
      </c>
      <c r="D693" s="10" t="str" cm="1">
        <f t="array" aca="1" ref="D693" ca="1">INDEX($R$2:$R$310, RANDBETWEEN(1, COUNTA($Q$2:$Q$310)))</f>
        <v>L</v>
      </c>
      <c r="E693">
        <f t="shared" ca="1" si="93"/>
        <v>3</v>
      </c>
      <c r="F693" cm="1">
        <f t="array" aca="1" ref="F693" ca="1">INDEX($S$2:$S$31, RANDBETWEEN(1, COUNTA($S$2:$S$31)))</f>
        <v>55000</v>
      </c>
      <c r="G693" cm="1">
        <f t="array" aca="1" ref="G693" ca="1">INDEX($S$2:$S$31, RANDBETWEEN(1, COUNTA($S$2:$S$31)))</f>
        <v>39000</v>
      </c>
      <c r="H693">
        <f t="shared" ca="1" si="94"/>
        <v>12</v>
      </c>
      <c r="I693">
        <f t="shared" ca="1" si="95"/>
        <v>39000</v>
      </c>
      <c r="J693" s="10" t="str">
        <f t="shared" ca="1" si="96"/>
        <v>Offline</v>
      </c>
      <c r="K693" s="10">
        <f t="shared" ca="1" si="97"/>
        <v>39000</v>
      </c>
      <c r="L693" s="10">
        <f t="shared" ca="1" si="98"/>
        <v>117000</v>
      </c>
      <c r="M693" s="12" t="str" cm="1">
        <f t="array" aca="1" ref="M693" ca="1">INDEX($R$33:$R$82, RANDBETWEEN(1, COUNTA($R$33:$R$82)))</f>
        <v>NV49</v>
      </c>
      <c r="N693">
        <f t="shared" ca="1" si="99"/>
        <v>3</v>
      </c>
    </row>
    <row r="694" spans="1:14" ht="16.8" x14ac:dyDescent="0.3">
      <c r="A694" s="7" t="str">
        <f t="shared" si="91"/>
        <v>S0693</v>
      </c>
      <c r="B694" s="8">
        <f t="shared" ca="1" si="92"/>
        <v>44558</v>
      </c>
      <c r="C694" s="15" t="str" cm="1">
        <f t="array" aca="1" ref="C694" ca="1">INDEX($Q$2:$Q$31, RANDBETWEEN(1, COUNTA($Q$2:$Q$31)))</f>
        <v xml:space="preserve">Green Tea Freeze </v>
      </c>
      <c r="D694" s="10" t="str" cm="1">
        <f t="array" aca="1" ref="D694" ca="1">INDEX($R$2:$R$310, RANDBETWEEN(1, COUNTA($Q$2:$Q$310)))</f>
        <v>M</v>
      </c>
      <c r="E694">
        <f t="shared" ca="1" si="93"/>
        <v>1</v>
      </c>
      <c r="F694" cm="1">
        <f t="array" aca="1" ref="F694" ca="1">INDEX($S$2:$S$31, RANDBETWEEN(1, COUNTA($S$2:$S$31)))</f>
        <v>55000</v>
      </c>
      <c r="G694" cm="1">
        <f t="array" aca="1" ref="G694" ca="1">INDEX($S$2:$S$31, RANDBETWEEN(1, COUNTA($S$2:$S$31)))</f>
        <v>35000</v>
      </c>
      <c r="H694">
        <f t="shared" ca="1" si="94"/>
        <v>7</v>
      </c>
      <c r="I694">
        <f t="shared" ca="1" si="95"/>
        <v>35000</v>
      </c>
      <c r="J694" s="10" t="str">
        <f t="shared" ca="1" si="96"/>
        <v>Offline</v>
      </c>
      <c r="K694" s="10">
        <f t="shared" ca="1" si="97"/>
        <v>35000</v>
      </c>
      <c r="L694" s="10">
        <f t="shared" ca="1" si="98"/>
        <v>35000</v>
      </c>
      <c r="M694" s="12" t="str" cm="1">
        <f t="array" aca="1" ref="M694" ca="1">INDEX($R$33:$R$82, RANDBETWEEN(1, COUNTA($R$33:$R$82)))</f>
        <v>NV47</v>
      </c>
      <c r="N694">
        <f t="shared" ca="1" si="99"/>
        <v>10</v>
      </c>
    </row>
    <row r="695" spans="1:14" ht="16.8" x14ac:dyDescent="0.3">
      <c r="A695" s="7" t="str">
        <f t="shared" si="91"/>
        <v>S0694</v>
      </c>
      <c r="B695" s="8">
        <f t="shared" ca="1" si="92"/>
        <v>44249</v>
      </c>
      <c r="C695" s="15" t="str" cm="1">
        <f t="array" aca="1" ref="C695" ca="1">INDEX($Q$2:$Q$31, RANDBETWEEN(1, COUNTA($Q$2:$Q$31)))</f>
        <v>Americano</v>
      </c>
      <c r="D695" s="10" t="str" cm="1">
        <f t="array" aca="1" ref="D695" ca="1">INDEX($R$2:$R$310, RANDBETWEEN(1, COUNTA($Q$2:$Q$310)))</f>
        <v>S</v>
      </c>
      <c r="E695">
        <f t="shared" ca="1" si="93"/>
        <v>3</v>
      </c>
      <c r="F695" cm="1">
        <f t="array" aca="1" ref="F695" ca="1">INDEX($S$2:$S$31, RANDBETWEEN(1, COUNTA($S$2:$S$31)))</f>
        <v>65000</v>
      </c>
      <c r="G695" cm="1">
        <f t="array" aca="1" ref="G695" ca="1">INDEX($S$2:$S$31, RANDBETWEEN(1, COUNTA($S$2:$S$31)))</f>
        <v>55000</v>
      </c>
      <c r="H695">
        <f t="shared" ca="1" si="94"/>
        <v>14</v>
      </c>
      <c r="I695">
        <f t="shared" ca="1" si="95"/>
        <v>55000</v>
      </c>
      <c r="J695" s="10" t="str">
        <f t="shared" ca="1" si="96"/>
        <v>Offline</v>
      </c>
      <c r="K695" s="10">
        <f t="shared" ca="1" si="97"/>
        <v>55000</v>
      </c>
      <c r="L695" s="10">
        <f t="shared" ca="1" si="98"/>
        <v>165000</v>
      </c>
      <c r="M695" s="12" t="str" cm="1">
        <f t="array" aca="1" ref="M695" ca="1">INDEX($R$33:$R$82, RANDBETWEEN(1, COUNTA($R$33:$R$82)))</f>
        <v>NV27</v>
      </c>
      <c r="N695">
        <f t="shared" ca="1" si="99"/>
        <v>2</v>
      </c>
    </row>
    <row r="696" spans="1:14" ht="16.8" x14ac:dyDescent="0.3">
      <c r="A696" s="7" t="str">
        <f t="shared" si="91"/>
        <v>S0695</v>
      </c>
      <c r="B696" s="8">
        <f t="shared" ca="1" si="92"/>
        <v>44555</v>
      </c>
      <c r="C696" s="15" t="str" cm="1">
        <f t="array" aca="1" ref="C696" ca="1">INDEX($Q$2:$Q$31, RANDBETWEEN(1, COUNTA($Q$2:$Q$31)))</f>
        <v>Cookies &amp; Cream</v>
      </c>
      <c r="D696" s="10" t="str" cm="1">
        <f t="array" aca="1" ref="D696" ca="1">INDEX($R$2:$R$310, RANDBETWEEN(1, COUNTA($Q$2:$Q$310)))</f>
        <v>S</v>
      </c>
      <c r="E696">
        <f t="shared" ca="1" si="93"/>
        <v>3</v>
      </c>
      <c r="F696" cm="1">
        <f t="array" aca="1" ref="F696" ca="1">INDEX($S$2:$S$31, RANDBETWEEN(1, COUNTA($S$2:$S$31)))</f>
        <v>65000</v>
      </c>
      <c r="G696" cm="1">
        <f t="array" aca="1" ref="G696" ca="1">INDEX($S$2:$S$31, RANDBETWEEN(1, COUNTA($S$2:$S$31)))</f>
        <v>59000</v>
      </c>
      <c r="H696">
        <f t="shared" ca="1" si="94"/>
        <v>5</v>
      </c>
      <c r="I696">
        <f t="shared" ca="1" si="95"/>
        <v>61750</v>
      </c>
      <c r="J696" s="10" t="str">
        <f t="shared" ca="1" si="96"/>
        <v>Online</v>
      </c>
      <c r="K696" s="10">
        <f t="shared" ca="1" si="97"/>
        <v>61750</v>
      </c>
      <c r="L696" s="10">
        <f t="shared" ca="1" si="98"/>
        <v>185250</v>
      </c>
      <c r="M696" s="12" t="str" cm="1">
        <f t="array" aca="1" ref="M696" ca="1">INDEX($R$33:$R$82, RANDBETWEEN(1, COUNTA($R$33:$R$82)))</f>
        <v>NV38</v>
      </c>
      <c r="N696">
        <f t="shared" ca="1" si="99"/>
        <v>17</v>
      </c>
    </row>
    <row r="697" spans="1:14" ht="16.8" x14ac:dyDescent="0.3">
      <c r="A697" s="7" t="str">
        <f t="shared" si="91"/>
        <v>S0696</v>
      </c>
      <c r="B697" s="8">
        <f t="shared" ca="1" si="92"/>
        <v>44842</v>
      </c>
      <c r="C697" s="15" t="str" cm="1">
        <f t="array" aca="1" ref="C697" ca="1">INDEX($Q$2:$Q$31, RANDBETWEEN(1, COUNTA($Q$2:$Q$31)))</f>
        <v>Caramel Phin Freeze</v>
      </c>
      <c r="D697" s="10" t="str" cm="1">
        <f t="array" aca="1" ref="D697" ca="1">INDEX($R$2:$R$310, RANDBETWEEN(1, COUNTA($Q$2:$Q$310)))</f>
        <v>S</v>
      </c>
      <c r="E697">
        <f t="shared" ca="1" si="93"/>
        <v>3</v>
      </c>
      <c r="F697" cm="1">
        <f t="array" aca="1" ref="F697" ca="1">INDEX($S$2:$S$31, RANDBETWEEN(1, COUNTA($S$2:$S$31)))</f>
        <v>59000</v>
      </c>
      <c r="G697" cm="1">
        <f t="array" aca="1" ref="G697" ca="1">INDEX($S$2:$S$31, RANDBETWEEN(1, COUNTA($S$2:$S$31)))</f>
        <v>49000</v>
      </c>
      <c r="H697">
        <f t="shared" ca="1" si="94"/>
        <v>9</v>
      </c>
      <c r="I697">
        <f t="shared" ca="1" si="95"/>
        <v>53690</v>
      </c>
      <c r="J697" s="10" t="str">
        <f t="shared" ca="1" si="96"/>
        <v>Online</v>
      </c>
      <c r="K697" s="10">
        <f t="shared" ca="1" si="97"/>
        <v>53690</v>
      </c>
      <c r="L697" s="10">
        <f t="shared" ca="1" si="98"/>
        <v>161070</v>
      </c>
      <c r="M697" s="12" t="str" cm="1">
        <f t="array" aca="1" ref="M697" ca="1">INDEX($R$33:$R$82, RANDBETWEEN(1, COUNTA($R$33:$R$82)))</f>
        <v>NV3</v>
      </c>
      <c r="N697">
        <f t="shared" ca="1" si="99"/>
        <v>29</v>
      </c>
    </row>
    <row r="698" spans="1:14" ht="16.8" x14ac:dyDescent="0.3">
      <c r="A698" s="7" t="str">
        <f t="shared" si="91"/>
        <v>S0697</v>
      </c>
      <c r="B698" s="8">
        <f t="shared" ca="1" si="92"/>
        <v>44297</v>
      </c>
      <c r="C698" s="15" t="str" cm="1">
        <f t="array" aca="1" ref="C698" ca="1">INDEX($Q$2:$Q$31, RANDBETWEEN(1, COUNTA($Q$2:$Q$31)))</f>
        <v>Cappuccino</v>
      </c>
      <c r="D698" s="10" t="str" cm="1">
        <f t="array" aca="1" ref="D698" ca="1">INDEX($R$2:$R$310, RANDBETWEEN(1, COUNTA($Q$2:$Q$310)))</f>
        <v>L</v>
      </c>
      <c r="E698">
        <f t="shared" ca="1" si="93"/>
        <v>4</v>
      </c>
      <c r="F698" cm="1">
        <f t="array" aca="1" ref="F698" ca="1">INDEX($S$2:$S$31, RANDBETWEEN(1, COUNTA($S$2:$S$31)))</f>
        <v>39000</v>
      </c>
      <c r="G698" cm="1">
        <f t="array" aca="1" ref="G698" ca="1">INDEX($S$2:$S$31, RANDBETWEEN(1, COUNTA($S$2:$S$31)))</f>
        <v>65000</v>
      </c>
      <c r="H698">
        <f t="shared" ca="1" si="94"/>
        <v>9</v>
      </c>
      <c r="I698">
        <f t="shared" ca="1" si="95"/>
        <v>35490</v>
      </c>
      <c r="J698" s="10" t="str">
        <f t="shared" ca="1" si="96"/>
        <v>Online</v>
      </c>
      <c r="K698" s="10">
        <f t="shared" ca="1" si="97"/>
        <v>35490</v>
      </c>
      <c r="L698" s="10">
        <f t="shared" ca="1" si="98"/>
        <v>141960</v>
      </c>
      <c r="M698" s="12" t="str" cm="1">
        <f t="array" aca="1" ref="M698" ca="1">INDEX($R$33:$R$82, RANDBETWEEN(1, COUNTA($R$33:$R$82)))</f>
        <v>NV45</v>
      </c>
      <c r="N698">
        <f t="shared" ca="1" si="99"/>
        <v>47</v>
      </c>
    </row>
    <row r="699" spans="1:14" ht="16.8" x14ac:dyDescent="0.3">
      <c r="A699" s="7" t="str">
        <f t="shared" si="91"/>
        <v>S0698</v>
      </c>
      <c r="B699" s="8">
        <f t="shared" ca="1" si="92"/>
        <v>44730</v>
      </c>
      <c r="C699" s="15" t="str" cm="1">
        <f t="array" aca="1" ref="C699" ca="1">INDEX($Q$2:$Q$31, RANDBETWEEN(1, COUNTA($Q$2:$Q$31)))</f>
        <v>Iced Black Coffee</v>
      </c>
      <c r="D699" s="10" t="str" cm="1">
        <f t="array" aca="1" ref="D699" ca="1">INDEX($R$2:$R$310, RANDBETWEEN(1, COUNTA($Q$2:$Q$310)))</f>
        <v>L</v>
      </c>
      <c r="E699">
        <f t="shared" ca="1" si="93"/>
        <v>5</v>
      </c>
      <c r="F699" cm="1">
        <f t="array" aca="1" ref="F699" ca="1">INDEX($S$2:$S$31, RANDBETWEEN(1, COUNTA($S$2:$S$31)))</f>
        <v>59000</v>
      </c>
      <c r="G699" cm="1">
        <f t="array" aca="1" ref="G699" ca="1">INDEX($S$2:$S$31, RANDBETWEEN(1, COUNTA($S$2:$S$31)))</f>
        <v>49000</v>
      </c>
      <c r="H699">
        <f t="shared" ca="1" si="94"/>
        <v>10</v>
      </c>
      <c r="I699">
        <f t="shared" ca="1" si="95"/>
        <v>49000</v>
      </c>
      <c r="J699" s="10" t="str">
        <f t="shared" ca="1" si="96"/>
        <v>Offline</v>
      </c>
      <c r="K699" s="10">
        <f t="shared" ca="1" si="97"/>
        <v>49000</v>
      </c>
      <c r="L699" s="10">
        <f t="shared" ca="1" si="98"/>
        <v>245000</v>
      </c>
      <c r="M699" s="12" t="str" cm="1">
        <f t="array" aca="1" ref="M699" ca="1">INDEX($R$33:$R$82, RANDBETWEEN(1, COUNTA($R$33:$R$82)))</f>
        <v>NV17</v>
      </c>
      <c r="N699">
        <f t="shared" ca="1" si="99"/>
        <v>50</v>
      </c>
    </row>
    <row r="700" spans="1:14" ht="16.8" x14ac:dyDescent="0.3">
      <c r="A700" s="7" t="str">
        <f t="shared" si="91"/>
        <v>S0699</v>
      </c>
      <c r="B700" s="8">
        <f t="shared" ca="1" si="92"/>
        <v>44340</v>
      </c>
      <c r="C700" s="15" t="str" cm="1">
        <f t="array" aca="1" ref="C700" ca="1">INDEX($Q$2:$Q$31, RANDBETWEEN(1, COUNTA($Q$2:$Q$31)))</f>
        <v xml:space="preserve">Chocolate Freeze </v>
      </c>
      <c r="D700" s="10" t="str" cm="1">
        <f t="array" aca="1" ref="D700" ca="1">INDEX($R$2:$R$310, RANDBETWEEN(1, COUNTA($Q$2:$Q$310)))</f>
        <v>M</v>
      </c>
      <c r="E700">
        <f t="shared" ca="1" si="93"/>
        <v>4</v>
      </c>
      <c r="F700" cm="1">
        <f t="array" aca="1" ref="F700" ca="1">INDEX($S$2:$S$31, RANDBETWEEN(1, COUNTA($S$2:$S$31)))</f>
        <v>65000</v>
      </c>
      <c r="G700" cm="1">
        <f t="array" aca="1" ref="G700" ca="1">INDEX($S$2:$S$31, RANDBETWEEN(1, COUNTA($S$2:$S$31)))</f>
        <v>55000</v>
      </c>
      <c r="H700">
        <f t="shared" ca="1" si="94"/>
        <v>7</v>
      </c>
      <c r="I700">
        <f t="shared" ca="1" si="95"/>
        <v>55000</v>
      </c>
      <c r="J700" s="10" t="str">
        <f t="shared" ca="1" si="96"/>
        <v>Offline</v>
      </c>
      <c r="K700" s="10">
        <f t="shared" ca="1" si="97"/>
        <v>55000</v>
      </c>
      <c r="L700" s="10">
        <f t="shared" ca="1" si="98"/>
        <v>220000</v>
      </c>
      <c r="M700" s="12" t="str" cm="1">
        <f t="array" aca="1" ref="M700" ca="1">INDEX($R$33:$R$82, RANDBETWEEN(1, COUNTA($R$33:$R$82)))</f>
        <v>NV30</v>
      </c>
      <c r="N700">
        <f t="shared" ca="1" si="99"/>
        <v>9</v>
      </c>
    </row>
    <row r="701" spans="1:14" ht="16.8" x14ac:dyDescent="0.3">
      <c r="A701" s="7" t="str">
        <f t="shared" si="91"/>
        <v>S0700</v>
      </c>
      <c r="B701" s="8">
        <f t="shared" ca="1" si="92"/>
        <v>44281</v>
      </c>
      <c r="C701" s="15" t="str" cm="1">
        <f t="array" aca="1" ref="C701" ca="1">INDEX($Q$2:$Q$31, RANDBETWEEN(1, COUNTA($Q$2:$Q$31)))</f>
        <v>Americano</v>
      </c>
      <c r="D701" s="10" t="str" cm="1">
        <f t="array" aca="1" ref="D701" ca="1">INDEX($R$2:$R$310, RANDBETWEEN(1, COUNTA($Q$2:$Q$310)))</f>
        <v>L</v>
      </c>
      <c r="E701">
        <f t="shared" ca="1" si="93"/>
        <v>4</v>
      </c>
      <c r="F701" cm="1">
        <f t="array" aca="1" ref="F701" ca="1">INDEX($S$2:$S$31, RANDBETWEEN(1, COUNTA($S$2:$S$31)))</f>
        <v>55000</v>
      </c>
      <c r="G701" cm="1">
        <f t="array" aca="1" ref="G701" ca="1">INDEX($S$2:$S$31, RANDBETWEEN(1, COUNTA($S$2:$S$31)))</f>
        <v>39000</v>
      </c>
      <c r="H701">
        <f t="shared" ca="1" si="94"/>
        <v>7</v>
      </c>
      <c r="I701">
        <f t="shared" ca="1" si="95"/>
        <v>39000</v>
      </c>
      <c r="J701" s="10" t="str">
        <f t="shared" ca="1" si="96"/>
        <v>Offline</v>
      </c>
      <c r="K701" s="10">
        <f t="shared" ca="1" si="97"/>
        <v>39000</v>
      </c>
      <c r="L701" s="10">
        <f t="shared" ca="1" si="98"/>
        <v>156000</v>
      </c>
      <c r="M701" s="12" t="str" cm="1">
        <f t="array" aca="1" ref="M701" ca="1">INDEX($R$33:$R$82, RANDBETWEEN(1, COUNTA($R$33:$R$82)))</f>
        <v>NV15</v>
      </c>
      <c r="N701">
        <f t="shared" ca="1" si="99"/>
        <v>4</v>
      </c>
    </row>
    <row r="702" spans="1:14" ht="16.8" x14ac:dyDescent="0.3">
      <c r="A702" s="7" t="str">
        <f t="shared" si="91"/>
        <v>S0701</v>
      </c>
      <c r="B702" s="8">
        <f t="shared" ca="1" si="92"/>
        <v>44430</v>
      </c>
      <c r="C702" s="15" t="str" cm="1">
        <f t="array" aca="1" ref="C702" ca="1">INDEX($Q$2:$Q$31, RANDBETWEEN(1, COUNTA($Q$2:$Q$31)))</f>
        <v>Americano</v>
      </c>
      <c r="D702" s="10" t="str" cm="1">
        <f t="array" aca="1" ref="D702" ca="1">INDEX($R$2:$R$310, RANDBETWEEN(1, COUNTA($Q$2:$Q$310)))</f>
        <v>M</v>
      </c>
      <c r="E702">
        <f t="shared" ca="1" si="93"/>
        <v>2</v>
      </c>
      <c r="F702" cm="1">
        <f t="array" aca="1" ref="F702" ca="1">INDEX($S$2:$S$31, RANDBETWEEN(1, COUNTA($S$2:$S$31)))</f>
        <v>59000</v>
      </c>
      <c r="G702" cm="1">
        <f t="array" aca="1" ref="G702" ca="1">INDEX($S$2:$S$31, RANDBETWEEN(1, COUNTA($S$2:$S$31)))</f>
        <v>35000</v>
      </c>
      <c r="H702">
        <f t="shared" ca="1" si="94"/>
        <v>10</v>
      </c>
      <c r="I702">
        <f t="shared" ca="1" si="95"/>
        <v>35000</v>
      </c>
      <c r="J702" s="10" t="str">
        <f t="shared" ca="1" si="96"/>
        <v>Offline</v>
      </c>
      <c r="K702" s="10">
        <f t="shared" ca="1" si="97"/>
        <v>35000</v>
      </c>
      <c r="L702" s="10">
        <f t="shared" ca="1" si="98"/>
        <v>70000</v>
      </c>
      <c r="M702" s="12" t="str" cm="1">
        <f t="array" aca="1" ref="M702" ca="1">INDEX($R$33:$R$82, RANDBETWEEN(1, COUNTA($R$33:$R$82)))</f>
        <v>NV30</v>
      </c>
      <c r="N702">
        <f t="shared" ca="1" si="99"/>
        <v>16</v>
      </c>
    </row>
    <row r="703" spans="1:14" ht="16.8" x14ac:dyDescent="0.3">
      <c r="A703" s="7" t="str">
        <f t="shared" ref="A703:A766" si="100">"S"&amp;TEXT(ROW()-1,"0000")</f>
        <v>S0702</v>
      </c>
      <c r="B703" s="8">
        <f t="shared" ref="B703:B766" ca="1" si="101">DATE(2021,1,1) + RANDBETWEEN(0,1095)</f>
        <v>44894</v>
      </c>
      <c r="C703" s="15" t="str" cm="1">
        <f t="array" aca="1" ref="C703" ca="1">INDEX($Q$2:$Q$31, RANDBETWEEN(1, COUNTA($Q$2:$Q$31)))</f>
        <v>Iced Black Coffee</v>
      </c>
      <c r="D703" s="10" t="str" cm="1">
        <f t="array" aca="1" ref="D703" ca="1">INDEX($R$2:$R$310, RANDBETWEEN(1, COUNTA($Q$2:$Q$310)))</f>
        <v>M</v>
      </c>
      <c r="E703">
        <f t="shared" ref="E703:E766" ca="1" si="102">RANDBETWEEN(1,5)</f>
        <v>3</v>
      </c>
      <c r="F703" cm="1">
        <f t="array" aca="1" ref="F703" ca="1">INDEX($S$2:$S$31, RANDBETWEEN(1, COUNTA($S$2:$S$31)))</f>
        <v>59000</v>
      </c>
      <c r="G703" cm="1">
        <f t="array" aca="1" ref="G703" ca="1">INDEX($S$2:$S$31, RANDBETWEEN(1, COUNTA($S$2:$S$31)))</f>
        <v>59000</v>
      </c>
      <c r="H703">
        <f t="shared" ca="1" si="94"/>
        <v>8</v>
      </c>
      <c r="I703">
        <f t="shared" ca="1" si="95"/>
        <v>59000</v>
      </c>
      <c r="J703" s="10" t="str">
        <f t="shared" ca="1" si="96"/>
        <v>Offline</v>
      </c>
      <c r="K703" s="10">
        <f t="shared" ca="1" si="97"/>
        <v>59000</v>
      </c>
      <c r="L703" s="10">
        <f t="shared" ca="1" si="98"/>
        <v>177000</v>
      </c>
      <c r="M703" s="12" t="str" cm="1">
        <f t="array" aca="1" ref="M703" ca="1">INDEX($R$33:$R$82, RANDBETWEEN(1, COUNTA($R$33:$R$82)))</f>
        <v>NV31</v>
      </c>
      <c r="N703">
        <f t="shared" ca="1" si="99"/>
        <v>6</v>
      </c>
    </row>
    <row r="704" spans="1:14" ht="16.8" x14ac:dyDescent="0.3">
      <c r="A704" s="7" t="str">
        <f t="shared" si="100"/>
        <v>S0703</v>
      </c>
      <c r="B704" s="8">
        <f t="shared" ca="1" si="101"/>
        <v>45196</v>
      </c>
      <c r="C704" s="15" t="str" cm="1">
        <f t="array" aca="1" ref="C704" ca="1">INDEX($Q$2:$Q$31, RANDBETWEEN(1, COUNTA($Q$2:$Q$31)))</f>
        <v>Iced Black Coffee</v>
      </c>
      <c r="D704" s="10" t="str" cm="1">
        <f t="array" aca="1" ref="D704" ca="1">INDEX($R$2:$R$310, RANDBETWEEN(1, COUNTA($Q$2:$Q$310)))</f>
        <v>M</v>
      </c>
      <c r="E704">
        <f t="shared" ca="1" si="102"/>
        <v>5</v>
      </c>
      <c r="F704" cm="1">
        <f t="array" aca="1" ref="F704" ca="1">INDEX($S$2:$S$31, RANDBETWEEN(1, COUNTA($S$2:$S$31)))</f>
        <v>59000</v>
      </c>
      <c r="G704" cm="1">
        <f t="array" aca="1" ref="G704" ca="1">INDEX($S$2:$S$31, RANDBETWEEN(1, COUNTA($S$2:$S$31)))</f>
        <v>59000</v>
      </c>
      <c r="H704">
        <f t="shared" ca="1" si="94"/>
        <v>13</v>
      </c>
      <c r="I704">
        <f t="shared" ca="1" si="95"/>
        <v>51330</v>
      </c>
      <c r="J704" s="10" t="str">
        <f t="shared" ca="1" si="96"/>
        <v>Online</v>
      </c>
      <c r="K704" s="10">
        <f t="shared" ca="1" si="97"/>
        <v>51330</v>
      </c>
      <c r="L704" s="10">
        <f t="shared" ca="1" si="98"/>
        <v>256650</v>
      </c>
      <c r="M704" s="12" t="str" cm="1">
        <f t="array" aca="1" ref="M704" ca="1">INDEX($R$33:$R$82, RANDBETWEEN(1, COUNTA($R$33:$R$82)))</f>
        <v>NV30</v>
      </c>
      <c r="N704">
        <f t="shared" ca="1" si="99"/>
        <v>49</v>
      </c>
    </row>
    <row r="705" spans="1:14" ht="16.8" x14ac:dyDescent="0.3">
      <c r="A705" s="7" t="str">
        <f t="shared" si="100"/>
        <v>S0704</v>
      </c>
      <c r="B705" s="8">
        <f t="shared" ca="1" si="101"/>
        <v>44881</v>
      </c>
      <c r="C705" s="15" t="str" cm="1">
        <f t="array" aca="1" ref="C705" ca="1">INDEX($Q$2:$Q$31, RANDBETWEEN(1, COUNTA($Q$2:$Q$31)))</f>
        <v>Americano</v>
      </c>
      <c r="D705" s="10" t="str" cm="1">
        <f t="array" aca="1" ref="D705" ca="1">INDEX($R$2:$R$310, RANDBETWEEN(1, COUNTA($Q$2:$Q$310)))</f>
        <v>L</v>
      </c>
      <c r="E705">
        <f t="shared" ca="1" si="102"/>
        <v>5</v>
      </c>
      <c r="F705" cm="1">
        <f t="array" aca="1" ref="F705" ca="1">INDEX($S$2:$S$31, RANDBETWEEN(1, COUNTA($S$2:$S$31)))</f>
        <v>35000</v>
      </c>
      <c r="G705" cm="1">
        <f t="array" aca="1" ref="G705" ca="1">INDEX($S$2:$S$31, RANDBETWEEN(1, COUNTA($S$2:$S$31)))</f>
        <v>39000</v>
      </c>
      <c r="H705">
        <f t="shared" ca="1" si="94"/>
        <v>13</v>
      </c>
      <c r="I705">
        <f t="shared" ca="1" si="95"/>
        <v>30450</v>
      </c>
      <c r="J705" s="10" t="str">
        <f t="shared" ca="1" si="96"/>
        <v>Online</v>
      </c>
      <c r="K705" s="10">
        <f t="shared" ca="1" si="97"/>
        <v>30450</v>
      </c>
      <c r="L705" s="10">
        <f t="shared" ca="1" si="98"/>
        <v>152250</v>
      </c>
      <c r="M705" s="12" t="str" cm="1">
        <f t="array" aca="1" ref="M705" ca="1">INDEX($R$33:$R$82, RANDBETWEEN(1, COUNTA($R$33:$R$82)))</f>
        <v>NV4</v>
      </c>
      <c r="N705">
        <f t="shared" ca="1" si="99"/>
        <v>48</v>
      </c>
    </row>
    <row r="706" spans="1:14" ht="16.8" x14ac:dyDescent="0.3">
      <c r="A706" s="7" t="str">
        <f t="shared" si="100"/>
        <v>S0705</v>
      </c>
      <c r="B706" s="8">
        <f t="shared" ca="1" si="101"/>
        <v>45244</v>
      </c>
      <c r="C706" s="15" t="str" cm="1">
        <f t="array" aca="1" ref="C706" ca="1">INDEX($Q$2:$Q$31, RANDBETWEEN(1, COUNTA($Q$2:$Q$31)))</f>
        <v>Americano</v>
      </c>
      <c r="D706" s="10" t="str" cm="1">
        <f t="array" aca="1" ref="D706" ca="1">INDEX($R$2:$R$310, RANDBETWEEN(1, COUNTA($Q$2:$Q$310)))</f>
        <v>M</v>
      </c>
      <c r="E706">
        <f t="shared" ca="1" si="102"/>
        <v>3</v>
      </c>
      <c r="F706" cm="1">
        <f t="array" aca="1" ref="F706" ca="1">INDEX($S$2:$S$31, RANDBETWEEN(1, COUNTA($S$2:$S$31)))</f>
        <v>55000</v>
      </c>
      <c r="G706" cm="1">
        <f t="array" aca="1" ref="G706" ca="1">INDEX($S$2:$S$31, RANDBETWEEN(1, COUNTA($S$2:$S$31)))</f>
        <v>59000</v>
      </c>
      <c r="H706">
        <f t="shared" ca="1" si="94"/>
        <v>9</v>
      </c>
      <c r="I706">
        <f t="shared" ca="1" si="95"/>
        <v>50050</v>
      </c>
      <c r="J706" s="10" t="str">
        <f t="shared" ca="1" si="96"/>
        <v>Online</v>
      </c>
      <c r="K706" s="10">
        <f t="shared" ca="1" si="97"/>
        <v>50050</v>
      </c>
      <c r="L706" s="10">
        <f t="shared" ca="1" si="98"/>
        <v>150150</v>
      </c>
      <c r="M706" s="12" t="str" cm="1">
        <f t="array" aca="1" ref="M706" ca="1">INDEX($R$33:$R$82, RANDBETWEEN(1, COUNTA($R$33:$R$82)))</f>
        <v>NV39</v>
      </c>
      <c r="N706">
        <f t="shared" ca="1" si="99"/>
        <v>7</v>
      </c>
    </row>
    <row r="707" spans="1:14" ht="16.8" x14ac:dyDescent="0.3">
      <c r="A707" s="7" t="str">
        <f t="shared" si="100"/>
        <v>S0706</v>
      </c>
      <c r="B707" s="8">
        <f t="shared" ca="1" si="101"/>
        <v>44567</v>
      </c>
      <c r="C707" s="15" t="str" cm="1">
        <f t="array" aca="1" ref="C707" ca="1">INDEX($Q$2:$Q$31, RANDBETWEEN(1, COUNTA($Q$2:$Q$31)))</f>
        <v>Mocha</v>
      </c>
      <c r="D707" s="10" t="str" cm="1">
        <f t="array" aca="1" ref="D707" ca="1">INDEX($R$2:$R$310, RANDBETWEEN(1, COUNTA($Q$2:$Q$310)))</f>
        <v>M</v>
      </c>
      <c r="E707">
        <f t="shared" ca="1" si="102"/>
        <v>2</v>
      </c>
      <c r="F707" cm="1">
        <f t="array" aca="1" ref="F707" ca="1">INDEX($S$2:$S$31, RANDBETWEEN(1, COUNTA($S$2:$S$31)))</f>
        <v>59000</v>
      </c>
      <c r="G707" cm="1">
        <f t="array" aca="1" ref="G707" ca="1">INDEX($S$2:$S$31, RANDBETWEEN(1, COUNTA($S$2:$S$31)))</f>
        <v>59000</v>
      </c>
      <c r="H707">
        <f t="shared" ref="H707:H770" ca="1" si="103">RANDBETWEEN(5,15)</f>
        <v>11</v>
      </c>
      <c r="I707">
        <f t="shared" ref="I707:I770" ca="1" si="104">IF(J707="Online", F707*(1-H707/100), G707)</f>
        <v>52510</v>
      </c>
      <c r="J707" s="10" t="str">
        <f t="shared" ref="J707:J770" ca="1" si="105">IF(RANDBETWEEN(1,2)=1,"Online","Offline")</f>
        <v>Online</v>
      </c>
      <c r="K707" s="10">
        <f t="shared" ref="K707:K770" ca="1" si="106">I707</f>
        <v>52510</v>
      </c>
      <c r="L707" s="10">
        <f t="shared" ref="L707:L770" ca="1" si="107">E707*K707</f>
        <v>105020</v>
      </c>
      <c r="M707" s="12" t="str" cm="1">
        <f t="array" aca="1" ref="M707" ca="1">INDEX($R$33:$R$82, RANDBETWEEN(1, COUNTA($R$33:$R$82)))</f>
        <v>NV9</v>
      </c>
      <c r="N707">
        <f t="shared" ref="N707:N770" ca="1" si="108" xml:space="preserve"> RANDBETWEEN(2,51)</f>
        <v>27</v>
      </c>
    </row>
    <row r="708" spans="1:14" ht="16.8" x14ac:dyDescent="0.3">
      <c r="A708" s="7" t="str">
        <f t="shared" si="100"/>
        <v>S0707</v>
      </c>
      <c r="B708" s="8">
        <f t="shared" ca="1" si="101"/>
        <v>45002</v>
      </c>
      <c r="C708" s="15" t="str" cm="1">
        <f t="array" aca="1" ref="C708" ca="1">INDEX($Q$2:$Q$31, RANDBETWEEN(1, COUNTA($Q$2:$Q$31)))</f>
        <v xml:space="preserve">Chocolate Freeze </v>
      </c>
      <c r="D708" s="10" t="str" cm="1">
        <f t="array" aca="1" ref="D708" ca="1">INDEX($R$2:$R$310, RANDBETWEEN(1, COUNTA($Q$2:$Q$310)))</f>
        <v>M</v>
      </c>
      <c r="E708">
        <f t="shared" ca="1" si="102"/>
        <v>4</v>
      </c>
      <c r="F708" cm="1">
        <f t="array" aca="1" ref="F708" ca="1">INDEX($S$2:$S$31, RANDBETWEEN(1, COUNTA($S$2:$S$31)))</f>
        <v>35000</v>
      </c>
      <c r="G708" cm="1">
        <f t="array" aca="1" ref="G708" ca="1">INDEX($S$2:$S$31, RANDBETWEEN(1, COUNTA($S$2:$S$31)))</f>
        <v>35000</v>
      </c>
      <c r="H708">
        <f t="shared" ca="1" si="103"/>
        <v>10</v>
      </c>
      <c r="I708">
        <f t="shared" ca="1" si="104"/>
        <v>31500</v>
      </c>
      <c r="J708" s="10" t="str">
        <f t="shared" ca="1" si="105"/>
        <v>Online</v>
      </c>
      <c r="K708" s="10">
        <f t="shared" ca="1" si="106"/>
        <v>31500</v>
      </c>
      <c r="L708" s="10">
        <f t="shared" ca="1" si="107"/>
        <v>126000</v>
      </c>
      <c r="M708" s="12" t="str" cm="1">
        <f t="array" aca="1" ref="M708" ca="1">INDEX($R$33:$R$82, RANDBETWEEN(1, COUNTA($R$33:$R$82)))</f>
        <v>NV25</v>
      </c>
      <c r="N708">
        <f t="shared" ca="1" si="108"/>
        <v>16</v>
      </c>
    </row>
    <row r="709" spans="1:14" ht="16.8" x14ac:dyDescent="0.3">
      <c r="A709" s="7" t="str">
        <f t="shared" si="100"/>
        <v>S0708</v>
      </c>
      <c r="B709" s="8">
        <f t="shared" ca="1" si="101"/>
        <v>44855</v>
      </c>
      <c r="C709" s="15" t="str" cm="1">
        <f t="array" aca="1" ref="C709" ca="1">INDEX($Q$2:$Q$31, RANDBETWEEN(1, COUNTA($Q$2:$Q$31)))</f>
        <v>Americano</v>
      </c>
      <c r="D709" s="10" t="str" cm="1">
        <f t="array" aca="1" ref="D709" ca="1">INDEX($R$2:$R$310, RANDBETWEEN(1, COUNTA($Q$2:$Q$310)))</f>
        <v>L</v>
      </c>
      <c r="E709">
        <f t="shared" ca="1" si="102"/>
        <v>2</v>
      </c>
      <c r="F709" cm="1">
        <f t="array" aca="1" ref="F709" ca="1">INDEX($S$2:$S$31, RANDBETWEEN(1, COUNTA($S$2:$S$31)))</f>
        <v>75000</v>
      </c>
      <c r="G709" cm="1">
        <f t="array" aca="1" ref="G709" ca="1">INDEX($S$2:$S$31, RANDBETWEEN(1, COUNTA($S$2:$S$31)))</f>
        <v>45000</v>
      </c>
      <c r="H709">
        <f t="shared" ca="1" si="103"/>
        <v>11</v>
      </c>
      <c r="I709">
        <f t="shared" ca="1" si="104"/>
        <v>66750</v>
      </c>
      <c r="J709" s="10" t="str">
        <f t="shared" ca="1" si="105"/>
        <v>Online</v>
      </c>
      <c r="K709" s="10">
        <f t="shared" ca="1" si="106"/>
        <v>66750</v>
      </c>
      <c r="L709" s="10">
        <f t="shared" ca="1" si="107"/>
        <v>133500</v>
      </c>
      <c r="M709" s="12" t="str" cm="1">
        <f t="array" aca="1" ref="M709" ca="1">INDEX($R$33:$R$82, RANDBETWEEN(1, COUNTA($R$33:$R$82)))</f>
        <v>NV46</v>
      </c>
      <c r="N709">
        <f t="shared" ca="1" si="108"/>
        <v>36</v>
      </c>
    </row>
    <row r="710" spans="1:14" ht="16.8" x14ac:dyDescent="0.3">
      <c r="A710" s="7" t="str">
        <f t="shared" si="100"/>
        <v>S0709</v>
      </c>
      <c r="B710" s="8">
        <f t="shared" ca="1" si="101"/>
        <v>44939</v>
      </c>
      <c r="C710" s="15" t="str" cm="1">
        <f t="array" aca="1" ref="C710" ca="1">INDEX($Q$2:$Q$31, RANDBETWEEN(1, COUNTA($Q$2:$Q$31)))</f>
        <v>Caramel Phin Freeze</v>
      </c>
      <c r="D710" s="10" t="str" cm="1">
        <f t="array" aca="1" ref="D710" ca="1">INDEX($R$2:$R$310, RANDBETWEEN(1, COUNTA($Q$2:$Q$310)))</f>
        <v>M</v>
      </c>
      <c r="E710">
        <f t="shared" ca="1" si="102"/>
        <v>2</v>
      </c>
      <c r="F710" cm="1">
        <f t="array" aca="1" ref="F710" ca="1">INDEX($S$2:$S$31, RANDBETWEEN(1, COUNTA($S$2:$S$31)))</f>
        <v>59000</v>
      </c>
      <c r="G710" cm="1">
        <f t="array" aca="1" ref="G710" ca="1">INDEX($S$2:$S$31, RANDBETWEEN(1, COUNTA($S$2:$S$31)))</f>
        <v>39000</v>
      </c>
      <c r="H710">
        <f t="shared" ca="1" si="103"/>
        <v>13</v>
      </c>
      <c r="I710">
        <f t="shared" ca="1" si="104"/>
        <v>51330</v>
      </c>
      <c r="J710" s="10" t="str">
        <f t="shared" ca="1" si="105"/>
        <v>Online</v>
      </c>
      <c r="K710" s="10">
        <f t="shared" ca="1" si="106"/>
        <v>51330</v>
      </c>
      <c r="L710" s="10">
        <f t="shared" ca="1" si="107"/>
        <v>102660</v>
      </c>
      <c r="M710" s="12" t="str" cm="1">
        <f t="array" aca="1" ref="M710" ca="1">INDEX($R$33:$R$82, RANDBETWEEN(1, COUNTA($R$33:$R$82)))</f>
        <v>NV26</v>
      </c>
      <c r="N710">
        <f t="shared" ca="1" si="108"/>
        <v>12</v>
      </c>
    </row>
    <row r="711" spans="1:14" ht="16.8" x14ac:dyDescent="0.3">
      <c r="A711" s="7" t="str">
        <f t="shared" si="100"/>
        <v>S0710</v>
      </c>
      <c r="B711" s="8">
        <f t="shared" ca="1" si="101"/>
        <v>45106</v>
      </c>
      <c r="C711" s="15" t="str" cm="1">
        <f t="array" aca="1" ref="C711" ca="1">INDEX($Q$2:$Q$31, RANDBETWEEN(1, COUNTA($Q$2:$Q$31)))</f>
        <v>Cookies &amp; Cream</v>
      </c>
      <c r="D711" s="10" t="str" cm="1">
        <f t="array" aca="1" ref="D711" ca="1">INDEX($R$2:$R$310, RANDBETWEEN(1, COUNTA($Q$2:$Q$310)))</f>
        <v>M</v>
      </c>
      <c r="E711">
        <f t="shared" ca="1" si="102"/>
        <v>2</v>
      </c>
      <c r="F711" cm="1">
        <f t="array" aca="1" ref="F711" ca="1">INDEX($S$2:$S$31, RANDBETWEEN(1, COUNTA($S$2:$S$31)))</f>
        <v>49000</v>
      </c>
      <c r="G711" cm="1">
        <f t="array" aca="1" ref="G711" ca="1">INDEX($S$2:$S$31, RANDBETWEEN(1, COUNTA($S$2:$S$31)))</f>
        <v>69000</v>
      </c>
      <c r="H711">
        <f t="shared" ca="1" si="103"/>
        <v>11</v>
      </c>
      <c r="I711">
        <f t="shared" ca="1" si="104"/>
        <v>69000</v>
      </c>
      <c r="J711" s="10" t="str">
        <f t="shared" ca="1" si="105"/>
        <v>Offline</v>
      </c>
      <c r="K711" s="10">
        <f t="shared" ca="1" si="106"/>
        <v>69000</v>
      </c>
      <c r="L711" s="10">
        <f t="shared" ca="1" si="107"/>
        <v>138000</v>
      </c>
      <c r="M711" s="12" t="str" cm="1">
        <f t="array" aca="1" ref="M711" ca="1">INDEX($R$33:$R$82, RANDBETWEEN(1, COUNTA($R$33:$R$82)))</f>
        <v>NV25</v>
      </c>
      <c r="N711">
        <f t="shared" ca="1" si="108"/>
        <v>5</v>
      </c>
    </row>
    <row r="712" spans="1:14" ht="16.8" x14ac:dyDescent="0.3">
      <c r="A712" s="7" t="str">
        <f t="shared" si="100"/>
        <v>S0711</v>
      </c>
      <c r="B712" s="8">
        <f t="shared" ca="1" si="101"/>
        <v>45060</v>
      </c>
      <c r="C712" s="15" t="str" cm="1">
        <f t="array" aca="1" ref="C712" ca="1">INDEX($Q$2:$Q$31, RANDBETWEEN(1, COUNTA($Q$2:$Q$31)))</f>
        <v>Cappuccino</v>
      </c>
      <c r="D712" s="10" t="str" cm="1">
        <f t="array" aca="1" ref="D712" ca="1">INDEX($R$2:$R$310, RANDBETWEEN(1, COUNTA($Q$2:$Q$310)))</f>
        <v>L</v>
      </c>
      <c r="E712">
        <f t="shared" ca="1" si="102"/>
        <v>5</v>
      </c>
      <c r="F712" cm="1">
        <f t="array" aca="1" ref="F712" ca="1">INDEX($S$2:$S$31, RANDBETWEEN(1, COUNTA($S$2:$S$31)))</f>
        <v>55000</v>
      </c>
      <c r="G712" cm="1">
        <f t="array" aca="1" ref="G712" ca="1">INDEX($S$2:$S$31, RANDBETWEEN(1, COUNTA($S$2:$S$31)))</f>
        <v>29000</v>
      </c>
      <c r="H712">
        <f t="shared" ca="1" si="103"/>
        <v>10</v>
      </c>
      <c r="I712">
        <f t="shared" ca="1" si="104"/>
        <v>29000</v>
      </c>
      <c r="J712" s="10" t="str">
        <f t="shared" ca="1" si="105"/>
        <v>Offline</v>
      </c>
      <c r="K712" s="10">
        <f t="shared" ca="1" si="106"/>
        <v>29000</v>
      </c>
      <c r="L712" s="10">
        <f t="shared" ca="1" si="107"/>
        <v>145000</v>
      </c>
      <c r="M712" s="12" t="str" cm="1">
        <f t="array" aca="1" ref="M712" ca="1">INDEX($R$33:$R$82, RANDBETWEEN(1, COUNTA($R$33:$R$82)))</f>
        <v>NV37</v>
      </c>
      <c r="N712">
        <f t="shared" ca="1" si="108"/>
        <v>31</v>
      </c>
    </row>
    <row r="713" spans="1:14" ht="16.8" x14ac:dyDescent="0.3">
      <c r="A713" s="7" t="str">
        <f t="shared" si="100"/>
        <v>S0712</v>
      </c>
      <c r="B713" s="8">
        <f t="shared" ca="1" si="101"/>
        <v>45236</v>
      </c>
      <c r="C713" s="15" t="str" cm="1">
        <f t="array" aca="1" ref="C713" ca="1">INDEX($Q$2:$Q$31, RANDBETWEEN(1, COUNTA($Q$2:$Q$31)))</f>
        <v xml:space="preserve">Chocolate Freeze </v>
      </c>
      <c r="D713" s="10" t="str" cm="1">
        <f t="array" aca="1" ref="D713" ca="1">INDEX($R$2:$R$310, RANDBETWEEN(1, COUNTA($Q$2:$Q$310)))</f>
        <v>S</v>
      </c>
      <c r="E713">
        <f t="shared" ca="1" si="102"/>
        <v>1</v>
      </c>
      <c r="F713" cm="1">
        <f t="array" aca="1" ref="F713" ca="1">INDEX($S$2:$S$31, RANDBETWEEN(1, COUNTA($S$2:$S$31)))</f>
        <v>59000</v>
      </c>
      <c r="G713" cm="1">
        <f t="array" aca="1" ref="G713" ca="1">INDEX($S$2:$S$31, RANDBETWEEN(1, COUNTA($S$2:$S$31)))</f>
        <v>59000</v>
      </c>
      <c r="H713">
        <f t="shared" ca="1" si="103"/>
        <v>14</v>
      </c>
      <c r="I713">
        <f t="shared" ca="1" si="104"/>
        <v>59000</v>
      </c>
      <c r="J713" s="10" t="str">
        <f t="shared" ca="1" si="105"/>
        <v>Offline</v>
      </c>
      <c r="K713" s="10">
        <f t="shared" ca="1" si="106"/>
        <v>59000</v>
      </c>
      <c r="L713" s="10">
        <f t="shared" ca="1" si="107"/>
        <v>59000</v>
      </c>
      <c r="M713" s="12" t="str" cm="1">
        <f t="array" aca="1" ref="M713" ca="1">INDEX($R$33:$R$82, RANDBETWEEN(1, COUNTA($R$33:$R$82)))</f>
        <v>NV7</v>
      </c>
      <c r="N713">
        <f t="shared" ca="1" si="108"/>
        <v>41</v>
      </c>
    </row>
    <row r="714" spans="1:14" ht="16.8" x14ac:dyDescent="0.3">
      <c r="A714" s="7" t="str">
        <f t="shared" si="100"/>
        <v>S0713</v>
      </c>
      <c r="B714" s="8">
        <f t="shared" ca="1" si="101"/>
        <v>44829</v>
      </c>
      <c r="C714" s="15" t="str" cm="1">
        <f t="array" aca="1" ref="C714" ca="1">INDEX($Q$2:$Q$31, RANDBETWEEN(1, COUNTA($Q$2:$Q$31)))</f>
        <v>Latte</v>
      </c>
      <c r="D714" s="10" t="str" cm="1">
        <f t="array" aca="1" ref="D714" ca="1">INDEX($R$2:$R$310, RANDBETWEEN(1, COUNTA($Q$2:$Q$310)))</f>
        <v>M</v>
      </c>
      <c r="E714">
        <f t="shared" ca="1" si="102"/>
        <v>2</v>
      </c>
      <c r="F714" cm="1">
        <f t="array" aca="1" ref="F714" ca="1">INDEX($S$2:$S$31, RANDBETWEEN(1, COUNTA($S$2:$S$31)))</f>
        <v>49000</v>
      </c>
      <c r="G714" cm="1">
        <f t="array" aca="1" ref="G714" ca="1">INDEX($S$2:$S$31, RANDBETWEEN(1, COUNTA($S$2:$S$31)))</f>
        <v>59000</v>
      </c>
      <c r="H714">
        <f t="shared" ca="1" si="103"/>
        <v>7</v>
      </c>
      <c r="I714">
        <f t="shared" ca="1" si="104"/>
        <v>45570</v>
      </c>
      <c r="J714" s="10" t="str">
        <f t="shared" ca="1" si="105"/>
        <v>Online</v>
      </c>
      <c r="K714" s="10">
        <f t="shared" ca="1" si="106"/>
        <v>45570</v>
      </c>
      <c r="L714" s="10">
        <f t="shared" ca="1" si="107"/>
        <v>91140</v>
      </c>
      <c r="M714" s="12" t="str" cm="1">
        <f t="array" aca="1" ref="M714" ca="1">INDEX($R$33:$R$82, RANDBETWEEN(1, COUNTA($R$33:$R$82)))</f>
        <v>NV1</v>
      </c>
      <c r="N714">
        <f t="shared" ca="1" si="108"/>
        <v>13</v>
      </c>
    </row>
    <row r="715" spans="1:14" ht="16.8" x14ac:dyDescent="0.3">
      <c r="A715" s="7" t="str">
        <f t="shared" si="100"/>
        <v>S0714</v>
      </c>
      <c r="B715" s="8">
        <f t="shared" ca="1" si="101"/>
        <v>44760</v>
      </c>
      <c r="C715" s="15" t="str" cm="1">
        <f t="array" aca="1" ref="C715" ca="1">INDEX($Q$2:$Q$31, RANDBETWEEN(1, COUNTA($Q$2:$Q$31)))</f>
        <v>Caramel Phin Freeze</v>
      </c>
      <c r="D715" s="10" t="str" cm="1">
        <f t="array" aca="1" ref="D715" ca="1">INDEX($R$2:$R$310, RANDBETWEEN(1, COUNTA($Q$2:$Q$310)))</f>
        <v>L</v>
      </c>
      <c r="E715">
        <f t="shared" ca="1" si="102"/>
        <v>2</v>
      </c>
      <c r="F715" cm="1">
        <f t="array" aca="1" ref="F715" ca="1">INDEX($S$2:$S$31, RANDBETWEEN(1, COUNTA($S$2:$S$31)))</f>
        <v>49000</v>
      </c>
      <c r="G715" cm="1">
        <f t="array" aca="1" ref="G715" ca="1">INDEX($S$2:$S$31, RANDBETWEEN(1, COUNTA($S$2:$S$31)))</f>
        <v>69000</v>
      </c>
      <c r="H715">
        <f t="shared" ca="1" si="103"/>
        <v>7</v>
      </c>
      <c r="I715">
        <f t="shared" ca="1" si="104"/>
        <v>69000</v>
      </c>
      <c r="J715" s="10" t="str">
        <f t="shared" ca="1" si="105"/>
        <v>Offline</v>
      </c>
      <c r="K715" s="10">
        <f t="shared" ca="1" si="106"/>
        <v>69000</v>
      </c>
      <c r="L715" s="10">
        <f t="shared" ca="1" si="107"/>
        <v>138000</v>
      </c>
      <c r="M715" s="12" t="str" cm="1">
        <f t="array" aca="1" ref="M715" ca="1">INDEX($R$33:$R$82, RANDBETWEEN(1, COUNTA($R$33:$R$82)))</f>
        <v>NV35</v>
      </c>
      <c r="N715">
        <f t="shared" ca="1" si="108"/>
        <v>19</v>
      </c>
    </row>
    <row r="716" spans="1:14" ht="16.8" x14ac:dyDescent="0.3">
      <c r="A716" s="7" t="str">
        <f t="shared" si="100"/>
        <v>S0715</v>
      </c>
      <c r="B716" s="8">
        <f t="shared" ca="1" si="101"/>
        <v>44433</v>
      </c>
      <c r="C716" s="15" t="str" cm="1">
        <f t="array" aca="1" ref="C716" ca="1">INDEX($Q$2:$Q$31, RANDBETWEEN(1, COUNTA($Q$2:$Q$31)))</f>
        <v xml:space="preserve">Green Tea Freeze </v>
      </c>
      <c r="D716" s="10" t="str" cm="1">
        <f t="array" aca="1" ref="D716" ca="1">INDEX($R$2:$R$310, RANDBETWEEN(1, COUNTA($Q$2:$Q$310)))</f>
        <v>S</v>
      </c>
      <c r="E716">
        <f t="shared" ca="1" si="102"/>
        <v>1</v>
      </c>
      <c r="F716" cm="1">
        <f t="array" aca="1" ref="F716" ca="1">INDEX($S$2:$S$31, RANDBETWEEN(1, COUNTA($S$2:$S$31)))</f>
        <v>69000</v>
      </c>
      <c r="G716" cm="1">
        <f t="array" aca="1" ref="G716" ca="1">INDEX($S$2:$S$31, RANDBETWEEN(1, COUNTA($S$2:$S$31)))</f>
        <v>59000</v>
      </c>
      <c r="H716">
        <f t="shared" ca="1" si="103"/>
        <v>10</v>
      </c>
      <c r="I716">
        <f t="shared" ca="1" si="104"/>
        <v>62100</v>
      </c>
      <c r="J716" s="10" t="str">
        <f t="shared" ca="1" si="105"/>
        <v>Online</v>
      </c>
      <c r="K716" s="10">
        <f t="shared" ca="1" si="106"/>
        <v>62100</v>
      </c>
      <c r="L716" s="10">
        <f t="shared" ca="1" si="107"/>
        <v>62100</v>
      </c>
      <c r="M716" s="12" t="str" cm="1">
        <f t="array" aca="1" ref="M716" ca="1">INDEX($R$33:$R$82, RANDBETWEEN(1, COUNTA($R$33:$R$82)))</f>
        <v>NV28</v>
      </c>
      <c r="N716">
        <f t="shared" ca="1" si="108"/>
        <v>44</v>
      </c>
    </row>
    <row r="717" spans="1:14" ht="16.8" x14ac:dyDescent="0.3">
      <c r="A717" s="7" t="str">
        <f t="shared" si="100"/>
        <v>S0716</v>
      </c>
      <c r="B717" s="8">
        <f t="shared" ca="1" si="101"/>
        <v>45113</v>
      </c>
      <c r="C717" s="15" t="str" cm="1">
        <f t="array" aca="1" ref="C717" ca="1">INDEX($Q$2:$Q$31, RANDBETWEEN(1, COUNTA($Q$2:$Q$31)))</f>
        <v>Caramel Phin Freeze</v>
      </c>
      <c r="D717" s="10" t="str" cm="1">
        <f t="array" aca="1" ref="D717" ca="1">INDEX($R$2:$R$310, RANDBETWEEN(1, COUNTA($Q$2:$Q$310)))</f>
        <v>M</v>
      </c>
      <c r="E717">
        <f t="shared" ca="1" si="102"/>
        <v>1</v>
      </c>
      <c r="F717" cm="1">
        <f t="array" aca="1" ref="F717" ca="1">INDEX($S$2:$S$31, RANDBETWEEN(1, COUNTA($S$2:$S$31)))</f>
        <v>35000</v>
      </c>
      <c r="G717" cm="1">
        <f t="array" aca="1" ref="G717" ca="1">INDEX($S$2:$S$31, RANDBETWEEN(1, COUNTA($S$2:$S$31)))</f>
        <v>65000</v>
      </c>
      <c r="H717">
        <f t="shared" ca="1" si="103"/>
        <v>7</v>
      </c>
      <c r="I717">
        <f t="shared" ca="1" si="104"/>
        <v>65000</v>
      </c>
      <c r="J717" s="10" t="str">
        <f t="shared" ca="1" si="105"/>
        <v>Offline</v>
      </c>
      <c r="K717" s="10">
        <f t="shared" ca="1" si="106"/>
        <v>65000</v>
      </c>
      <c r="L717" s="10">
        <f t="shared" ca="1" si="107"/>
        <v>65000</v>
      </c>
      <c r="M717" s="12" t="str" cm="1">
        <f t="array" aca="1" ref="M717" ca="1">INDEX($R$33:$R$82, RANDBETWEEN(1, COUNTA($R$33:$R$82)))</f>
        <v>NV41</v>
      </c>
      <c r="N717">
        <f t="shared" ca="1" si="108"/>
        <v>32</v>
      </c>
    </row>
    <row r="718" spans="1:14" ht="16.8" x14ac:dyDescent="0.3">
      <c r="A718" s="7" t="str">
        <f t="shared" si="100"/>
        <v>S0717</v>
      </c>
      <c r="B718" s="8">
        <f t="shared" ca="1" si="101"/>
        <v>44510</v>
      </c>
      <c r="C718" s="15" t="str" cm="1">
        <f t="array" aca="1" ref="C718" ca="1">INDEX($Q$2:$Q$31, RANDBETWEEN(1, COUNTA($Q$2:$Q$31)))</f>
        <v>Caramel Phin Freeze</v>
      </c>
      <c r="D718" s="10" t="str" cm="1">
        <f t="array" aca="1" ref="D718" ca="1">INDEX($R$2:$R$310, RANDBETWEEN(1, COUNTA($Q$2:$Q$310)))</f>
        <v>L</v>
      </c>
      <c r="E718">
        <f t="shared" ca="1" si="102"/>
        <v>2</v>
      </c>
      <c r="F718" cm="1">
        <f t="array" aca="1" ref="F718" ca="1">INDEX($S$2:$S$31, RANDBETWEEN(1, COUNTA($S$2:$S$31)))</f>
        <v>65000</v>
      </c>
      <c r="G718" cm="1">
        <f t="array" aca="1" ref="G718" ca="1">INDEX($S$2:$S$31, RANDBETWEEN(1, COUNTA($S$2:$S$31)))</f>
        <v>69000</v>
      </c>
      <c r="H718">
        <f t="shared" ca="1" si="103"/>
        <v>9</v>
      </c>
      <c r="I718">
        <f t="shared" ca="1" si="104"/>
        <v>59150</v>
      </c>
      <c r="J718" s="10" t="str">
        <f t="shared" ca="1" si="105"/>
        <v>Online</v>
      </c>
      <c r="K718" s="10">
        <f t="shared" ca="1" si="106"/>
        <v>59150</v>
      </c>
      <c r="L718" s="10">
        <f t="shared" ca="1" si="107"/>
        <v>118300</v>
      </c>
      <c r="M718" s="12" t="str" cm="1">
        <f t="array" aca="1" ref="M718" ca="1">INDEX($R$33:$R$82, RANDBETWEEN(1, COUNTA($R$33:$R$82)))</f>
        <v>NV7</v>
      </c>
      <c r="N718">
        <f t="shared" ca="1" si="108"/>
        <v>30</v>
      </c>
    </row>
    <row r="719" spans="1:14" ht="16.8" x14ac:dyDescent="0.3">
      <c r="A719" s="7" t="str">
        <f t="shared" si="100"/>
        <v>S0718</v>
      </c>
      <c r="B719" s="8">
        <f t="shared" ca="1" si="101"/>
        <v>44867</v>
      </c>
      <c r="C719" s="15" t="str" cm="1">
        <f t="array" aca="1" ref="C719" ca="1">INDEX($Q$2:$Q$31, RANDBETWEEN(1, COUNTA($Q$2:$Q$31)))</f>
        <v>Caramel Phin Freeze</v>
      </c>
      <c r="D719" s="10" t="str" cm="1">
        <f t="array" aca="1" ref="D719" ca="1">INDEX($R$2:$R$310, RANDBETWEEN(1, COUNTA($Q$2:$Q$310)))</f>
        <v>L</v>
      </c>
      <c r="E719">
        <f t="shared" ca="1" si="102"/>
        <v>5</v>
      </c>
      <c r="F719" cm="1">
        <f t="array" aca="1" ref="F719" ca="1">INDEX($S$2:$S$31, RANDBETWEEN(1, COUNTA($S$2:$S$31)))</f>
        <v>65000</v>
      </c>
      <c r="G719" cm="1">
        <f t="array" aca="1" ref="G719" ca="1">INDEX($S$2:$S$31, RANDBETWEEN(1, COUNTA($S$2:$S$31)))</f>
        <v>59000</v>
      </c>
      <c r="H719">
        <f t="shared" ca="1" si="103"/>
        <v>9</v>
      </c>
      <c r="I719">
        <f t="shared" ca="1" si="104"/>
        <v>59000</v>
      </c>
      <c r="J719" s="10" t="str">
        <f t="shared" ca="1" si="105"/>
        <v>Offline</v>
      </c>
      <c r="K719" s="10">
        <f t="shared" ca="1" si="106"/>
        <v>59000</v>
      </c>
      <c r="L719" s="10">
        <f t="shared" ca="1" si="107"/>
        <v>295000</v>
      </c>
      <c r="M719" s="12" t="str" cm="1">
        <f t="array" aca="1" ref="M719" ca="1">INDEX($R$33:$R$82, RANDBETWEEN(1, COUNTA($R$33:$R$82)))</f>
        <v>NV19</v>
      </c>
      <c r="N719">
        <f t="shared" ca="1" si="108"/>
        <v>45</v>
      </c>
    </row>
    <row r="720" spans="1:14" ht="16.8" x14ac:dyDescent="0.3">
      <c r="A720" s="7" t="str">
        <f t="shared" si="100"/>
        <v>S0719</v>
      </c>
      <c r="B720" s="8">
        <f t="shared" ca="1" si="101"/>
        <v>44437</v>
      </c>
      <c r="C720" s="15" t="str" cm="1">
        <f t="array" aca="1" ref="C720" ca="1">INDEX($Q$2:$Q$31, RANDBETWEEN(1, COUNTA($Q$2:$Q$31)))</f>
        <v>Classic Phin Freeze</v>
      </c>
      <c r="D720" s="10" t="str" cm="1">
        <f t="array" aca="1" ref="D720" ca="1">INDEX($R$2:$R$310, RANDBETWEEN(1, COUNTA($Q$2:$Q$310)))</f>
        <v>S</v>
      </c>
      <c r="E720">
        <f t="shared" ca="1" si="102"/>
        <v>4</v>
      </c>
      <c r="F720" cm="1">
        <f t="array" aca="1" ref="F720" ca="1">INDEX($S$2:$S$31, RANDBETWEEN(1, COUNTA($S$2:$S$31)))</f>
        <v>59000</v>
      </c>
      <c r="G720" cm="1">
        <f t="array" aca="1" ref="G720" ca="1">INDEX($S$2:$S$31, RANDBETWEEN(1, COUNTA($S$2:$S$31)))</f>
        <v>49000</v>
      </c>
      <c r="H720">
        <f t="shared" ca="1" si="103"/>
        <v>5</v>
      </c>
      <c r="I720">
        <f t="shared" ca="1" si="104"/>
        <v>49000</v>
      </c>
      <c r="J720" s="10" t="str">
        <f t="shared" ca="1" si="105"/>
        <v>Offline</v>
      </c>
      <c r="K720" s="10">
        <f t="shared" ca="1" si="106"/>
        <v>49000</v>
      </c>
      <c r="L720" s="10">
        <f t="shared" ca="1" si="107"/>
        <v>196000</v>
      </c>
      <c r="M720" s="12" t="str" cm="1">
        <f t="array" aca="1" ref="M720" ca="1">INDEX($R$33:$R$82, RANDBETWEEN(1, COUNTA($R$33:$R$82)))</f>
        <v>NV25</v>
      </c>
      <c r="N720">
        <f t="shared" ca="1" si="108"/>
        <v>34</v>
      </c>
    </row>
    <row r="721" spans="1:14" ht="16.8" x14ac:dyDescent="0.3">
      <c r="A721" s="7" t="str">
        <f t="shared" si="100"/>
        <v>S0720</v>
      </c>
      <c r="B721" s="8">
        <f t="shared" ca="1" si="101"/>
        <v>44781</v>
      </c>
      <c r="C721" s="15" t="str" cm="1">
        <f t="array" aca="1" ref="C721" ca="1">INDEX($Q$2:$Q$31, RANDBETWEEN(1, COUNTA($Q$2:$Q$31)))</f>
        <v>Cookies &amp; Cream</v>
      </c>
      <c r="D721" s="10" t="str" cm="1">
        <f t="array" aca="1" ref="D721" ca="1">INDEX($R$2:$R$310, RANDBETWEEN(1, COUNTA($Q$2:$Q$310)))</f>
        <v>L</v>
      </c>
      <c r="E721">
        <f t="shared" ca="1" si="102"/>
        <v>3</v>
      </c>
      <c r="F721" cm="1">
        <f t="array" aca="1" ref="F721" ca="1">INDEX($S$2:$S$31, RANDBETWEEN(1, COUNTA($S$2:$S$31)))</f>
        <v>49000</v>
      </c>
      <c r="G721" cm="1">
        <f t="array" aca="1" ref="G721" ca="1">INDEX($S$2:$S$31, RANDBETWEEN(1, COUNTA($S$2:$S$31)))</f>
        <v>49000</v>
      </c>
      <c r="H721">
        <f t="shared" ca="1" si="103"/>
        <v>5</v>
      </c>
      <c r="I721">
        <f t="shared" ca="1" si="104"/>
        <v>49000</v>
      </c>
      <c r="J721" s="10" t="str">
        <f t="shared" ca="1" si="105"/>
        <v>Offline</v>
      </c>
      <c r="K721" s="10">
        <f t="shared" ca="1" si="106"/>
        <v>49000</v>
      </c>
      <c r="L721" s="10">
        <f t="shared" ca="1" si="107"/>
        <v>147000</v>
      </c>
      <c r="M721" s="12" t="str" cm="1">
        <f t="array" aca="1" ref="M721" ca="1">INDEX($R$33:$R$82, RANDBETWEEN(1, COUNTA($R$33:$R$82)))</f>
        <v>NV13</v>
      </c>
      <c r="N721">
        <f t="shared" ca="1" si="108"/>
        <v>20</v>
      </c>
    </row>
    <row r="722" spans="1:14" ht="16.8" x14ac:dyDescent="0.3">
      <c r="A722" s="7" t="str">
        <f t="shared" si="100"/>
        <v>S0721</v>
      </c>
      <c r="B722" s="8">
        <f t="shared" ca="1" si="101"/>
        <v>44329</v>
      </c>
      <c r="C722" s="15" t="str" cm="1">
        <f t="array" aca="1" ref="C722" ca="1">INDEX($Q$2:$Q$31, RANDBETWEEN(1, COUNTA($Q$2:$Q$31)))</f>
        <v xml:space="preserve">Chocolate Freeze </v>
      </c>
      <c r="D722" s="10" t="str" cm="1">
        <f t="array" aca="1" ref="D722" ca="1">INDEX($R$2:$R$310, RANDBETWEEN(1, COUNTA($Q$2:$Q$310)))</f>
        <v>S</v>
      </c>
      <c r="E722">
        <f t="shared" ca="1" si="102"/>
        <v>3</v>
      </c>
      <c r="F722" cm="1">
        <f t="array" aca="1" ref="F722" ca="1">INDEX($S$2:$S$31, RANDBETWEEN(1, COUNTA($S$2:$S$31)))</f>
        <v>65000</v>
      </c>
      <c r="G722" cm="1">
        <f t="array" aca="1" ref="G722" ca="1">INDEX($S$2:$S$31, RANDBETWEEN(1, COUNTA($S$2:$S$31)))</f>
        <v>65000</v>
      </c>
      <c r="H722">
        <f t="shared" ca="1" si="103"/>
        <v>13</v>
      </c>
      <c r="I722">
        <f t="shared" ca="1" si="104"/>
        <v>56550</v>
      </c>
      <c r="J722" s="10" t="str">
        <f t="shared" ca="1" si="105"/>
        <v>Online</v>
      </c>
      <c r="K722" s="10">
        <f t="shared" ca="1" si="106"/>
        <v>56550</v>
      </c>
      <c r="L722" s="10">
        <f t="shared" ca="1" si="107"/>
        <v>169650</v>
      </c>
      <c r="M722" s="12" t="str" cm="1">
        <f t="array" aca="1" ref="M722" ca="1">INDEX($R$33:$R$82, RANDBETWEEN(1, COUNTA($R$33:$R$82)))</f>
        <v>NV9</v>
      </c>
      <c r="N722">
        <f t="shared" ca="1" si="108"/>
        <v>33</v>
      </c>
    </row>
    <row r="723" spans="1:14" ht="16.8" x14ac:dyDescent="0.3">
      <c r="A723" s="7" t="str">
        <f t="shared" si="100"/>
        <v>S0722</v>
      </c>
      <c r="B723" s="8">
        <f t="shared" ca="1" si="101"/>
        <v>44649</v>
      </c>
      <c r="C723" s="15" t="str" cm="1">
        <f t="array" aca="1" ref="C723" ca="1">INDEX($Q$2:$Q$31, RANDBETWEEN(1, COUNTA($Q$2:$Q$31)))</f>
        <v>Cookies &amp; Cream</v>
      </c>
      <c r="D723" s="10" t="str" cm="1">
        <f t="array" aca="1" ref="D723" ca="1">INDEX($R$2:$R$310, RANDBETWEEN(1, COUNTA($Q$2:$Q$310)))</f>
        <v>L</v>
      </c>
      <c r="E723">
        <f t="shared" ca="1" si="102"/>
        <v>4</v>
      </c>
      <c r="F723" cm="1">
        <f t="array" aca="1" ref="F723" ca="1">INDEX($S$2:$S$31, RANDBETWEEN(1, COUNTA($S$2:$S$31)))</f>
        <v>59000</v>
      </c>
      <c r="G723" cm="1">
        <f t="array" aca="1" ref="G723" ca="1">INDEX($S$2:$S$31, RANDBETWEEN(1, COUNTA($S$2:$S$31)))</f>
        <v>49000</v>
      </c>
      <c r="H723">
        <f t="shared" ca="1" si="103"/>
        <v>5</v>
      </c>
      <c r="I723">
        <f t="shared" ca="1" si="104"/>
        <v>56050</v>
      </c>
      <c r="J723" s="10" t="str">
        <f t="shared" ca="1" si="105"/>
        <v>Online</v>
      </c>
      <c r="K723" s="10">
        <f t="shared" ca="1" si="106"/>
        <v>56050</v>
      </c>
      <c r="L723" s="10">
        <f t="shared" ca="1" si="107"/>
        <v>224200</v>
      </c>
      <c r="M723" s="12" t="str" cm="1">
        <f t="array" aca="1" ref="M723" ca="1">INDEX($R$33:$R$82, RANDBETWEEN(1, COUNTA($R$33:$R$82)))</f>
        <v>NV50</v>
      </c>
      <c r="N723">
        <f t="shared" ca="1" si="108"/>
        <v>48</v>
      </c>
    </row>
    <row r="724" spans="1:14" ht="16.8" x14ac:dyDescent="0.3">
      <c r="A724" s="7" t="str">
        <f t="shared" si="100"/>
        <v>S0723</v>
      </c>
      <c r="B724" s="8">
        <f t="shared" ca="1" si="101"/>
        <v>44758</v>
      </c>
      <c r="C724" s="15" t="str" cm="1">
        <f t="array" aca="1" ref="C724" ca="1">INDEX($Q$2:$Q$31, RANDBETWEEN(1, COUNTA($Q$2:$Q$31)))</f>
        <v>Latte</v>
      </c>
      <c r="D724" s="10" t="str" cm="1">
        <f t="array" aca="1" ref="D724" ca="1">INDEX($R$2:$R$310, RANDBETWEEN(1, COUNTA($Q$2:$Q$310)))</f>
        <v>L</v>
      </c>
      <c r="E724">
        <f t="shared" ca="1" si="102"/>
        <v>3</v>
      </c>
      <c r="F724" cm="1">
        <f t="array" aca="1" ref="F724" ca="1">INDEX($S$2:$S$31, RANDBETWEEN(1, COUNTA($S$2:$S$31)))</f>
        <v>35000</v>
      </c>
      <c r="G724" cm="1">
        <f t="array" aca="1" ref="G724" ca="1">INDEX($S$2:$S$31, RANDBETWEEN(1, COUNTA($S$2:$S$31)))</f>
        <v>29000</v>
      </c>
      <c r="H724">
        <f t="shared" ca="1" si="103"/>
        <v>7</v>
      </c>
      <c r="I724">
        <f t="shared" ca="1" si="104"/>
        <v>32549.999999999996</v>
      </c>
      <c r="J724" s="10" t="str">
        <f t="shared" ca="1" si="105"/>
        <v>Online</v>
      </c>
      <c r="K724" s="10">
        <f t="shared" ca="1" si="106"/>
        <v>32549.999999999996</v>
      </c>
      <c r="L724" s="10">
        <f t="shared" ca="1" si="107"/>
        <v>97649.999999999985</v>
      </c>
      <c r="M724" s="12" t="str" cm="1">
        <f t="array" aca="1" ref="M724" ca="1">INDEX($R$33:$R$82, RANDBETWEEN(1, COUNTA($R$33:$R$82)))</f>
        <v>NV39</v>
      </c>
      <c r="N724">
        <f t="shared" ca="1" si="108"/>
        <v>33</v>
      </c>
    </row>
    <row r="725" spans="1:14" ht="16.8" x14ac:dyDescent="0.3">
      <c r="A725" s="7" t="str">
        <f t="shared" si="100"/>
        <v>S0724</v>
      </c>
      <c r="B725" s="8">
        <f t="shared" ca="1" si="101"/>
        <v>44510</v>
      </c>
      <c r="C725" s="15" t="str" cm="1">
        <f t="array" aca="1" ref="C725" ca="1">INDEX($Q$2:$Q$31, RANDBETWEEN(1, COUNTA($Q$2:$Q$31)))</f>
        <v>Cookies &amp; Cream</v>
      </c>
      <c r="D725" s="10" t="str" cm="1">
        <f t="array" aca="1" ref="D725" ca="1">INDEX($R$2:$R$310, RANDBETWEEN(1, COUNTA($Q$2:$Q$310)))</f>
        <v>S</v>
      </c>
      <c r="E725">
        <f t="shared" ca="1" si="102"/>
        <v>3</v>
      </c>
      <c r="F725" cm="1">
        <f t="array" aca="1" ref="F725" ca="1">INDEX($S$2:$S$31, RANDBETWEEN(1, COUNTA($S$2:$S$31)))</f>
        <v>35000</v>
      </c>
      <c r="G725" cm="1">
        <f t="array" aca="1" ref="G725" ca="1">INDEX($S$2:$S$31, RANDBETWEEN(1, COUNTA($S$2:$S$31)))</f>
        <v>59000</v>
      </c>
      <c r="H725">
        <f t="shared" ca="1" si="103"/>
        <v>10</v>
      </c>
      <c r="I725">
        <f t="shared" ca="1" si="104"/>
        <v>31500</v>
      </c>
      <c r="J725" s="10" t="str">
        <f t="shared" ca="1" si="105"/>
        <v>Online</v>
      </c>
      <c r="K725" s="10">
        <f t="shared" ca="1" si="106"/>
        <v>31500</v>
      </c>
      <c r="L725" s="10">
        <f t="shared" ca="1" si="107"/>
        <v>94500</v>
      </c>
      <c r="M725" s="12" t="str" cm="1">
        <f t="array" aca="1" ref="M725" ca="1">INDEX($R$33:$R$82, RANDBETWEEN(1, COUNTA($R$33:$R$82)))</f>
        <v>NV30</v>
      </c>
      <c r="N725">
        <f t="shared" ca="1" si="108"/>
        <v>15</v>
      </c>
    </row>
    <row r="726" spans="1:14" ht="16.8" x14ac:dyDescent="0.3">
      <c r="A726" s="7" t="str">
        <f t="shared" si="100"/>
        <v>S0725</v>
      </c>
      <c r="B726" s="8">
        <f t="shared" ca="1" si="101"/>
        <v>44827</v>
      </c>
      <c r="C726" s="15" t="str" cm="1">
        <f t="array" aca="1" ref="C726" ca="1">INDEX($Q$2:$Q$31, RANDBETWEEN(1, COUNTA($Q$2:$Q$31)))</f>
        <v>Cappuccino</v>
      </c>
      <c r="D726" s="10" t="str" cm="1">
        <f t="array" aca="1" ref="D726" ca="1">INDEX($R$2:$R$310, RANDBETWEEN(1, COUNTA($Q$2:$Q$310)))</f>
        <v>S</v>
      </c>
      <c r="E726">
        <f t="shared" ca="1" si="102"/>
        <v>4</v>
      </c>
      <c r="F726" cm="1">
        <f t="array" aca="1" ref="F726" ca="1">INDEX($S$2:$S$31, RANDBETWEEN(1, COUNTA($S$2:$S$31)))</f>
        <v>49000</v>
      </c>
      <c r="G726" cm="1">
        <f t="array" aca="1" ref="G726" ca="1">INDEX($S$2:$S$31, RANDBETWEEN(1, COUNTA($S$2:$S$31)))</f>
        <v>49000</v>
      </c>
      <c r="H726">
        <f t="shared" ca="1" si="103"/>
        <v>8</v>
      </c>
      <c r="I726">
        <f t="shared" ca="1" si="104"/>
        <v>45080</v>
      </c>
      <c r="J726" s="10" t="str">
        <f t="shared" ca="1" si="105"/>
        <v>Online</v>
      </c>
      <c r="K726" s="10">
        <f t="shared" ca="1" si="106"/>
        <v>45080</v>
      </c>
      <c r="L726" s="10">
        <f t="shared" ca="1" si="107"/>
        <v>180320</v>
      </c>
      <c r="M726" s="12" t="str" cm="1">
        <f t="array" aca="1" ref="M726" ca="1">INDEX($R$33:$R$82, RANDBETWEEN(1, COUNTA($R$33:$R$82)))</f>
        <v>NV35</v>
      </c>
      <c r="N726">
        <f t="shared" ca="1" si="108"/>
        <v>45</v>
      </c>
    </row>
    <row r="727" spans="1:14" ht="16.8" x14ac:dyDescent="0.3">
      <c r="A727" s="7" t="str">
        <f t="shared" si="100"/>
        <v>S0726</v>
      </c>
      <c r="B727" s="8">
        <f t="shared" ca="1" si="101"/>
        <v>45015</v>
      </c>
      <c r="C727" s="15" t="str" cm="1">
        <f t="array" aca="1" ref="C727" ca="1">INDEX($Q$2:$Q$31, RANDBETWEEN(1, COUNTA($Q$2:$Q$31)))</f>
        <v>Caramel Phin Freeze</v>
      </c>
      <c r="D727" s="10" t="str" cm="1">
        <f t="array" aca="1" ref="D727" ca="1">INDEX($R$2:$R$310, RANDBETWEEN(1, COUNTA($Q$2:$Q$310)))</f>
        <v>M</v>
      </c>
      <c r="E727">
        <f t="shared" ca="1" si="102"/>
        <v>4</v>
      </c>
      <c r="F727" cm="1">
        <f t="array" aca="1" ref="F727" ca="1">INDEX($S$2:$S$31, RANDBETWEEN(1, COUNTA($S$2:$S$31)))</f>
        <v>29000</v>
      </c>
      <c r="G727" cm="1">
        <f t="array" aca="1" ref="G727" ca="1">INDEX($S$2:$S$31, RANDBETWEEN(1, COUNTA($S$2:$S$31)))</f>
        <v>45000</v>
      </c>
      <c r="H727">
        <f t="shared" ca="1" si="103"/>
        <v>12</v>
      </c>
      <c r="I727">
        <f t="shared" ca="1" si="104"/>
        <v>45000</v>
      </c>
      <c r="J727" s="10" t="str">
        <f t="shared" ca="1" si="105"/>
        <v>Offline</v>
      </c>
      <c r="K727" s="10">
        <f t="shared" ca="1" si="106"/>
        <v>45000</v>
      </c>
      <c r="L727" s="10">
        <f t="shared" ca="1" si="107"/>
        <v>180000</v>
      </c>
      <c r="M727" s="12" t="str" cm="1">
        <f t="array" aca="1" ref="M727" ca="1">INDEX($R$33:$R$82, RANDBETWEEN(1, COUNTA($R$33:$R$82)))</f>
        <v>NV26</v>
      </c>
      <c r="N727">
        <f t="shared" ca="1" si="108"/>
        <v>46</v>
      </c>
    </row>
    <row r="728" spans="1:14" ht="16.8" x14ac:dyDescent="0.3">
      <c r="A728" s="7" t="str">
        <f t="shared" si="100"/>
        <v>S0727</v>
      </c>
      <c r="B728" s="8">
        <f t="shared" ca="1" si="101"/>
        <v>44895</v>
      </c>
      <c r="C728" s="15" t="str" cm="1">
        <f t="array" aca="1" ref="C728" ca="1">INDEX($Q$2:$Q$31, RANDBETWEEN(1, COUNTA($Q$2:$Q$31)))</f>
        <v>Mocha</v>
      </c>
      <c r="D728" s="10" t="str" cm="1">
        <f t="array" aca="1" ref="D728" ca="1">INDEX($R$2:$R$310, RANDBETWEEN(1, COUNTA($Q$2:$Q$310)))</f>
        <v>L</v>
      </c>
      <c r="E728">
        <f t="shared" ca="1" si="102"/>
        <v>2</v>
      </c>
      <c r="F728" cm="1">
        <f t="array" aca="1" ref="F728" ca="1">INDEX($S$2:$S$31, RANDBETWEEN(1, COUNTA($S$2:$S$31)))</f>
        <v>59000</v>
      </c>
      <c r="G728" cm="1">
        <f t="array" aca="1" ref="G728" ca="1">INDEX($S$2:$S$31, RANDBETWEEN(1, COUNTA($S$2:$S$31)))</f>
        <v>69000</v>
      </c>
      <c r="H728">
        <f t="shared" ca="1" si="103"/>
        <v>11</v>
      </c>
      <c r="I728">
        <f t="shared" ca="1" si="104"/>
        <v>52510</v>
      </c>
      <c r="J728" s="10" t="str">
        <f t="shared" ca="1" si="105"/>
        <v>Online</v>
      </c>
      <c r="K728" s="10">
        <f t="shared" ca="1" si="106"/>
        <v>52510</v>
      </c>
      <c r="L728" s="10">
        <f t="shared" ca="1" si="107"/>
        <v>105020</v>
      </c>
      <c r="M728" s="12" t="str" cm="1">
        <f t="array" aca="1" ref="M728" ca="1">INDEX($R$33:$R$82, RANDBETWEEN(1, COUNTA($R$33:$R$82)))</f>
        <v>NV46</v>
      </c>
      <c r="N728">
        <f t="shared" ca="1" si="108"/>
        <v>15</v>
      </c>
    </row>
    <row r="729" spans="1:14" ht="16.8" x14ac:dyDescent="0.3">
      <c r="A729" s="7" t="str">
        <f t="shared" si="100"/>
        <v>S0728</v>
      </c>
      <c r="B729" s="8">
        <f t="shared" ca="1" si="101"/>
        <v>45243</v>
      </c>
      <c r="C729" s="15" t="str" cm="1">
        <f t="array" aca="1" ref="C729" ca="1">INDEX($Q$2:$Q$31, RANDBETWEEN(1, COUNTA($Q$2:$Q$31)))</f>
        <v xml:space="preserve">Chocolate Freeze </v>
      </c>
      <c r="D729" s="10" t="str" cm="1">
        <f t="array" aca="1" ref="D729" ca="1">INDEX($R$2:$R$310, RANDBETWEEN(1, COUNTA($Q$2:$Q$310)))</f>
        <v>S</v>
      </c>
      <c r="E729">
        <f t="shared" ca="1" si="102"/>
        <v>2</v>
      </c>
      <c r="F729" cm="1">
        <f t="array" aca="1" ref="F729" ca="1">INDEX($S$2:$S$31, RANDBETWEEN(1, COUNTA($S$2:$S$31)))</f>
        <v>55000</v>
      </c>
      <c r="G729" cm="1">
        <f t="array" aca="1" ref="G729" ca="1">INDEX($S$2:$S$31, RANDBETWEEN(1, COUNTA($S$2:$S$31)))</f>
        <v>59000</v>
      </c>
      <c r="H729">
        <f t="shared" ca="1" si="103"/>
        <v>8</v>
      </c>
      <c r="I729">
        <f t="shared" ca="1" si="104"/>
        <v>59000</v>
      </c>
      <c r="J729" s="10" t="str">
        <f t="shared" ca="1" si="105"/>
        <v>Offline</v>
      </c>
      <c r="K729" s="10">
        <f t="shared" ca="1" si="106"/>
        <v>59000</v>
      </c>
      <c r="L729" s="10">
        <f t="shared" ca="1" si="107"/>
        <v>118000</v>
      </c>
      <c r="M729" s="12" t="str" cm="1">
        <f t="array" aca="1" ref="M729" ca="1">INDEX($R$33:$R$82, RANDBETWEEN(1, COUNTA($R$33:$R$82)))</f>
        <v>NV37</v>
      </c>
      <c r="N729">
        <f t="shared" ca="1" si="108"/>
        <v>37</v>
      </c>
    </row>
    <row r="730" spans="1:14" ht="16.8" x14ac:dyDescent="0.3">
      <c r="A730" s="7" t="str">
        <f t="shared" si="100"/>
        <v>S0729</v>
      </c>
      <c r="B730" s="8">
        <f t="shared" ca="1" si="101"/>
        <v>44355</v>
      </c>
      <c r="C730" s="15" t="str" cm="1">
        <f t="array" aca="1" ref="C730" ca="1">INDEX($Q$2:$Q$31, RANDBETWEEN(1, COUNTA($Q$2:$Q$31)))</f>
        <v>Iced Black Coffee</v>
      </c>
      <c r="D730" s="10" t="str" cm="1">
        <f t="array" aca="1" ref="D730" ca="1">INDEX($R$2:$R$310, RANDBETWEEN(1, COUNTA($Q$2:$Q$310)))</f>
        <v>L</v>
      </c>
      <c r="E730">
        <f t="shared" ca="1" si="102"/>
        <v>1</v>
      </c>
      <c r="F730" cm="1">
        <f t="array" aca="1" ref="F730" ca="1">INDEX($S$2:$S$31, RANDBETWEEN(1, COUNTA($S$2:$S$31)))</f>
        <v>65000</v>
      </c>
      <c r="G730" cm="1">
        <f t="array" aca="1" ref="G730" ca="1">INDEX($S$2:$S$31, RANDBETWEEN(1, COUNTA($S$2:$S$31)))</f>
        <v>59000</v>
      </c>
      <c r="H730">
        <f t="shared" ca="1" si="103"/>
        <v>15</v>
      </c>
      <c r="I730">
        <f t="shared" ca="1" si="104"/>
        <v>55250</v>
      </c>
      <c r="J730" s="10" t="str">
        <f t="shared" ca="1" si="105"/>
        <v>Online</v>
      </c>
      <c r="K730" s="10">
        <f t="shared" ca="1" si="106"/>
        <v>55250</v>
      </c>
      <c r="L730" s="10">
        <f t="shared" ca="1" si="107"/>
        <v>55250</v>
      </c>
      <c r="M730" s="12" t="str" cm="1">
        <f t="array" aca="1" ref="M730" ca="1">INDEX($R$33:$R$82, RANDBETWEEN(1, COUNTA($R$33:$R$82)))</f>
        <v>NV34</v>
      </c>
      <c r="N730">
        <f t="shared" ca="1" si="108"/>
        <v>5</v>
      </c>
    </row>
    <row r="731" spans="1:14" ht="16.8" x14ac:dyDescent="0.3">
      <c r="A731" s="7" t="str">
        <f t="shared" si="100"/>
        <v>S0730</v>
      </c>
      <c r="B731" s="8">
        <f t="shared" ca="1" si="101"/>
        <v>44643</v>
      </c>
      <c r="C731" s="15" t="str" cm="1">
        <f t="array" aca="1" ref="C731" ca="1">INDEX($Q$2:$Q$31, RANDBETWEEN(1, COUNTA($Q$2:$Q$31)))</f>
        <v>Cookies &amp; Cream</v>
      </c>
      <c r="D731" s="10" t="str" cm="1">
        <f t="array" aca="1" ref="D731" ca="1">INDEX($R$2:$R$310, RANDBETWEEN(1, COUNTA($Q$2:$Q$310)))</f>
        <v>S</v>
      </c>
      <c r="E731">
        <f t="shared" ca="1" si="102"/>
        <v>3</v>
      </c>
      <c r="F731" cm="1">
        <f t="array" aca="1" ref="F731" ca="1">INDEX($S$2:$S$31, RANDBETWEEN(1, COUNTA($S$2:$S$31)))</f>
        <v>69000</v>
      </c>
      <c r="G731" cm="1">
        <f t="array" aca="1" ref="G731" ca="1">INDEX($S$2:$S$31, RANDBETWEEN(1, COUNTA($S$2:$S$31)))</f>
        <v>69000</v>
      </c>
      <c r="H731">
        <f t="shared" ca="1" si="103"/>
        <v>13</v>
      </c>
      <c r="I731">
        <f t="shared" ca="1" si="104"/>
        <v>69000</v>
      </c>
      <c r="J731" s="10" t="str">
        <f t="shared" ca="1" si="105"/>
        <v>Offline</v>
      </c>
      <c r="K731" s="10">
        <f t="shared" ca="1" si="106"/>
        <v>69000</v>
      </c>
      <c r="L731" s="10">
        <f t="shared" ca="1" si="107"/>
        <v>207000</v>
      </c>
      <c r="M731" s="12" t="str" cm="1">
        <f t="array" aca="1" ref="M731" ca="1">INDEX($R$33:$R$82, RANDBETWEEN(1, COUNTA($R$33:$R$82)))</f>
        <v>NV40</v>
      </c>
      <c r="N731">
        <f t="shared" ca="1" si="108"/>
        <v>45</v>
      </c>
    </row>
    <row r="732" spans="1:14" ht="16.8" x14ac:dyDescent="0.3">
      <c r="A732" s="7" t="str">
        <f t="shared" si="100"/>
        <v>S0731</v>
      </c>
      <c r="B732" s="8">
        <f t="shared" ca="1" si="101"/>
        <v>44904</v>
      </c>
      <c r="C732" s="15" t="str" cm="1">
        <f t="array" aca="1" ref="C732" ca="1">INDEX($Q$2:$Q$31, RANDBETWEEN(1, COUNTA($Q$2:$Q$31)))</f>
        <v>Latte</v>
      </c>
      <c r="D732" s="10" t="str" cm="1">
        <f t="array" aca="1" ref="D732" ca="1">INDEX($R$2:$R$310, RANDBETWEEN(1, COUNTA($Q$2:$Q$310)))</f>
        <v>L</v>
      </c>
      <c r="E732">
        <f t="shared" ca="1" si="102"/>
        <v>3</v>
      </c>
      <c r="F732" cm="1">
        <f t="array" aca="1" ref="F732" ca="1">INDEX($S$2:$S$31, RANDBETWEEN(1, COUNTA($S$2:$S$31)))</f>
        <v>49000</v>
      </c>
      <c r="G732" cm="1">
        <f t="array" aca="1" ref="G732" ca="1">INDEX($S$2:$S$31, RANDBETWEEN(1, COUNTA($S$2:$S$31)))</f>
        <v>65000</v>
      </c>
      <c r="H732">
        <f t="shared" ca="1" si="103"/>
        <v>11</v>
      </c>
      <c r="I732">
        <f t="shared" ca="1" si="104"/>
        <v>43610</v>
      </c>
      <c r="J732" s="10" t="str">
        <f t="shared" ca="1" si="105"/>
        <v>Online</v>
      </c>
      <c r="K732" s="10">
        <f t="shared" ca="1" si="106"/>
        <v>43610</v>
      </c>
      <c r="L732" s="10">
        <f t="shared" ca="1" si="107"/>
        <v>130830</v>
      </c>
      <c r="M732" s="12" t="str" cm="1">
        <f t="array" aca="1" ref="M732" ca="1">INDEX($R$33:$R$82, RANDBETWEEN(1, COUNTA($R$33:$R$82)))</f>
        <v>NV11</v>
      </c>
      <c r="N732">
        <f t="shared" ca="1" si="108"/>
        <v>51</v>
      </c>
    </row>
    <row r="733" spans="1:14" ht="16.8" x14ac:dyDescent="0.3">
      <c r="A733" s="7" t="str">
        <f t="shared" si="100"/>
        <v>S0732</v>
      </c>
      <c r="B733" s="8">
        <f t="shared" ca="1" si="101"/>
        <v>45282</v>
      </c>
      <c r="C733" s="15" t="str" cm="1">
        <f t="array" aca="1" ref="C733" ca="1">INDEX($Q$2:$Q$31, RANDBETWEEN(1, COUNTA($Q$2:$Q$31)))</f>
        <v xml:space="preserve">Green Tea Freeze </v>
      </c>
      <c r="D733" s="10" t="str" cm="1">
        <f t="array" aca="1" ref="D733" ca="1">INDEX($R$2:$R$310, RANDBETWEEN(1, COUNTA($Q$2:$Q$310)))</f>
        <v>L</v>
      </c>
      <c r="E733">
        <f t="shared" ca="1" si="102"/>
        <v>3</v>
      </c>
      <c r="F733" cm="1">
        <f t="array" aca="1" ref="F733" ca="1">INDEX($S$2:$S$31, RANDBETWEEN(1, COUNTA($S$2:$S$31)))</f>
        <v>35000</v>
      </c>
      <c r="G733" cm="1">
        <f t="array" aca="1" ref="G733" ca="1">INDEX($S$2:$S$31, RANDBETWEEN(1, COUNTA($S$2:$S$31)))</f>
        <v>49000</v>
      </c>
      <c r="H733">
        <f t="shared" ca="1" si="103"/>
        <v>10</v>
      </c>
      <c r="I733">
        <f t="shared" ca="1" si="104"/>
        <v>49000</v>
      </c>
      <c r="J733" s="10" t="str">
        <f t="shared" ca="1" si="105"/>
        <v>Offline</v>
      </c>
      <c r="K733" s="10">
        <f t="shared" ca="1" si="106"/>
        <v>49000</v>
      </c>
      <c r="L733" s="10">
        <f t="shared" ca="1" si="107"/>
        <v>147000</v>
      </c>
      <c r="M733" s="12" t="str" cm="1">
        <f t="array" aca="1" ref="M733" ca="1">INDEX($R$33:$R$82, RANDBETWEEN(1, COUNTA($R$33:$R$82)))</f>
        <v>NV49</v>
      </c>
      <c r="N733">
        <f t="shared" ca="1" si="108"/>
        <v>49</v>
      </c>
    </row>
    <row r="734" spans="1:14" ht="16.8" x14ac:dyDescent="0.3">
      <c r="A734" s="7" t="str">
        <f t="shared" si="100"/>
        <v>S0733</v>
      </c>
      <c r="B734" s="8">
        <f t="shared" ca="1" si="101"/>
        <v>44311</v>
      </c>
      <c r="C734" s="15" t="str" cm="1">
        <f t="array" aca="1" ref="C734" ca="1">INDEX($Q$2:$Q$31, RANDBETWEEN(1, COUNTA($Q$2:$Q$31)))</f>
        <v xml:space="preserve">Chocolate Freeze </v>
      </c>
      <c r="D734" s="10" t="str" cm="1">
        <f t="array" aca="1" ref="D734" ca="1">INDEX($R$2:$R$310, RANDBETWEEN(1, COUNTA($Q$2:$Q$310)))</f>
        <v>S</v>
      </c>
      <c r="E734">
        <f t="shared" ca="1" si="102"/>
        <v>1</v>
      </c>
      <c r="F734" cm="1">
        <f t="array" aca="1" ref="F734" ca="1">INDEX($S$2:$S$31, RANDBETWEEN(1, COUNTA($S$2:$S$31)))</f>
        <v>45000</v>
      </c>
      <c r="G734" cm="1">
        <f t="array" aca="1" ref="G734" ca="1">INDEX($S$2:$S$31, RANDBETWEEN(1, COUNTA($S$2:$S$31)))</f>
        <v>65000</v>
      </c>
      <c r="H734">
        <f t="shared" ca="1" si="103"/>
        <v>9</v>
      </c>
      <c r="I734">
        <f t="shared" ca="1" si="104"/>
        <v>65000</v>
      </c>
      <c r="J734" s="10" t="str">
        <f t="shared" ca="1" si="105"/>
        <v>Offline</v>
      </c>
      <c r="K734" s="10">
        <f t="shared" ca="1" si="106"/>
        <v>65000</v>
      </c>
      <c r="L734" s="10">
        <f t="shared" ca="1" si="107"/>
        <v>65000</v>
      </c>
      <c r="M734" s="12" t="str" cm="1">
        <f t="array" aca="1" ref="M734" ca="1">INDEX($R$33:$R$82, RANDBETWEEN(1, COUNTA($R$33:$R$82)))</f>
        <v>NV42</v>
      </c>
      <c r="N734">
        <f t="shared" ca="1" si="108"/>
        <v>18</v>
      </c>
    </row>
    <row r="735" spans="1:14" ht="16.8" x14ac:dyDescent="0.3">
      <c r="A735" s="7" t="str">
        <f t="shared" si="100"/>
        <v>S0734</v>
      </c>
      <c r="B735" s="8">
        <f t="shared" ca="1" si="101"/>
        <v>44939</v>
      </c>
      <c r="C735" s="15" t="str" cm="1">
        <f t="array" aca="1" ref="C735" ca="1">INDEX($Q$2:$Q$31, RANDBETWEEN(1, COUNTA($Q$2:$Q$31)))</f>
        <v xml:space="preserve">Green Tea Freeze </v>
      </c>
      <c r="D735" s="10" t="str" cm="1">
        <f t="array" aca="1" ref="D735" ca="1">INDEX($R$2:$R$310, RANDBETWEEN(1, COUNTA($Q$2:$Q$310)))</f>
        <v>L</v>
      </c>
      <c r="E735">
        <f t="shared" ca="1" si="102"/>
        <v>1</v>
      </c>
      <c r="F735" cm="1">
        <f t="array" aca="1" ref="F735" ca="1">INDEX($S$2:$S$31, RANDBETWEEN(1, COUNTA($S$2:$S$31)))</f>
        <v>49000</v>
      </c>
      <c r="G735" cm="1">
        <f t="array" aca="1" ref="G735" ca="1">INDEX($S$2:$S$31, RANDBETWEEN(1, COUNTA($S$2:$S$31)))</f>
        <v>59000</v>
      </c>
      <c r="H735">
        <f t="shared" ca="1" si="103"/>
        <v>12</v>
      </c>
      <c r="I735">
        <f t="shared" ca="1" si="104"/>
        <v>59000</v>
      </c>
      <c r="J735" s="10" t="str">
        <f t="shared" ca="1" si="105"/>
        <v>Offline</v>
      </c>
      <c r="K735" s="10">
        <f t="shared" ca="1" si="106"/>
        <v>59000</v>
      </c>
      <c r="L735" s="10">
        <f t="shared" ca="1" si="107"/>
        <v>59000</v>
      </c>
      <c r="M735" s="12" t="str" cm="1">
        <f t="array" aca="1" ref="M735" ca="1">INDEX($R$33:$R$82, RANDBETWEEN(1, COUNTA($R$33:$R$82)))</f>
        <v>NV28</v>
      </c>
      <c r="N735">
        <f t="shared" ca="1" si="108"/>
        <v>10</v>
      </c>
    </row>
    <row r="736" spans="1:14" ht="16.8" x14ac:dyDescent="0.3">
      <c r="A736" s="7" t="str">
        <f t="shared" si="100"/>
        <v>S0735</v>
      </c>
      <c r="B736" s="8">
        <f t="shared" ca="1" si="101"/>
        <v>44923</v>
      </c>
      <c r="C736" s="15" t="str" cm="1">
        <f t="array" aca="1" ref="C736" ca="1">INDEX($Q$2:$Q$31, RANDBETWEEN(1, COUNTA($Q$2:$Q$31)))</f>
        <v xml:space="preserve">Green Tea Freeze </v>
      </c>
      <c r="D736" s="10" t="str" cm="1">
        <f t="array" aca="1" ref="D736" ca="1">INDEX($R$2:$R$310, RANDBETWEEN(1, COUNTA($Q$2:$Q$310)))</f>
        <v>L</v>
      </c>
      <c r="E736">
        <f t="shared" ca="1" si="102"/>
        <v>1</v>
      </c>
      <c r="F736" cm="1">
        <f t="array" aca="1" ref="F736" ca="1">INDEX($S$2:$S$31, RANDBETWEEN(1, COUNTA($S$2:$S$31)))</f>
        <v>39000</v>
      </c>
      <c r="G736" cm="1">
        <f t="array" aca="1" ref="G736" ca="1">INDEX($S$2:$S$31, RANDBETWEEN(1, COUNTA($S$2:$S$31)))</f>
        <v>59000</v>
      </c>
      <c r="H736">
        <f t="shared" ca="1" si="103"/>
        <v>10</v>
      </c>
      <c r="I736">
        <f t="shared" ca="1" si="104"/>
        <v>35100</v>
      </c>
      <c r="J736" s="10" t="str">
        <f t="shared" ca="1" si="105"/>
        <v>Online</v>
      </c>
      <c r="K736" s="10">
        <f t="shared" ca="1" si="106"/>
        <v>35100</v>
      </c>
      <c r="L736" s="10">
        <f t="shared" ca="1" si="107"/>
        <v>35100</v>
      </c>
      <c r="M736" s="12" t="str" cm="1">
        <f t="array" aca="1" ref="M736" ca="1">INDEX($R$33:$R$82, RANDBETWEEN(1, COUNTA($R$33:$R$82)))</f>
        <v>NV8</v>
      </c>
      <c r="N736">
        <f t="shared" ca="1" si="108"/>
        <v>33</v>
      </c>
    </row>
    <row r="737" spans="1:14" ht="16.8" x14ac:dyDescent="0.3">
      <c r="A737" s="7" t="str">
        <f t="shared" si="100"/>
        <v>S0736</v>
      </c>
      <c r="B737" s="8">
        <f t="shared" ca="1" si="101"/>
        <v>44746</v>
      </c>
      <c r="C737" s="15" t="str" cm="1">
        <f t="array" aca="1" ref="C737" ca="1">INDEX($Q$2:$Q$31, RANDBETWEEN(1, COUNTA($Q$2:$Q$31)))</f>
        <v>Latte</v>
      </c>
      <c r="D737" s="10" t="str" cm="1">
        <f t="array" aca="1" ref="D737" ca="1">INDEX($R$2:$R$310, RANDBETWEEN(1, COUNTA($Q$2:$Q$310)))</f>
        <v>L</v>
      </c>
      <c r="E737">
        <f t="shared" ca="1" si="102"/>
        <v>3</v>
      </c>
      <c r="F737" cm="1">
        <f t="array" aca="1" ref="F737" ca="1">INDEX($S$2:$S$31, RANDBETWEEN(1, COUNTA($S$2:$S$31)))</f>
        <v>49000</v>
      </c>
      <c r="G737" cm="1">
        <f t="array" aca="1" ref="G737" ca="1">INDEX($S$2:$S$31, RANDBETWEEN(1, COUNTA($S$2:$S$31)))</f>
        <v>65000</v>
      </c>
      <c r="H737">
        <f t="shared" ca="1" si="103"/>
        <v>9</v>
      </c>
      <c r="I737">
        <f t="shared" ca="1" si="104"/>
        <v>44590</v>
      </c>
      <c r="J737" s="10" t="str">
        <f t="shared" ca="1" si="105"/>
        <v>Online</v>
      </c>
      <c r="K737" s="10">
        <f t="shared" ca="1" si="106"/>
        <v>44590</v>
      </c>
      <c r="L737" s="10">
        <f t="shared" ca="1" si="107"/>
        <v>133770</v>
      </c>
      <c r="M737" s="12" t="str" cm="1">
        <f t="array" aca="1" ref="M737" ca="1">INDEX($R$33:$R$82, RANDBETWEEN(1, COUNTA($R$33:$R$82)))</f>
        <v>NV28</v>
      </c>
      <c r="N737">
        <f t="shared" ca="1" si="108"/>
        <v>48</v>
      </c>
    </row>
    <row r="738" spans="1:14" ht="16.8" x14ac:dyDescent="0.3">
      <c r="A738" s="7" t="str">
        <f t="shared" si="100"/>
        <v>S0737</v>
      </c>
      <c r="B738" s="8">
        <f t="shared" ca="1" si="101"/>
        <v>44614</v>
      </c>
      <c r="C738" s="15" t="str" cm="1">
        <f t="array" aca="1" ref="C738" ca="1">INDEX($Q$2:$Q$31, RANDBETWEEN(1, COUNTA($Q$2:$Q$31)))</f>
        <v xml:space="preserve">Green Tea Freeze </v>
      </c>
      <c r="D738" s="10" t="str" cm="1">
        <f t="array" aca="1" ref="D738" ca="1">INDEX($R$2:$R$310, RANDBETWEEN(1, COUNTA($Q$2:$Q$310)))</f>
        <v>S</v>
      </c>
      <c r="E738">
        <f t="shared" ca="1" si="102"/>
        <v>1</v>
      </c>
      <c r="F738" cm="1">
        <f t="array" aca="1" ref="F738" ca="1">INDEX($S$2:$S$31, RANDBETWEEN(1, COUNTA($S$2:$S$31)))</f>
        <v>65000</v>
      </c>
      <c r="G738" cm="1">
        <f t="array" aca="1" ref="G738" ca="1">INDEX($S$2:$S$31, RANDBETWEEN(1, COUNTA($S$2:$S$31)))</f>
        <v>49000</v>
      </c>
      <c r="H738">
        <f t="shared" ca="1" si="103"/>
        <v>12</v>
      </c>
      <c r="I738">
        <f t="shared" ca="1" si="104"/>
        <v>57200</v>
      </c>
      <c r="J738" s="10" t="str">
        <f t="shared" ca="1" si="105"/>
        <v>Online</v>
      </c>
      <c r="K738" s="10">
        <f t="shared" ca="1" si="106"/>
        <v>57200</v>
      </c>
      <c r="L738" s="10">
        <f t="shared" ca="1" si="107"/>
        <v>57200</v>
      </c>
      <c r="M738" s="12" t="str" cm="1">
        <f t="array" aca="1" ref="M738" ca="1">INDEX($R$33:$R$82, RANDBETWEEN(1, COUNTA($R$33:$R$82)))</f>
        <v>NV9</v>
      </c>
      <c r="N738">
        <f t="shared" ca="1" si="108"/>
        <v>3</v>
      </c>
    </row>
    <row r="739" spans="1:14" ht="16.8" x14ac:dyDescent="0.3">
      <c r="A739" s="7" t="str">
        <f t="shared" si="100"/>
        <v>S0738</v>
      </c>
      <c r="B739" s="8">
        <f t="shared" ca="1" si="101"/>
        <v>44696</v>
      </c>
      <c r="C739" s="15" t="str" cm="1">
        <f t="array" aca="1" ref="C739" ca="1">INDEX($Q$2:$Q$31, RANDBETWEEN(1, COUNTA($Q$2:$Q$31)))</f>
        <v>Caramel Phin Freeze</v>
      </c>
      <c r="D739" s="10" t="str" cm="1">
        <f t="array" aca="1" ref="D739" ca="1">INDEX($R$2:$R$310, RANDBETWEEN(1, COUNTA($Q$2:$Q$310)))</f>
        <v>M</v>
      </c>
      <c r="E739">
        <f t="shared" ca="1" si="102"/>
        <v>2</v>
      </c>
      <c r="F739" cm="1">
        <f t="array" aca="1" ref="F739" ca="1">INDEX($S$2:$S$31, RANDBETWEEN(1, COUNTA($S$2:$S$31)))</f>
        <v>65000</v>
      </c>
      <c r="G739" cm="1">
        <f t="array" aca="1" ref="G739" ca="1">INDEX($S$2:$S$31, RANDBETWEEN(1, COUNTA($S$2:$S$31)))</f>
        <v>65000</v>
      </c>
      <c r="H739">
        <f t="shared" ca="1" si="103"/>
        <v>11</v>
      </c>
      <c r="I739">
        <f t="shared" ca="1" si="104"/>
        <v>57850</v>
      </c>
      <c r="J739" s="10" t="str">
        <f t="shared" ca="1" si="105"/>
        <v>Online</v>
      </c>
      <c r="K739" s="10">
        <f t="shared" ca="1" si="106"/>
        <v>57850</v>
      </c>
      <c r="L739" s="10">
        <f t="shared" ca="1" si="107"/>
        <v>115700</v>
      </c>
      <c r="M739" s="12" t="str" cm="1">
        <f t="array" aca="1" ref="M739" ca="1">INDEX($R$33:$R$82, RANDBETWEEN(1, COUNTA($R$33:$R$82)))</f>
        <v>NV50</v>
      </c>
      <c r="N739">
        <f t="shared" ca="1" si="108"/>
        <v>6</v>
      </c>
    </row>
    <row r="740" spans="1:14" ht="16.8" x14ac:dyDescent="0.3">
      <c r="A740" s="7" t="str">
        <f t="shared" si="100"/>
        <v>S0739</v>
      </c>
      <c r="B740" s="8">
        <f t="shared" ca="1" si="101"/>
        <v>44613</v>
      </c>
      <c r="C740" s="15" t="str" cm="1">
        <f t="array" aca="1" ref="C740" ca="1">INDEX($Q$2:$Q$31, RANDBETWEEN(1, COUNTA($Q$2:$Q$31)))</f>
        <v>Mocha</v>
      </c>
      <c r="D740" s="10" t="str" cm="1">
        <f t="array" aca="1" ref="D740" ca="1">INDEX($R$2:$R$310, RANDBETWEEN(1, COUNTA($Q$2:$Q$310)))</f>
        <v>M</v>
      </c>
      <c r="E740">
        <f t="shared" ca="1" si="102"/>
        <v>5</v>
      </c>
      <c r="F740" cm="1">
        <f t="array" aca="1" ref="F740" ca="1">INDEX($S$2:$S$31, RANDBETWEEN(1, COUNTA($S$2:$S$31)))</f>
        <v>75000</v>
      </c>
      <c r="G740" cm="1">
        <f t="array" aca="1" ref="G740" ca="1">INDEX($S$2:$S$31, RANDBETWEEN(1, COUNTA($S$2:$S$31)))</f>
        <v>75000</v>
      </c>
      <c r="H740">
        <f t="shared" ca="1" si="103"/>
        <v>5</v>
      </c>
      <c r="I740">
        <f t="shared" ca="1" si="104"/>
        <v>71250</v>
      </c>
      <c r="J740" s="10" t="str">
        <f t="shared" ca="1" si="105"/>
        <v>Online</v>
      </c>
      <c r="K740" s="10">
        <f t="shared" ca="1" si="106"/>
        <v>71250</v>
      </c>
      <c r="L740" s="10">
        <f t="shared" ca="1" si="107"/>
        <v>356250</v>
      </c>
      <c r="M740" s="12" t="str" cm="1">
        <f t="array" aca="1" ref="M740" ca="1">INDEX($R$33:$R$82, RANDBETWEEN(1, COUNTA($R$33:$R$82)))</f>
        <v>NV36</v>
      </c>
      <c r="N740">
        <f t="shared" ca="1" si="108"/>
        <v>2</v>
      </c>
    </row>
    <row r="741" spans="1:14" ht="16.8" x14ac:dyDescent="0.3">
      <c r="A741" s="7" t="str">
        <f t="shared" si="100"/>
        <v>S0740</v>
      </c>
      <c r="B741" s="8">
        <f t="shared" ca="1" si="101"/>
        <v>44614</v>
      </c>
      <c r="C741" s="15" t="str" cm="1">
        <f t="array" aca="1" ref="C741" ca="1">INDEX($Q$2:$Q$31, RANDBETWEEN(1, COUNTA($Q$2:$Q$31)))</f>
        <v>Latte</v>
      </c>
      <c r="D741" s="10" t="str" cm="1">
        <f t="array" aca="1" ref="D741" ca="1">INDEX($R$2:$R$310, RANDBETWEEN(1, COUNTA($Q$2:$Q$310)))</f>
        <v>M</v>
      </c>
      <c r="E741">
        <f t="shared" ca="1" si="102"/>
        <v>4</v>
      </c>
      <c r="F741" cm="1">
        <f t="array" aca="1" ref="F741" ca="1">INDEX($S$2:$S$31, RANDBETWEEN(1, COUNTA($S$2:$S$31)))</f>
        <v>59000</v>
      </c>
      <c r="G741" cm="1">
        <f t="array" aca="1" ref="G741" ca="1">INDEX($S$2:$S$31, RANDBETWEEN(1, COUNTA($S$2:$S$31)))</f>
        <v>59000</v>
      </c>
      <c r="H741">
        <f t="shared" ca="1" si="103"/>
        <v>8</v>
      </c>
      <c r="I741">
        <f t="shared" ca="1" si="104"/>
        <v>59000</v>
      </c>
      <c r="J741" s="10" t="str">
        <f t="shared" ca="1" si="105"/>
        <v>Offline</v>
      </c>
      <c r="K741" s="10">
        <f t="shared" ca="1" si="106"/>
        <v>59000</v>
      </c>
      <c r="L741" s="10">
        <f t="shared" ca="1" si="107"/>
        <v>236000</v>
      </c>
      <c r="M741" s="12" t="str" cm="1">
        <f t="array" aca="1" ref="M741" ca="1">INDEX($R$33:$R$82, RANDBETWEEN(1, COUNTA($R$33:$R$82)))</f>
        <v>NV49</v>
      </c>
      <c r="N741">
        <f t="shared" ca="1" si="108"/>
        <v>32</v>
      </c>
    </row>
    <row r="742" spans="1:14" ht="16.8" x14ac:dyDescent="0.3">
      <c r="A742" s="7" t="str">
        <f t="shared" si="100"/>
        <v>S0741</v>
      </c>
      <c r="B742" s="8">
        <f t="shared" ca="1" si="101"/>
        <v>44544</v>
      </c>
      <c r="C742" s="15" t="str" cm="1">
        <f t="array" aca="1" ref="C742" ca="1">INDEX($Q$2:$Q$31, RANDBETWEEN(1, COUNTA($Q$2:$Q$31)))</f>
        <v>Iced Black Coffee</v>
      </c>
      <c r="D742" s="10" t="str" cm="1">
        <f t="array" aca="1" ref="D742" ca="1">INDEX($R$2:$R$310, RANDBETWEEN(1, COUNTA($Q$2:$Q$310)))</f>
        <v>S</v>
      </c>
      <c r="E742">
        <f t="shared" ca="1" si="102"/>
        <v>1</v>
      </c>
      <c r="F742" cm="1">
        <f t="array" aca="1" ref="F742" ca="1">INDEX($S$2:$S$31, RANDBETWEEN(1, COUNTA($S$2:$S$31)))</f>
        <v>59000</v>
      </c>
      <c r="G742" cm="1">
        <f t="array" aca="1" ref="G742" ca="1">INDEX($S$2:$S$31, RANDBETWEEN(1, COUNTA($S$2:$S$31)))</f>
        <v>69000</v>
      </c>
      <c r="H742">
        <f t="shared" ca="1" si="103"/>
        <v>10</v>
      </c>
      <c r="I742">
        <f t="shared" ca="1" si="104"/>
        <v>69000</v>
      </c>
      <c r="J742" s="10" t="str">
        <f t="shared" ca="1" si="105"/>
        <v>Offline</v>
      </c>
      <c r="K742" s="10">
        <f t="shared" ca="1" si="106"/>
        <v>69000</v>
      </c>
      <c r="L742" s="10">
        <f t="shared" ca="1" si="107"/>
        <v>69000</v>
      </c>
      <c r="M742" s="12" t="str" cm="1">
        <f t="array" aca="1" ref="M742" ca="1">INDEX($R$33:$R$82, RANDBETWEEN(1, COUNTA($R$33:$R$82)))</f>
        <v>NV15</v>
      </c>
      <c r="N742">
        <f t="shared" ca="1" si="108"/>
        <v>27</v>
      </c>
    </row>
    <row r="743" spans="1:14" ht="16.8" x14ac:dyDescent="0.3">
      <c r="A743" s="7" t="str">
        <f t="shared" si="100"/>
        <v>S0742</v>
      </c>
      <c r="B743" s="8">
        <f t="shared" ca="1" si="101"/>
        <v>44291</v>
      </c>
      <c r="C743" s="15" t="str" cm="1">
        <f t="array" aca="1" ref="C743" ca="1">INDEX($Q$2:$Q$31, RANDBETWEEN(1, COUNTA($Q$2:$Q$31)))</f>
        <v>Cookies &amp; Cream</v>
      </c>
      <c r="D743" s="10" t="str" cm="1">
        <f t="array" aca="1" ref="D743" ca="1">INDEX($R$2:$R$310, RANDBETWEEN(1, COUNTA($Q$2:$Q$310)))</f>
        <v>S</v>
      </c>
      <c r="E743">
        <f t="shared" ca="1" si="102"/>
        <v>3</v>
      </c>
      <c r="F743" cm="1">
        <f t="array" aca="1" ref="F743" ca="1">INDEX($S$2:$S$31, RANDBETWEEN(1, COUNTA($S$2:$S$31)))</f>
        <v>55000</v>
      </c>
      <c r="G743" cm="1">
        <f t="array" aca="1" ref="G743" ca="1">INDEX($S$2:$S$31, RANDBETWEEN(1, COUNTA($S$2:$S$31)))</f>
        <v>59000</v>
      </c>
      <c r="H743">
        <f t="shared" ca="1" si="103"/>
        <v>10</v>
      </c>
      <c r="I743">
        <f t="shared" ca="1" si="104"/>
        <v>59000</v>
      </c>
      <c r="J743" s="10" t="str">
        <f t="shared" ca="1" si="105"/>
        <v>Offline</v>
      </c>
      <c r="K743" s="10">
        <f t="shared" ca="1" si="106"/>
        <v>59000</v>
      </c>
      <c r="L743" s="10">
        <f t="shared" ca="1" si="107"/>
        <v>177000</v>
      </c>
      <c r="M743" s="12" t="str" cm="1">
        <f t="array" aca="1" ref="M743" ca="1">INDEX($R$33:$R$82, RANDBETWEEN(1, COUNTA($R$33:$R$82)))</f>
        <v>NV5</v>
      </c>
      <c r="N743">
        <f t="shared" ca="1" si="108"/>
        <v>5</v>
      </c>
    </row>
    <row r="744" spans="1:14" ht="16.8" x14ac:dyDescent="0.3">
      <c r="A744" s="7" t="str">
        <f t="shared" si="100"/>
        <v>S0743</v>
      </c>
      <c r="B744" s="8">
        <f t="shared" ca="1" si="101"/>
        <v>44479</v>
      </c>
      <c r="C744" s="15" t="str" cm="1">
        <f t="array" aca="1" ref="C744" ca="1">INDEX($Q$2:$Q$31, RANDBETWEEN(1, COUNTA($Q$2:$Q$31)))</f>
        <v>Iced Black Coffee</v>
      </c>
      <c r="D744" s="10" t="str" cm="1">
        <f t="array" aca="1" ref="D744" ca="1">INDEX($R$2:$R$310, RANDBETWEEN(1, COUNTA($Q$2:$Q$310)))</f>
        <v>L</v>
      </c>
      <c r="E744">
        <f t="shared" ca="1" si="102"/>
        <v>1</v>
      </c>
      <c r="F744" cm="1">
        <f t="array" aca="1" ref="F744" ca="1">INDEX($S$2:$S$31, RANDBETWEEN(1, COUNTA($S$2:$S$31)))</f>
        <v>69000</v>
      </c>
      <c r="G744" cm="1">
        <f t="array" aca="1" ref="G744" ca="1">INDEX($S$2:$S$31, RANDBETWEEN(1, COUNTA($S$2:$S$31)))</f>
        <v>69000</v>
      </c>
      <c r="H744">
        <f t="shared" ca="1" si="103"/>
        <v>10</v>
      </c>
      <c r="I744">
        <f t="shared" ca="1" si="104"/>
        <v>62100</v>
      </c>
      <c r="J744" s="10" t="str">
        <f t="shared" ca="1" si="105"/>
        <v>Online</v>
      </c>
      <c r="K744" s="10">
        <f t="shared" ca="1" si="106"/>
        <v>62100</v>
      </c>
      <c r="L744" s="10">
        <f t="shared" ca="1" si="107"/>
        <v>62100</v>
      </c>
      <c r="M744" s="12" t="str" cm="1">
        <f t="array" aca="1" ref="M744" ca="1">INDEX($R$33:$R$82, RANDBETWEEN(1, COUNTA($R$33:$R$82)))</f>
        <v>NV39</v>
      </c>
      <c r="N744">
        <f t="shared" ca="1" si="108"/>
        <v>14</v>
      </c>
    </row>
    <row r="745" spans="1:14" ht="16.8" x14ac:dyDescent="0.3">
      <c r="A745" s="7" t="str">
        <f t="shared" si="100"/>
        <v>S0744</v>
      </c>
      <c r="B745" s="8">
        <f t="shared" ca="1" si="101"/>
        <v>44589</v>
      </c>
      <c r="C745" s="15" t="str" cm="1">
        <f t="array" aca="1" ref="C745" ca="1">INDEX($Q$2:$Q$31, RANDBETWEEN(1, COUNTA($Q$2:$Q$31)))</f>
        <v>Classic Phin Freeze</v>
      </c>
      <c r="D745" s="10" t="str" cm="1">
        <f t="array" aca="1" ref="D745" ca="1">INDEX($R$2:$R$310, RANDBETWEEN(1, COUNTA($Q$2:$Q$310)))</f>
        <v>L</v>
      </c>
      <c r="E745">
        <f t="shared" ca="1" si="102"/>
        <v>4</v>
      </c>
      <c r="F745" cm="1">
        <f t="array" aca="1" ref="F745" ca="1">INDEX($S$2:$S$31, RANDBETWEEN(1, COUNTA($S$2:$S$31)))</f>
        <v>39000</v>
      </c>
      <c r="G745" cm="1">
        <f t="array" aca="1" ref="G745" ca="1">INDEX($S$2:$S$31, RANDBETWEEN(1, COUNTA($S$2:$S$31)))</f>
        <v>59000</v>
      </c>
      <c r="H745">
        <f t="shared" ca="1" si="103"/>
        <v>9</v>
      </c>
      <c r="I745">
        <f t="shared" ca="1" si="104"/>
        <v>59000</v>
      </c>
      <c r="J745" s="10" t="str">
        <f t="shared" ca="1" si="105"/>
        <v>Offline</v>
      </c>
      <c r="K745" s="10">
        <f t="shared" ca="1" si="106"/>
        <v>59000</v>
      </c>
      <c r="L745" s="10">
        <f t="shared" ca="1" si="107"/>
        <v>236000</v>
      </c>
      <c r="M745" s="12" t="str" cm="1">
        <f t="array" aca="1" ref="M745" ca="1">INDEX($R$33:$R$82, RANDBETWEEN(1, COUNTA($R$33:$R$82)))</f>
        <v>NV47</v>
      </c>
      <c r="N745">
        <f t="shared" ca="1" si="108"/>
        <v>51</v>
      </c>
    </row>
    <row r="746" spans="1:14" ht="16.8" x14ac:dyDescent="0.3">
      <c r="A746" s="7" t="str">
        <f t="shared" si="100"/>
        <v>S0745</v>
      </c>
      <c r="B746" s="8">
        <f t="shared" ca="1" si="101"/>
        <v>45110</v>
      </c>
      <c r="C746" s="15" t="str" cm="1">
        <f t="array" aca="1" ref="C746" ca="1">INDEX($Q$2:$Q$31, RANDBETWEEN(1, COUNTA($Q$2:$Q$31)))</f>
        <v>Cookies &amp; Cream</v>
      </c>
      <c r="D746" s="10" t="str" cm="1">
        <f t="array" aca="1" ref="D746" ca="1">INDEX($R$2:$R$310, RANDBETWEEN(1, COUNTA($Q$2:$Q$310)))</f>
        <v>S</v>
      </c>
      <c r="E746">
        <f t="shared" ca="1" si="102"/>
        <v>2</v>
      </c>
      <c r="F746" cm="1">
        <f t="array" aca="1" ref="F746" ca="1">INDEX($S$2:$S$31, RANDBETWEEN(1, COUNTA($S$2:$S$31)))</f>
        <v>59000</v>
      </c>
      <c r="G746" cm="1">
        <f t="array" aca="1" ref="G746" ca="1">INDEX($S$2:$S$31, RANDBETWEEN(1, COUNTA($S$2:$S$31)))</f>
        <v>65000</v>
      </c>
      <c r="H746">
        <f t="shared" ca="1" si="103"/>
        <v>13</v>
      </c>
      <c r="I746">
        <f t="shared" ca="1" si="104"/>
        <v>51330</v>
      </c>
      <c r="J746" s="10" t="str">
        <f t="shared" ca="1" si="105"/>
        <v>Online</v>
      </c>
      <c r="K746" s="10">
        <f t="shared" ca="1" si="106"/>
        <v>51330</v>
      </c>
      <c r="L746" s="10">
        <f t="shared" ca="1" si="107"/>
        <v>102660</v>
      </c>
      <c r="M746" s="12" t="str" cm="1">
        <f t="array" aca="1" ref="M746" ca="1">INDEX($R$33:$R$82, RANDBETWEEN(1, COUNTA($R$33:$R$82)))</f>
        <v>NV34</v>
      </c>
      <c r="N746">
        <f t="shared" ca="1" si="108"/>
        <v>3</v>
      </c>
    </row>
    <row r="747" spans="1:14" ht="16.8" x14ac:dyDescent="0.3">
      <c r="A747" s="7" t="str">
        <f t="shared" si="100"/>
        <v>S0746</v>
      </c>
      <c r="B747" s="8">
        <f t="shared" ca="1" si="101"/>
        <v>45105</v>
      </c>
      <c r="C747" s="15" t="str" cm="1">
        <f t="array" aca="1" ref="C747" ca="1">INDEX($Q$2:$Q$31, RANDBETWEEN(1, COUNTA($Q$2:$Q$31)))</f>
        <v>Mocha</v>
      </c>
      <c r="D747" s="10" t="str" cm="1">
        <f t="array" aca="1" ref="D747" ca="1">INDEX($R$2:$R$310, RANDBETWEEN(1, COUNTA($Q$2:$Q$310)))</f>
        <v>M</v>
      </c>
      <c r="E747">
        <f t="shared" ca="1" si="102"/>
        <v>3</v>
      </c>
      <c r="F747" cm="1">
        <f t="array" aca="1" ref="F747" ca="1">INDEX($S$2:$S$31, RANDBETWEEN(1, COUNTA($S$2:$S$31)))</f>
        <v>75000</v>
      </c>
      <c r="G747" cm="1">
        <f t="array" aca="1" ref="G747" ca="1">INDEX($S$2:$S$31, RANDBETWEEN(1, COUNTA($S$2:$S$31)))</f>
        <v>69000</v>
      </c>
      <c r="H747">
        <f t="shared" ca="1" si="103"/>
        <v>11</v>
      </c>
      <c r="I747">
        <f t="shared" ca="1" si="104"/>
        <v>66750</v>
      </c>
      <c r="J747" s="10" t="str">
        <f t="shared" ca="1" si="105"/>
        <v>Online</v>
      </c>
      <c r="K747" s="10">
        <f t="shared" ca="1" si="106"/>
        <v>66750</v>
      </c>
      <c r="L747" s="10">
        <f t="shared" ca="1" si="107"/>
        <v>200250</v>
      </c>
      <c r="M747" s="12" t="str" cm="1">
        <f t="array" aca="1" ref="M747" ca="1">INDEX($R$33:$R$82, RANDBETWEEN(1, COUNTA($R$33:$R$82)))</f>
        <v>NV36</v>
      </c>
      <c r="N747">
        <f t="shared" ca="1" si="108"/>
        <v>23</v>
      </c>
    </row>
    <row r="748" spans="1:14" ht="16.8" x14ac:dyDescent="0.3">
      <c r="A748" s="7" t="str">
        <f t="shared" si="100"/>
        <v>S0747</v>
      </c>
      <c r="B748" s="8">
        <f t="shared" ca="1" si="101"/>
        <v>45268</v>
      </c>
      <c r="C748" s="15" t="str" cm="1">
        <f t="array" aca="1" ref="C748" ca="1">INDEX($Q$2:$Q$31, RANDBETWEEN(1, COUNTA($Q$2:$Q$31)))</f>
        <v>Americano</v>
      </c>
      <c r="D748" s="10" t="str" cm="1">
        <f t="array" aca="1" ref="D748" ca="1">INDEX($R$2:$R$310, RANDBETWEEN(1, COUNTA($Q$2:$Q$310)))</f>
        <v>M</v>
      </c>
      <c r="E748">
        <f t="shared" ca="1" si="102"/>
        <v>2</v>
      </c>
      <c r="F748" cm="1">
        <f t="array" aca="1" ref="F748" ca="1">INDEX($S$2:$S$31, RANDBETWEEN(1, COUNTA($S$2:$S$31)))</f>
        <v>65000</v>
      </c>
      <c r="G748" cm="1">
        <f t="array" aca="1" ref="G748" ca="1">INDEX($S$2:$S$31, RANDBETWEEN(1, COUNTA($S$2:$S$31)))</f>
        <v>59000</v>
      </c>
      <c r="H748">
        <f t="shared" ca="1" si="103"/>
        <v>6</v>
      </c>
      <c r="I748">
        <f t="shared" ca="1" si="104"/>
        <v>59000</v>
      </c>
      <c r="J748" s="10" t="str">
        <f t="shared" ca="1" si="105"/>
        <v>Offline</v>
      </c>
      <c r="K748" s="10">
        <f t="shared" ca="1" si="106"/>
        <v>59000</v>
      </c>
      <c r="L748" s="10">
        <f t="shared" ca="1" si="107"/>
        <v>118000</v>
      </c>
      <c r="M748" s="12" t="str" cm="1">
        <f t="array" aca="1" ref="M748" ca="1">INDEX($R$33:$R$82, RANDBETWEEN(1, COUNTA($R$33:$R$82)))</f>
        <v>NV34</v>
      </c>
      <c r="N748">
        <f t="shared" ca="1" si="108"/>
        <v>13</v>
      </c>
    </row>
    <row r="749" spans="1:14" ht="16.8" x14ac:dyDescent="0.3">
      <c r="A749" s="7" t="str">
        <f t="shared" si="100"/>
        <v>S0748</v>
      </c>
      <c r="B749" s="8">
        <f t="shared" ca="1" si="101"/>
        <v>44531</v>
      </c>
      <c r="C749" s="15" t="str" cm="1">
        <f t="array" aca="1" ref="C749" ca="1">INDEX($Q$2:$Q$31, RANDBETWEEN(1, COUNTA($Q$2:$Q$31)))</f>
        <v>Americano</v>
      </c>
      <c r="D749" s="10" t="str" cm="1">
        <f t="array" aca="1" ref="D749" ca="1">INDEX($R$2:$R$310, RANDBETWEEN(1, COUNTA($Q$2:$Q$310)))</f>
        <v>S</v>
      </c>
      <c r="E749">
        <f t="shared" ca="1" si="102"/>
        <v>3</v>
      </c>
      <c r="F749" cm="1">
        <f t="array" aca="1" ref="F749" ca="1">INDEX($S$2:$S$31, RANDBETWEEN(1, COUNTA($S$2:$S$31)))</f>
        <v>69000</v>
      </c>
      <c r="G749" cm="1">
        <f t="array" aca="1" ref="G749" ca="1">INDEX($S$2:$S$31, RANDBETWEEN(1, COUNTA($S$2:$S$31)))</f>
        <v>59000</v>
      </c>
      <c r="H749">
        <f t="shared" ca="1" si="103"/>
        <v>8</v>
      </c>
      <c r="I749">
        <f t="shared" ca="1" si="104"/>
        <v>63480</v>
      </c>
      <c r="J749" s="10" t="str">
        <f t="shared" ca="1" si="105"/>
        <v>Online</v>
      </c>
      <c r="K749" s="10">
        <f t="shared" ca="1" si="106"/>
        <v>63480</v>
      </c>
      <c r="L749" s="10">
        <f t="shared" ca="1" si="107"/>
        <v>190440</v>
      </c>
      <c r="M749" s="12" t="str" cm="1">
        <f t="array" aca="1" ref="M749" ca="1">INDEX($R$33:$R$82, RANDBETWEEN(1, COUNTA($R$33:$R$82)))</f>
        <v>NV45</v>
      </c>
      <c r="N749">
        <f t="shared" ca="1" si="108"/>
        <v>25</v>
      </c>
    </row>
    <row r="750" spans="1:14" ht="16.8" x14ac:dyDescent="0.3">
      <c r="A750" s="7" t="str">
        <f t="shared" si="100"/>
        <v>S0749</v>
      </c>
      <c r="B750" s="8">
        <f t="shared" ca="1" si="101"/>
        <v>44830</v>
      </c>
      <c r="C750" s="15" t="str" cm="1">
        <f t="array" aca="1" ref="C750" ca="1">INDEX($Q$2:$Q$31, RANDBETWEEN(1, COUNTA($Q$2:$Q$31)))</f>
        <v>Cookies &amp; Cream</v>
      </c>
      <c r="D750" s="10" t="str" cm="1">
        <f t="array" aca="1" ref="D750" ca="1">INDEX($R$2:$R$310, RANDBETWEEN(1, COUNTA($Q$2:$Q$310)))</f>
        <v>M</v>
      </c>
      <c r="E750">
        <f t="shared" ca="1" si="102"/>
        <v>5</v>
      </c>
      <c r="F750" cm="1">
        <f t="array" aca="1" ref="F750" ca="1">INDEX($S$2:$S$31, RANDBETWEEN(1, COUNTA($S$2:$S$31)))</f>
        <v>55000</v>
      </c>
      <c r="G750" cm="1">
        <f t="array" aca="1" ref="G750" ca="1">INDEX($S$2:$S$31, RANDBETWEEN(1, COUNTA($S$2:$S$31)))</f>
        <v>69000</v>
      </c>
      <c r="H750">
        <f t="shared" ca="1" si="103"/>
        <v>6</v>
      </c>
      <c r="I750">
        <f t="shared" ca="1" si="104"/>
        <v>69000</v>
      </c>
      <c r="J750" s="10" t="str">
        <f t="shared" ca="1" si="105"/>
        <v>Offline</v>
      </c>
      <c r="K750" s="10">
        <f t="shared" ca="1" si="106"/>
        <v>69000</v>
      </c>
      <c r="L750" s="10">
        <f t="shared" ca="1" si="107"/>
        <v>345000</v>
      </c>
      <c r="M750" s="12" t="str" cm="1">
        <f t="array" aca="1" ref="M750" ca="1">INDEX($R$33:$R$82, RANDBETWEEN(1, COUNTA($R$33:$R$82)))</f>
        <v>NV9</v>
      </c>
      <c r="N750">
        <f t="shared" ca="1" si="108"/>
        <v>42</v>
      </c>
    </row>
    <row r="751" spans="1:14" ht="16.8" x14ac:dyDescent="0.3">
      <c r="A751" s="7" t="str">
        <f t="shared" si="100"/>
        <v>S0750</v>
      </c>
      <c r="B751" s="8">
        <f t="shared" ca="1" si="101"/>
        <v>44413</v>
      </c>
      <c r="C751" s="15" t="str" cm="1">
        <f t="array" aca="1" ref="C751" ca="1">INDEX($Q$2:$Q$31, RANDBETWEEN(1, COUNTA($Q$2:$Q$31)))</f>
        <v xml:space="preserve">Green Tea Freeze </v>
      </c>
      <c r="D751" s="10" t="str" cm="1">
        <f t="array" aca="1" ref="D751" ca="1">INDEX($R$2:$R$310, RANDBETWEEN(1, COUNTA($Q$2:$Q$310)))</f>
        <v>S</v>
      </c>
      <c r="E751">
        <f t="shared" ca="1" si="102"/>
        <v>4</v>
      </c>
      <c r="F751" cm="1">
        <f t="array" aca="1" ref="F751" ca="1">INDEX($S$2:$S$31, RANDBETWEEN(1, COUNTA($S$2:$S$31)))</f>
        <v>49000</v>
      </c>
      <c r="G751" cm="1">
        <f t="array" aca="1" ref="G751" ca="1">INDEX($S$2:$S$31, RANDBETWEEN(1, COUNTA($S$2:$S$31)))</f>
        <v>75000</v>
      </c>
      <c r="H751">
        <f t="shared" ca="1" si="103"/>
        <v>6</v>
      </c>
      <c r="I751">
        <f t="shared" ca="1" si="104"/>
        <v>75000</v>
      </c>
      <c r="J751" s="10" t="str">
        <f t="shared" ca="1" si="105"/>
        <v>Offline</v>
      </c>
      <c r="K751" s="10">
        <f t="shared" ca="1" si="106"/>
        <v>75000</v>
      </c>
      <c r="L751" s="10">
        <f t="shared" ca="1" si="107"/>
        <v>300000</v>
      </c>
      <c r="M751" s="12" t="str" cm="1">
        <f t="array" aca="1" ref="M751" ca="1">INDEX($R$33:$R$82, RANDBETWEEN(1, COUNTA($R$33:$R$82)))</f>
        <v>NV19</v>
      </c>
      <c r="N751">
        <f t="shared" ca="1" si="108"/>
        <v>22</v>
      </c>
    </row>
    <row r="752" spans="1:14" ht="16.8" x14ac:dyDescent="0.3">
      <c r="A752" s="7" t="str">
        <f t="shared" si="100"/>
        <v>S0751</v>
      </c>
      <c r="B752" s="8">
        <f t="shared" ca="1" si="101"/>
        <v>45251</v>
      </c>
      <c r="C752" s="15" t="str" cm="1">
        <f t="array" aca="1" ref="C752" ca="1">INDEX($Q$2:$Q$31, RANDBETWEEN(1, COUNTA($Q$2:$Q$31)))</f>
        <v>Classic Phin Freeze</v>
      </c>
      <c r="D752" s="10" t="str" cm="1">
        <f t="array" aca="1" ref="D752" ca="1">INDEX($R$2:$R$310, RANDBETWEEN(1, COUNTA($Q$2:$Q$310)))</f>
        <v>S</v>
      </c>
      <c r="E752">
        <f t="shared" ca="1" si="102"/>
        <v>5</v>
      </c>
      <c r="F752" cm="1">
        <f t="array" aca="1" ref="F752" ca="1">INDEX($S$2:$S$31, RANDBETWEEN(1, COUNTA($S$2:$S$31)))</f>
        <v>65000</v>
      </c>
      <c r="G752" cm="1">
        <f t="array" aca="1" ref="G752" ca="1">INDEX($S$2:$S$31, RANDBETWEEN(1, COUNTA($S$2:$S$31)))</f>
        <v>29000</v>
      </c>
      <c r="H752">
        <f t="shared" ca="1" si="103"/>
        <v>13</v>
      </c>
      <c r="I752">
        <f t="shared" ca="1" si="104"/>
        <v>29000</v>
      </c>
      <c r="J752" s="10" t="str">
        <f t="shared" ca="1" si="105"/>
        <v>Offline</v>
      </c>
      <c r="K752" s="10">
        <f t="shared" ca="1" si="106"/>
        <v>29000</v>
      </c>
      <c r="L752" s="10">
        <f t="shared" ca="1" si="107"/>
        <v>145000</v>
      </c>
      <c r="M752" s="12" t="str" cm="1">
        <f t="array" aca="1" ref="M752" ca="1">INDEX($R$33:$R$82, RANDBETWEEN(1, COUNTA($R$33:$R$82)))</f>
        <v>NV35</v>
      </c>
      <c r="N752">
        <f t="shared" ca="1" si="108"/>
        <v>32</v>
      </c>
    </row>
    <row r="753" spans="1:14" ht="16.8" x14ac:dyDescent="0.3">
      <c r="A753" s="7" t="str">
        <f t="shared" si="100"/>
        <v>S0752</v>
      </c>
      <c r="B753" s="8">
        <f t="shared" ca="1" si="101"/>
        <v>44374</v>
      </c>
      <c r="C753" s="15" t="str" cm="1">
        <f t="array" aca="1" ref="C753" ca="1">INDEX($Q$2:$Q$31, RANDBETWEEN(1, COUNTA($Q$2:$Q$31)))</f>
        <v>Mocha</v>
      </c>
      <c r="D753" s="10" t="str" cm="1">
        <f t="array" aca="1" ref="D753" ca="1">INDEX($R$2:$R$310, RANDBETWEEN(1, COUNTA($Q$2:$Q$310)))</f>
        <v>L</v>
      </c>
      <c r="E753">
        <f t="shared" ca="1" si="102"/>
        <v>4</v>
      </c>
      <c r="F753" cm="1">
        <f t="array" aca="1" ref="F753" ca="1">INDEX($S$2:$S$31, RANDBETWEEN(1, COUNTA($S$2:$S$31)))</f>
        <v>39000</v>
      </c>
      <c r="G753" cm="1">
        <f t="array" aca="1" ref="G753" ca="1">INDEX($S$2:$S$31, RANDBETWEEN(1, COUNTA($S$2:$S$31)))</f>
        <v>65000</v>
      </c>
      <c r="H753">
        <f t="shared" ca="1" si="103"/>
        <v>14</v>
      </c>
      <c r="I753">
        <f t="shared" ca="1" si="104"/>
        <v>33540</v>
      </c>
      <c r="J753" s="10" t="str">
        <f t="shared" ca="1" si="105"/>
        <v>Online</v>
      </c>
      <c r="K753" s="10">
        <f t="shared" ca="1" si="106"/>
        <v>33540</v>
      </c>
      <c r="L753" s="10">
        <f t="shared" ca="1" si="107"/>
        <v>134160</v>
      </c>
      <c r="M753" s="12" t="str" cm="1">
        <f t="array" aca="1" ref="M753" ca="1">INDEX($R$33:$R$82, RANDBETWEEN(1, COUNTA($R$33:$R$82)))</f>
        <v>NV24</v>
      </c>
      <c r="N753">
        <f t="shared" ca="1" si="108"/>
        <v>6</v>
      </c>
    </row>
    <row r="754" spans="1:14" ht="16.8" x14ac:dyDescent="0.3">
      <c r="A754" s="7" t="str">
        <f t="shared" si="100"/>
        <v>S0753</v>
      </c>
      <c r="B754" s="8">
        <f t="shared" ca="1" si="101"/>
        <v>45031</v>
      </c>
      <c r="C754" s="15" t="str" cm="1">
        <f t="array" aca="1" ref="C754" ca="1">INDEX($Q$2:$Q$31, RANDBETWEEN(1, COUNTA($Q$2:$Q$31)))</f>
        <v>Americano</v>
      </c>
      <c r="D754" s="10" t="str" cm="1">
        <f t="array" aca="1" ref="D754" ca="1">INDEX($R$2:$R$310, RANDBETWEEN(1, COUNTA($Q$2:$Q$310)))</f>
        <v>L</v>
      </c>
      <c r="E754">
        <f t="shared" ca="1" si="102"/>
        <v>1</v>
      </c>
      <c r="F754" cm="1">
        <f t="array" aca="1" ref="F754" ca="1">INDEX($S$2:$S$31, RANDBETWEEN(1, COUNTA($S$2:$S$31)))</f>
        <v>29000</v>
      </c>
      <c r="G754" cm="1">
        <f t="array" aca="1" ref="G754" ca="1">INDEX($S$2:$S$31, RANDBETWEEN(1, COUNTA($S$2:$S$31)))</f>
        <v>65000</v>
      </c>
      <c r="H754">
        <f t="shared" ca="1" si="103"/>
        <v>11</v>
      </c>
      <c r="I754">
        <f t="shared" ca="1" si="104"/>
        <v>65000</v>
      </c>
      <c r="J754" s="10" t="str">
        <f t="shared" ca="1" si="105"/>
        <v>Offline</v>
      </c>
      <c r="K754" s="10">
        <f t="shared" ca="1" si="106"/>
        <v>65000</v>
      </c>
      <c r="L754" s="10">
        <f t="shared" ca="1" si="107"/>
        <v>65000</v>
      </c>
      <c r="M754" s="12" t="str" cm="1">
        <f t="array" aca="1" ref="M754" ca="1">INDEX($R$33:$R$82, RANDBETWEEN(1, COUNTA($R$33:$R$82)))</f>
        <v>NV42</v>
      </c>
      <c r="N754">
        <f t="shared" ca="1" si="108"/>
        <v>4</v>
      </c>
    </row>
    <row r="755" spans="1:14" ht="16.8" x14ac:dyDescent="0.3">
      <c r="A755" s="7" t="str">
        <f t="shared" si="100"/>
        <v>S0754</v>
      </c>
      <c r="B755" s="8">
        <f t="shared" ca="1" si="101"/>
        <v>44724</v>
      </c>
      <c r="C755" s="15" t="str" cm="1">
        <f t="array" aca="1" ref="C755" ca="1">INDEX($Q$2:$Q$31, RANDBETWEEN(1, COUNTA($Q$2:$Q$31)))</f>
        <v>Latte</v>
      </c>
      <c r="D755" s="10" t="str" cm="1">
        <f t="array" aca="1" ref="D755" ca="1">INDEX($R$2:$R$310, RANDBETWEEN(1, COUNTA($Q$2:$Q$310)))</f>
        <v>S</v>
      </c>
      <c r="E755">
        <f t="shared" ca="1" si="102"/>
        <v>5</v>
      </c>
      <c r="F755" cm="1">
        <f t="array" aca="1" ref="F755" ca="1">INDEX($S$2:$S$31, RANDBETWEEN(1, COUNTA($S$2:$S$31)))</f>
        <v>45000</v>
      </c>
      <c r="G755" cm="1">
        <f t="array" aca="1" ref="G755" ca="1">INDEX($S$2:$S$31, RANDBETWEEN(1, COUNTA($S$2:$S$31)))</f>
        <v>65000</v>
      </c>
      <c r="H755">
        <f t="shared" ca="1" si="103"/>
        <v>11</v>
      </c>
      <c r="I755">
        <f t="shared" ca="1" si="104"/>
        <v>65000</v>
      </c>
      <c r="J755" s="10" t="str">
        <f t="shared" ca="1" si="105"/>
        <v>Offline</v>
      </c>
      <c r="K755" s="10">
        <f t="shared" ca="1" si="106"/>
        <v>65000</v>
      </c>
      <c r="L755" s="10">
        <f t="shared" ca="1" si="107"/>
        <v>325000</v>
      </c>
      <c r="M755" s="12" t="str" cm="1">
        <f t="array" aca="1" ref="M755" ca="1">INDEX($R$33:$R$82, RANDBETWEEN(1, COUNTA($R$33:$R$82)))</f>
        <v>NV25</v>
      </c>
      <c r="N755">
        <f t="shared" ca="1" si="108"/>
        <v>38</v>
      </c>
    </row>
    <row r="756" spans="1:14" ht="16.8" x14ac:dyDescent="0.3">
      <c r="A756" s="7" t="str">
        <f t="shared" si="100"/>
        <v>S0755</v>
      </c>
      <c r="B756" s="8">
        <f t="shared" ca="1" si="101"/>
        <v>44518</v>
      </c>
      <c r="C756" s="15" t="str" cm="1">
        <f t="array" aca="1" ref="C756" ca="1">INDEX($Q$2:$Q$31, RANDBETWEEN(1, COUNTA($Q$2:$Q$31)))</f>
        <v>Mocha</v>
      </c>
      <c r="D756" s="10" t="str" cm="1">
        <f t="array" aca="1" ref="D756" ca="1">INDEX($R$2:$R$310, RANDBETWEEN(1, COUNTA($Q$2:$Q$310)))</f>
        <v>L</v>
      </c>
      <c r="E756">
        <f t="shared" ca="1" si="102"/>
        <v>1</v>
      </c>
      <c r="F756" cm="1">
        <f t="array" aca="1" ref="F756" ca="1">INDEX($S$2:$S$31, RANDBETWEEN(1, COUNTA($S$2:$S$31)))</f>
        <v>75000</v>
      </c>
      <c r="G756" cm="1">
        <f t="array" aca="1" ref="G756" ca="1">INDEX($S$2:$S$31, RANDBETWEEN(1, COUNTA($S$2:$S$31)))</f>
        <v>35000</v>
      </c>
      <c r="H756">
        <f t="shared" ca="1" si="103"/>
        <v>14</v>
      </c>
      <c r="I756">
        <f t="shared" ca="1" si="104"/>
        <v>35000</v>
      </c>
      <c r="J756" s="10" t="str">
        <f t="shared" ca="1" si="105"/>
        <v>Offline</v>
      </c>
      <c r="K756" s="10">
        <f t="shared" ca="1" si="106"/>
        <v>35000</v>
      </c>
      <c r="L756" s="10">
        <f t="shared" ca="1" si="107"/>
        <v>35000</v>
      </c>
      <c r="M756" s="12" t="str" cm="1">
        <f t="array" aca="1" ref="M756" ca="1">INDEX($R$33:$R$82, RANDBETWEEN(1, COUNTA($R$33:$R$82)))</f>
        <v>NV9</v>
      </c>
      <c r="N756">
        <f t="shared" ca="1" si="108"/>
        <v>9</v>
      </c>
    </row>
    <row r="757" spans="1:14" ht="16.8" x14ac:dyDescent="0.3">
      <c r="A757" s="7" t="str">
        <f t="shared" si="100"/>
        <v>S0756</v>
      </c>
      <c r="B757" s="8">
        <f t="shared" ca="1" si="101"/>
        <v>44270</v>
      </c>
      <c r="C757" s="15" t="str" cm="1">
        <f t="array" aca="1" ref="C757" ca="1">INDEX($Q$2:$Q$31, RANDBETWEEN(1, COUNTA($Q$2:$Q$31)))</f>
        <v>Iced Black Coffee</v>
      </c>
      <c r="D757" s="10" t="str" cm="1">
        <f t="array" aca="1" ref="D757" ca="1">INDEX($R$2:$R$310, RANDBETWEEN(1, COUNTA($Q$2:$Q$310)))</f>
        <v>L</v>
      </c>
      <c r="E757">
        <f t="shared" ca="1" si="102"/>
        <v>3</v>
      </c>
      <c r="F757" cm="1">
        <f t="array" aca="1" ref="F757" ca="1">INDEX($S$2:$S$31, RANDBETWEEN(1, COUNTA($S$2:$S$31)))</f>
        <v>59000</v>
      </c>
      <c r="G757" cm="1">
        <f t="array" aca="1" ref="G757" ca="1">INDEX($S$2:$S$31, RANDBETWEEN(1, COUNTA($S$2:$S$31)))</f>
        <v>65000</v>
      </c>
      <c r="H757">
        <f t="shared" ca="1" si="103"/>
        <v>15</v>
      </c>
      <c r="I757">
        <f t="shared" ca="1" si="104"/>
        <v>65000</v>
      </c>
      <c r="J757" s="10" t="str">
        <f t="shared" ca="1" si="105"/>
        <v>Offline</v>
      </c>
      <c r="K757" s="10">
        <f t="shared" ca="1" si="106"/>
        <v>65000</v>
      </c>
      <c r="L757" s="10">
        <f t="shared" ca="1" si="107"/>
        <v>195000</v>
      </c>
      <c r="M757" s="12" t="str" cm="1">
        <f t="array" aca="1" ref="M757" ca="1">INDEX($R$33:$R$82, RANDBETWEEN(1, COUNTA($R$33:$R$82)))</f>
        <v>NV41</v>
      </c>
      <c r="N757">
        <f t="shared" ca="1" si="108"/>
        <v>12</v>
      </c>
    </row>
    <row r="758" spans="1:14" ht="16.8" x14ac:dyDescent="0.3">
      <c r="A758" s="7" t="str">
        <f t="shared" si="100"/>
        <v>S0757</v>
      </c>
      <c r="B758" s="8">
        <f t="shared" ca="1" si="101"/>
        <v>44825</v>
      </c>
      <c r="C758" s="15" t="str" cm="1">
        <f t="array" aca="1" ref="C758" ca="1">INDEX($Q$2:$Q$31, RANDBETWEEN(1, COUNTA($Q$2:$Q$31)))</f>
        <v>Iced Black Coffee</v>
      </c>
      <c r="D758" s="10" t="str" cm="1">
        <f t="array" aca="1" ref="D758" ca="1">INDEX($R$2:$R$310, RANDBETWEEN(1, COUNTA($Q$2:$Q$310)))</f>
        <v>L</v>
      </c>
      <c r="E758">
        <f t="shared" ca="1" si="102"/>
        <v>3</v>
      </c>
      <c r="F758" cm="1">
        <f t="array" aca="1" ref="F758" ca="1">INDEX($S$2:$S$31, RANDBETWEEN(1, COUNTA($S$2:$S$31)))</f>
        <v>45000</v>
      </c>
      <c r="G758" cm="1">
        <f t="array" aca="1" ref="G758" ca="1">INDEX($S$2:$S$31, RANDBETWEEN(1, COUNTA($S$2:$S$31)))</f>
        <v>59000</v>
      </c>
      <c r="H758">
        <f t="shared" ca="1" si="103"/>
        <v>7</v>
      </c>
      <c r="I758">
        <f t="shared" ca="1" si="104"/>
        <v>59000</v>
      </c>
      <c r="J758" s="10" t="str">
        <f t="shared" ca="1" si="105"/>
        <v>Offline</v>
      </c>
      <c r="K758" s="10">
        <f t="shared" ca="1" si="106"/>
        <v>59000</v>
      </c>
      <c r="L758" s="10">
        <f t="shared" ca="1" si="107"/>
        <v>177000</v>
      </c>
      <c r="M758" s="12" t="str" cm="1">
        <f t="array" aca="1" ref="M758" ca="1">INDEX($R$33:$R$82, RANDBETWEEN(1, COUNTA($R$33:$R$82)))</f>
        <v>NV38</v>
      </c>
      <c r="N758">
        <f t="shared" ca="1" si="108"/>
        <v>41</v>
      </c>
    </row>
    <row r="759" spans="1:14" ht="16.8" x14ac:dyDescent="0.3">
      <c r="A759" s="7" t="str">
        <f t="shared" si="100"/>
        <v>S0758</v>
      </c>
      <c r="B759" s="8">
        <f t="shared" ca="1" si="101"/>
        <v>44641</v>
      </c>
      <c r="C759" s="15" t="str" cm="1">
        <f t="array" aca="1" ref="C759" ca="1">INDEX($Q$2:$Q$31, RANDBETWEEN(1, COUNTA($Q$2:$Q$31)))</f>
        <v>Latte</v>
      </c>
      <c r="D759" s="10" t="str" cm="1">
        <f t="array" aca="1" ref="D759" ca="1">INDEX($R$2:$R$310, RANDBETWEEN(1, COUNTA($Q$2:$Q$310)))</f>
        <v>S</v>
      </c>
      <c r="E759">
        <f t="shared" ca="1" si="102"/>
        <v>2</v>
      </c>
      <c r="F759" cm="1">
        <f t="array" aca="1" ref="F759" ca="1">INDEX($S$2:$S$31, RANDBETWEEN(1, COUNTA($S$2:$S$31)))</f>
        <v>49000</v>
      </c>
      <c r="G759" cm="1">
        <f t="array" aca="1" ref="G759" ca="1">INDEX($S$2:$S$31, RANDBETWEEN(1, COUNTA($S$2:$S$31)))</f>
        <v>65000</v>
      </c>
      <c r="H759">
        <f t="shared" ca="1" si="103"/>
        <v>9</v>
      </c>
      <c r="I759">
        <f t="shared" ca="1" si="104"/>
        <v>65000</v>
      </c>
      <c r="J759" s="10" t="str">
        <f t="shared" ca="1" si="105"/>
        <v>Offline</v>
      </c>
      <c r="K759" s="10">
        <f t="shared" ca="1" si="106"/>
        <v>65000</v>
      </c>
      <c r="L759" s="10">
        <f t="shared" ca="1" si="107"/>
        <v>130000</v>
      </c>
      <c r="M759" s="12" t="str" cm="1">
        <f t="array" aca="1" ref="M759" ca="1">INDEX($R$33:$R$82, RANDBETWEEN(1, COUNTA($R$33:$R$82)))</f>
        <v>NV34</v>
      </c>
      <c r="N759">
        <f t="shared" ca="1" si="108"/>
        <v>37</v>
      </c>
    </row>
    <row r="760" spans="1:14" ht="16.8" x14ac:dyDescent="0.3">
      <c r="A760" s="7" t="str">
        <f t="shared" si="100"/>
        <v>S0759</v>
      </c>
      <c r="B760" s="8">
        <f t="shared" ca="1" si="101"/>
        <v>44221</v>
      </c>
      <c r="C760" s="15" t="str" cm="1">
        <f t="array" aca="1" ref="C760" ca="1">INDEX($Q$2:$Q$31, RANDBETWEEN(1, COUNTA($Q$2:$Q$31)))</f>
        <v>Cookies &amp; Cream</v>
      </c>
      <c r="D760" s="10" t="str" cm="1">
        <f t="array" aca="1" ref="D760" ca="1">INDEX($R$2:$R$310, RANDBETWEEN(1, COUNTA($Q$2:$Q$310)))</f>
        <v>M</v>
      </c>
      <c r="E760">
        <f t="shared" ca="1" si="102"/>
        <v>5</v>
      </c>
      <c r="F760" cm="1">
        <f t="array" aca="1" ref="F760" ca="1">INDEX($S$2:$S$31, RANDBETWEEN(1, COUNTA($S$2:$S$31)))</f>
        <v>59000</v>
      </c>
      <c r="G760" cm="1">
        <f t="array" aca="1" ref="G760" ca="1">INDEX($S$2:$S$31, RANDBETWEEN(1, COUNTA($S$2:$S$31)))</f>
        <v>49000</v>
      </c>
      <c r="H760">
        <f t="shared" ca="1" si="103"/>
        <v>9</v>
      </c>
      <c r="I760">
        <f t="shared" ca="1" si="104"/>
        <v>49000</v>
      </c>
      <c r="J760" s="10" t="str">
        <f t="shared" ca="1" si="105"/>
        <v>Offline</v>
      </c>
      <c r="K760" s="10">
        <f t="shared" ca="1" si="106"/>
        <v>49000</v>
      </c>
      <c r="L760" s="10">
        <f t="shared" ca="1" si="107"/>
        <v>245000</v>
      </c>
      <c r="M760" s="12" t="str" cm="1">
        <f t="array" aca="1" ref="M760" ca="1">INDEX($R$33:$R$82, RANDBETWEEN(1, COUNTA($R$33:$R$82)))</f>
        <v>NV42</v>
      </c>
      <c r="N760">
        <f t="shared" ca="1" si="108"/>
        <v>24</v>
      </c>
    </row>
    <row r="761" spans="1:14" ht="16.8" x14ac:dyDescent="0.3">
      <c r="A761" s="7" t="str">
        <f t="shared" si="100"/>
        <v>S0760</v>
      </c>
      <c r="B761" s="8">
        <f t="shared" ca="1" si="101"/>
        <v>44345</v>
      </c>
      <c r="C761" s="15" t="str" cm="1">
        <f t="array" aca="1" ref="C761" ca="1">INDEX($Q$2:$Q$31, RANDBETWEEN(1, COUNTA($Q$2:$Q$31)))</f>
        <v>Latte</v>
      </c>
      <c r="D761" s="10" t="str" cm="1">
        <f t="array" aca="1" ref="D761" ca="1">INDEX($R$2:$R$310, RANDBETWEEN(1, COUNTA($Q$2:$Q$310)))</f>
        <v>L</v>
      </c>
      <c r="E761">
        <f t="shared" ca="1" si="102"/>
        <v>2</v>
      </c>
      <c r="F761" cm="1">
        <f t="array" aca="1" ref="F761" ca="1">INDEX($S$2:$S$31, RANDBETWEEN(1, COUNTA($S$2:$S$31)))</f>
        <v>59000</v>
      </c>
      <c r="G761" cm="1">
        <f t="array" aca="1" ref="G761" ca="1">INDEX($S$2:$S$31, RANDBETWEEN(1, COUNTA($S$2:$S$31)))</f>
        <v>59000</v>
      </c>
      <c r="H761">
        <f t="shared" ca="1" si="103"/>
        <v>7</v>
      </c>
      <c r="I761">
        <f t="shared" ca="1" si="104"/>
        <v>54869.999999999993</v>
      </c>
      <c r="J761" s="10" t="str">
        <f t="shared" ca="1" si="105"/>
        <v>Online</v>
      </c>
      <c r="K761" s="10">
        <f t="shared" ca="1" si="106"/>
        <v>54869.999999999993</v>
      </c>
      <c r="L761" s="10">
        <f t="shared" ca="1" si="107"/>
        <v>109739.99999999999</v>
      </c>
      <c r="M761" s="12" t="str" cm="1">
        <f t="array" aca="1" ref="M761" ca="1">INDEX($R$33:$R$82, RANDBETWEEN(1, COUNTA($R$33:$R$82)))</f>
        <v>NV28</v>
      </c>
      <c r="N761">
        <f t="shared" ca="1" si="108"/>
        <v>22</v>
      </c>
    </row>
    <row r="762" spans="1:14" ht="16.8" x14ac:dyDescent="0.3">
      <c r="A762" s="7" t="str">
        <f t="shared" si="100"/>
        <v>S0761</v>
      </c>
      <c r="B762" s="8">
        <f t="shared" ca="1" si="101"/>
        <v>44198</v>
      </c>
      <c r="C762" s="15" t="str" cm="1">
        <f t="array" aca="1" ref="C762" ca="1">INDEX($Q$2:$Q$31, RANDBETWEEN(1, COUNTA($Q$2:$Q$31)))</f>
        <v>Latte</v>
      </c>
      <c r="D762" s="10" t="str" cm="1">
        <f t="array" aca="1" ref="D762" ca="1">INDEX($R$2:$R$310, RANDBETWEEN(1, COUNTA($Q$2:$Q$310)))</f>
        <v>L</v>
      </c>
      <c r="E762">
        <f t="shared" ca="1" si="102"/>
        <v>4</v>
      </c>
      <c r="F762" cm="1">
        <f t="array" aca="1" ref="F762" ca="1">INDEX($S$2:$S$31, RANDBETWEEN(1, COUNTA($S$2:$S$31)))</f>
        <v>59000</v>
      </c>
      <c r="G762" cm="1">
        <f t="array" aca="1" ref="G762" ca="1">INDEX($S$2:$S$31, RANDBETWEEN(1, COUNTA($S$2:$S$31)))</f>
        <v>49000</v>
      </c>
      <c r="H762">
        <f t="shared" ca="1" si="103"/>
        <v>15</v>
      </c>
      <c r="I762">
        <f t="shared" ca="1" si="104"/>
        <v>50150</v>
      </c>
      <c r="J762" s="10" t="str">
        <f t="shared" ca="1" si="105"/>
        <v>Online</v>
      </c>
      <c r="K762" s="10">
        <f t="shared" ca="1" si="106"/>
        <v>50150</v>
      </c>
      <c r="L762" s="10">
        <f t="shared" ca="1" si="107"/>
        <v>200600</v>
      </c>
      <c r="M762" s="12" t="str" cm="1">
        <f t="array" aca="1" ref="M762" ca="1">INDEX($R$33:$R$82, RANDBETWEEN(1, COUNTA($R$33:$R$82)))</f>
        <v>NV4</v>
      </c>
      <c r="N762">
        <f t="shared" ca="1" si="108"/>
        <v>30</v>
      </c>
    </row>
    <row r="763" spans="1:14" ht="16.8" x14ac:dyDescent="0.3">
      <c r="A763" s="7" t="str">
        <f t="shared" si="100"/>
        <v>S0762</v>
      </c>
      <c r="B763" s="8">
        <f t="shared" ca="1" si="101"/>
        <v>44927</v>
      </c>
      <c r="C763" s="15" t="str" cm="1">
        <f t="array" aca="1" ref="C763" ca="1">INDEX($Q$2:$Q$31, RANDBETWEEN(1, COUNTA($Q$2:$Q$31)))</f>
        <v>Americano</v>
      </c>
      <c r="D763" s="10" t="str" cm="1">
        <f t="array" aca="1" ref="D763" ca="1">INDEX($R$2:$R$310, RANDBETWEEN(1, COUNTA($Q$2:$Q$310)))</f>
        <v>L</v>
      </c>
      <c r="E763">
        <f t="shared" ca="1" si="102"/>
        <v>4</v>
      </c>
      <c r="F763" cm="1">
        <f t="array" aca="1" ref="F763" ca="1">INDEX($S$2:$S$31, RANDBETWEEN(1, COUNTA($S$2:$S$31)))</f>
        <v>65000</v>
      </c>
      <c r="G763" cm="1">
        <f t="array" aca="1" ref="G763" ca="1">INDEX($S$2:$S$31, RANDBETWEEN(1, COUNTA($S$2:$S$31)))</f>
        <v>49000</v>
      </c>
      <c r="H763">
        <f t="shared" ca="1" si="103"/>
        <v>9</v>
      </c>
      <c r="I763">
        <f t="shared" ca="1" si="104"/>
        <v>59150</v>
      </c>
      <c r="J763" s="10" t="str">
        <f t="shared" ca="1" si="105"/>
        <v>Online</v>
      </c>
      <c r="K763" s="10">
        <f t="shared" ca="1" si="106"/>
        <v>59150</v>
      </c>
      <c r="L763" s="10">
        <f t="shared" ca="1" si="107"/>
        <v>236600</v>
      </c>
      <c r="M763" s="12" t="str" cm="1">
        <f t="array" aca="1" ref="M763" ca="1">INDEX($R$33:$R$82, RANDBETWEEN(1, COUNTA($R$33:$R$82)))</f>
        <v>NV20</v>
      </c>
      <c r="N763">
        <f t="shared" ca="1" si="108"/>
        <v>24</v>
      </c>
    </row>
    <row r="764" spans="1:14" ht="16.8" x14ac:dyDescent="0.3">
      <c r="A764" s="7" t="str">
        <f t="shared" si="100"/>
        <v>S0763</v>
      </c>
      <c r="B764" s="8">
        <f t="shared" ca="1" si="101"/>
        <v>45079</v>
      </c>
      <c r="C764" s="15" t="str" cm="1">
        <f t="array" aca="1" ref="C764" ca="1">INDEX($Q$2:$Q$31, RANDBETWEEN(1, COUNTA($Q$2:$Q$31)))</f>
        <v xml:space="preserve">Green Tea Freeze </v>
      </c>
      <c r="D764" s="10" t="str" cm="1">
        <f t="array" aca="1" ref="D764" ca="1">INDEX($R$2:$R$310, RANDBETWEEN(1, COUNTA($Q$2:$Q$310)))</f>
        <v>M</v>
      </c>
      <c r="E764">
        <f t="shared" ca="1" si="102"/>
        <v>2</v>
      </c>
      <c r="F764" cm="1">
        <f t="array" aca="1" ref="F764" ca="1">INDEX($S$2:$S$31, RANDBETWEEN(1, COUNTA($S$2:$S$31)))</f>
        <v>65000</v>
      </c>
      <c r="G764" cm="1">
        <f t="array" aca="1" ref="G764" ca="1">INDEX($S$2:$S$31, RANDBETWEEN(1, COUNTA($S$2:$S$31)))</f>
        <v>65000</v>
      </c>
      <c r="H764">
        <f t="shared" ca="1" si="103"/>
        <v>6</v>
      </c>
      <c r="I764">
        <f t="shared" ca="1" si="104"/>
        <v>65000</v>
      </c>
      <c r="J764" s="10" t="str">
        <f t="shared" ca="1" si="105"/>
        <v>Offline</v>
      </c>
      <c r="K764" s="10">
        <f t="shared" ca="1" si="106"/>
        <v>65000</v>
      </c>
      <c r="L764" s="10">
        <f t="shared" ca="1" si="107"/>
        <v>130000</v>
      </c>
      <c r="M764" s="12" t="str" cm="1">
        <f t="array" aca="1" ref="M764" ca="1">INDEX($R$33:$R$82, RANDBETWEEN(1, COUNTA($R$33:$R$82)))</f>
        <v>NV22</v>
      </c>
      <c r="N764">
        <f t="shared" ca="1" si="108"/>
        <v>25</v>
      </c>
    </row>
    <row r="765" spans="1:14" ht="16.8" x14ac:dyDescent="0.3">
      <c r="A765" s="7" t="str">
        <f t="shared" si="100"/>
        <v>S0764</v>
      </c>
      <c r="B765" s="8">
        <f t="shared" ca="1" si="101"/>
        <v>45269</v>
      </c>
      <c r="C765" s="15" t="str" cm="1">
        <f t="array" aca="1" ref="C765" ca="1">INDEX($Q$2:$Q$31, RANDBETWEEN(1, COUNTA($Q$2:$Q$31)))</f>
        <v>Iced Black Coffee</v>
      </c>
      <c r="D765" s="10" t="str" cm="1">
        <f t="array" aca="1" ref="D765" ca="1">INDEX($R$2:$R$310, RANDBETWEEN(1, COUNTA($Q$2:$Q$310)))</f>
        <v>M</v>
      </c>
      <c r="E765">
        <f t="shared" ca="1" si="102"/>
        <v>5</v>
      </c>
      <c r="F765" cm="1">
        <f t="array" aca="1" ref="F765" ca="1">INDEX($S$2:$S$31, RANDBETWEEN(1, COUNTA($S$2:$S$31)))</f>
        <v>29000</v>
      </c>
      <c r="G765" cm="1">
        <f t="array" aca="1" ref="G765" ca="1">INDEX($S$2:$S$31, RANDBETWEEN(1, COUNTA($S$2:$S$31)))</f>
        <v>65000</v>
      </c>
      <c r="H765">
        <f t="shared" ca="1" si="103"/>
        <v>10</v>
      </c>
      <c r="I765">
        <f t="shared" ca="1" si="104"/>
        <v>26100</v>
      </c>
      <c r="J765" s="10" t="str">
        <f t="shared" ca="1" si="105"/>
        <v>Online</v>
      </c>
      <c r="K765" s="10">
        <f t="shared" ca="1" si="106"/>
        <v>26100</v>
      </c>
      <c r="L765" s="10">
        <f t="shared" ca="1" si="107"/>
        <v>130500</v>
      </c>
      <c r="M765" s="12" t="str" cm="1">
        <f t="array" aca="1" ref="M765" ca="1">INDEX($R$33:$R$82, RANDBETWEEN(1, COUNTA($R$33:$R$82)))</f>
        <v>NV39</v>
      </c>
      <c r="N765">
        <f t="shared" ca="1" si="108"/>
        <v>36</v>
      </c>
    </row>
    <row r="766" spans="1:14" ht="16.8" x14ac:dyDescent="0.3">
      <c r="A766" s="7" t="str">
        <f t="shared" si="100"/>
        <v>S0765</v>
      </c>
      <c r="B766" s="8">
        <f t="shared" ca="1" si="101"/>
        <v>44828</v>
      </c>
      <c r="C766" s="15" t="str" cm="1">
        <f t="array" aca="1" ref="C766" ca="1">INDEX($Q$2:$Q$31, RANDBETWEEN(1, COUNTA($Q$2:$Q$31)))</f>
        <v>Iced Black Coffee</v>
      </c>
      <c r="D766" s="10" t="str" cm="1">
        <f t="array" aca="1" ref="D766" ca="1">INDEX($R$2:$R$310, RANDBETWEEN(1, COUNTA($Q$2:$Q$310)))</f>
        <v>S</v>
      </c>
      <c r="E766">
        <f t="shared" ca="1" si="102"/>
        <v>1</v>
      </c>
      <c r="F766" cm="1">
        <f t="array" aca="1" ref="F766" ca="1">INDEX($S$2:$S$31, RANDBETWEEN(1, COUNTA($S$2:$S$31)))</f>
        <v>39000</v>
      </c>
      <c r="G766" cm="1">
        <f t="array" aca="1" ref="G766" ca="1">INDEX($S$2:$S$31, RANDBETWEEN(1, COUNTA($S$2:$S$31)))</f>
        <v>59000</v>
      </c>
      <c r="H766">
        <f t="shared" ca="1" si="103"/>
        <v>11</v>
      </c>
      <c r="I766">
        <f t="shared" ca="1" si="104"/>
        <v>34710</v>
      </c>
      <c r="J766" s="10" t="str">
        <f t="shared" ca="1" si="105"/>
        <v>Online</v>
      </c>
      <c r="K766" s="10">
        <f t="shared" ca="1" si="106"/>
        <v>34710</v>
      </c>
      <c r="L766" s="10">
        <f t="shared" ca="1" si="107"/>
        <v>34710</v>
      </c>
      <c r="M766" s="12" t="str" cm="1">
        <f t="array" aca="1" ref="M766" ca="1">INDEX($R$33:$R$82, RANDBETWEEN(1, COUNTA($R$33:$R$82)))</f>
        <v>NV13</v>
      </c>
      <c r="N766">
        <f t="shared" ca="1" si="108"/>
        <v>4</v>
      </c>
    </row>
    <row r="767" spans="1:14" ht="16.8" x14ac:dyDescent="0.3">
      <c r="A767" s="7" t="str">
        <f t="shared" ref="A767:A797" si="109">"S"&amp;TEXT(ROW()-1,"0000")</f>
        <v>S0766</v>
      </c>
      <c r="B767" s="8">
        <f t="shared" ref="B767:B797" ca="1" si="110">DATE(2021,1,1) + RANDBETWEEN(0,1095)</f>
        <v>45107</v>
      </c>
      <c r="C767" s="15" t="str" cm="1">
        <f t="array" aca="1" ref="C767" ca="1">INDEX($Q$2:$Q$31, RANDBETWEEN(1, COUNTA($Q$2:$Q$31)))</f>
        <v>Cookies &amp; Cream</v>
      </c>
      <c r="D767" s="10" t="str" cm="1">
        <f t="array" aca="1" ref="D767" ca="1">INDEX($R$2:$R$310, RANDBETWEEN(1, COUNTA($Q$2:$Q$310)))</f>
        <v>L</v>
      </c>
      <c r="E767">
        <f t="shared" ref="E767:E797" ca="1" si="111">RANDBETWEEN(1,5)</f>
        <v>2</v>
      </c>
      <c r="F767" cm="1">
        <f t="array" aca="1" ref="F767" ca="1">INDEX($S$2:$S$31, RANDBETWEEN(1, COUNTA($S$2:$S$31)))</f>
        <v>49000</v>
      </c>
      <c r="G767" cm="1">
        <f t="array" aca="1" ref="G767" ca="1">INDEX($S$2:$S$31, RANDBETWEEN(1, COUNTA($S$2:$S$31)))</f>
        <v>65000</v>
      </c>
      <c r="H767">
        <f t="shared" ca="1" si="103"/>
        <v>8</v>
      </c>
      <c r="I767">
        <f t="shared" ca="1" si="104"/>
        <v>65000</v>
      </c>
      <c r="J767" s="10" t="str">
        <f t="shared" ca="1" si="105"/>
        <v>Offline</v>
      </c>
      <c r="K767" s="10">
        <f t="shared" ca="1" si="106"/>
        <v>65000</v>
      </c>
      <c r="L767" s="10">
        <f t="shared" ca="1" si="107"/>
        <v>130000</v>
      </c>
      <c r="M767" s="12" t="str" cm="1">
        <f t="array" aca="1" ref="M767" ca="1">INDEX($R$33:$R$82, RANDBETWEEN(1, COUNTA($R$33:$R$82)))</f>
        <v>NV22</v>
      </c>
      <c r="N767">
        <f t="shared" ca="1" si="108"/>
        <v>30</v>
      </c>
    </row>
    <row r="768" spans="1:14" ht="16.8" x14ac:dyDescent="0.3">
      <c r="A768" s="7" t="str">
        <f t="shared" si="109"/>
        <v>S0767</v>
      </c>
      <c r="B768" s="8">
        <f t="shared" ca="1" si="110"/>
        <v>44326</v>
      </c>
      <c r="C768" s="15" t="str" cm="1">
        <f t="array" aca="1" ref="C768" ca="1">INDEX($Q$2:$Q$31, RANDBETWEEN(1, COUNTA($Q$2:$Q$31)))</f>
        <v>Caramel Phin Freeze</v>
      </c>
      <c r="D768" s="10" t="str" cm="1">
        <f t="array" aca="1" ref="D768" ca="1">INDEX($R$2:$R$310, RANDBETWEEN(1, COUNTA($Q$2:$Q$310)))</f>
        <v>L</v>
      </c>
      <c r="E768">
        <f t="shared" ca="1" si="111"/>
        <v>5</v>
      </c>
      <c r="F768" cm="1">
        <f t="array" aca="1" ref="F768" ca="1">INDEX($S$2:$S$31, RANDBETWEEN(1, COUNTA($S$2:$S$31)))</f>
        <v>49000</v>
      </c>
      <c r="G768" cm="1">
        <f t="array" aca="1" ref="G768" ca="1">INDEX($S$2:$S$31, RANDBETWEEN(1, COUNTA($S$2:$S$31)))</f>
        <v>65000</v>
      </c>
      <c r="H768">
        <f t="shared" ca="1" si="103"/>
        <v>5</v>
      </c>
      <c r="I768">
        <f t="shared" ca="1" si="104"/>
        <v>46550</v>
      </c>
      <c r="J768" s="10" t="str">
        <f t="shared" ca="1" si="105"/>
        <v>Online</v>
      </c>
      <c r="K768" s="10">
        <f t="shared" ca="1" si="106"/>
        <v>46550</v>
      </c>
      <c r="L768" s="10">
        <f t="shared" ca="1" si="107"/>
        <v>232750</v>
      </c>
      <c r="M768" s="12" t="str" cm="1">
        <f t="array" aca="1" ref="M768" ca="1">INDEX($R$33:$R$82, RANDBETWEEN(1, COUNTA($R$33:$R$82)))</f>
        <v>NV1</v>
      </c>
      <c r="N768">
        <f t="shared" ca="1" si="108"/>
        <v>31</v>
      </c>
    </row>
    <row r="769" spans="1:14" ht="16.8" x14ac:dyDescent="0.3">
      <c r="A769" s="7" t="str">
        <f t="shared" si="109"/>
        <v>S0768</v>
      </c>
      <c r="B769" s="8">
        <f t="shared" ca="1" si="110"/>
        <v>44560</v>
      </c>
      <c r="C769" s="15" t="str" cm="1">
        <f t="array" aca="1" ref="C769" ca="1">INDEX($Q$2:$Q$31, RANDBETWEEN(1, COUNTA($Q$2:$Q$31)))</f>
        <v xml:space="preserve">Chocolate Freeze </v>
      </c>
      <c r="D769" s="10" t="str" cm="1">
        <f t="array" aca="1" ref="D769" ca="1">INDEX($R$2:$R$310, RANDBETWEEN(1, COUNTA($Q$2:$Q$310)))</f>
        <v>L</v>
      </c>
      <c r="E769">
        <f t="shared" ca="1" si="111"/>
        <v>4</v>
      </c>
      <c r="F769" cm="1">
        <f t="array" aca="1" ref="F769" ca="1">INDEX($S$2:$S$31, RANDBETWEEN(1, COUNTA($S$2:$S$31)))</f>
        <v>59000</v>
      </c>
      <c r="G769" cm="1">
        <f t="array" aca="1" ref="G769" ca="1">INDEX($S$2:$S$31, RANDBETWEEN(1, COUNTA($S$2:$S$31)))</f>
        <v>29000</v>
      </c>
      <c r="H769">
        <f t="shared" ca="1" si="103"/>
        <v>7</v>
      </c>
      <c r="I769">
        <f t="shared" ca="1" si="104"/>
        <v>54869.999999999993</v>
      </c>
      <c r="J769" s="10" t="str">
        <f t="shared" ca="1" si="105"/>
        <v>Online</v>
      </c>
      <c r="K769" s="10">
        <f t="shared" ca="1" si="106"/>
        <v>54869.999999999993</v>
      </c>
      <c r="L769" s="10">
        <f t="shared" ca="1" si="107"/>
        <v>219479.99999999997</v>
      </c>
      <c r="M769" s="12" t="str" cm="1">
        <f t="array" aca="1" ref="M769" ca="1">INDEX($R$33:$R$82, RANDBETWEEN(1, COUNTA($R$33:$R$82)))</f>
        <v>NV22</v>
      </c>
      <c r="N769">
        <f t="shared" ca="1" si="108"/>
        <v>38</v>
      </c>
    </row>
    <row r="770" spans="1:14" ht="16.8" x14ac:dyDescent="0.3">
      <c r="A770" s="7" t="str">
        <f t="shared" si="109"/>
        <v>S0769</v>
      </c>
      <c r="B770" s="8">
        <f t="shared" ca="1" si="110"/>
        <v>45156</v>
      </c>
      <c r="C770" s="15" t="str" cm="1">
        <f t="array" aca="1" ref="C770" ca="1">INDEX($Q$2:$Q$31, RANDBETWEEN(1, COUNTA($Q$2:$Q$31)))</f>
        <v>Cookies &amp; Cream</v>
      </c>
      <c r="D770" s="10" t="str" cm="1">
        <f t="array" aca="1" ref="D770" ca="1">INDEX($R$2:$R$310, RANDBETWEEN(1, COUNTA($Q$2:$Q$310)))</f>
        <v>L</v>
      </c>
      <c r="E770">
        <f t="shared" ca="1" si="111"/>
        <v>4</v>
      </c>
      <c r="F770" cm="1">
        <f t="array" aca="1" ref="F770" ca="1">INDEX($S$2:$S$31, RANDBETWEEN(1, COUNTA($S$2:$S$31)))</f>
        <v>69000</v>
      </c>
      <c r="G770" cm="1">
        <f t="array" aca="1" ref="G770" ca="1">INDEX($S$2:$S$31, RANDBETWEEN(1, COUNTA($S$2:$S$31)))</f>
        <v>49000</v>
      </c>
      <c r="H770">
        <f t="shared" ca="1" si="103"/>
        <v>14</v>
      </c>
      <c r="I770">
        <f t="shared" ca="1" si="104"/>
        <v>49000</v>
      </c>
      <c r="J770" s="10" t="str">
        <f t="shared" ca="1" si="105"/>
        <v>Offline</v>
      </c>
      <c r="K770" s="10">
        <f t="shared" ca="1" si="106"/>
        <v>49000</v>
      </c>
      <c r="L770" s="10">
        <f t="shared" ca="1" si="107"/>
        <v>196000</v>
      </c>
      <c r="M770" s="12" t="str" cm="1">
        <f t="array" aca="1" ref="M770" ca="1">INDEX($R$33:$R$82, RANDBETWEEN(1, COUNTA($R$33:$R$82)))</f>
        <v>NV17</v>
      </c>
      <c r="N770">
        <f t="shared" ca="1" si="108"/>
        <v>34</v>
      </c>
    </row>
    <row r="771" spans="1:14" ht="16.8" x14ac:dyDescent="0.3">
      <c r="A771" s="7" t="str">
        <f t="shared" si="109"/>
        <v>S0770</v>
      </c>
      <c r="B771" s="8">
        <f t="shared" ca="1" si="110"/>
        <v>44206</v>
      </c>
      <c r="C771" s="15" t="str" cm="1">
        <f t="array" aca="1" ref="C771" ca="1">INDEX($Q$2:$Q$31, RANDBETWEEN(1, COUNTA($Q$2:$Q$31)))</f>
        <v>Latte</v>
      </c>
      <c r="D771" s="10" t="str" cm="1">
        <f t="array" aca="1" ref="D771" ca="1">INDEX($R$2:$R$310, RANDBETWEEN(1, COUNTA($Q$2:$Q$310)))</f>
        <v>S</v>
      </c>
      <c r="E771">
        <f t="shared" ca="1" si="111"/>
        <v>4</v>
      </c>
      <c r="F771" cm="1">
        <f t="array" aca="1" ref="F771" ca="1">INDEX($S$2:$S$31, RANDBETWEEN(1, COUNTA($S$2:$S$31)))</f>
        <v>55000</v>
      </c>
      <c r="G771" cm="1">
        <f t="array" aca="1" ref="G771" ca="1">INDEX($S$2:$S$31, RANDBETWEEN(1, COUNTA($S$2:$S$31)))</f>
        <v>49000</v>
      </c>
      <c r="H771">
        <f t="shared" ref="H771:H797" ca="1" si="112">RANDBETWEEN(5,15)</f>
        <v>15</v>
      </c>
      <c r="I771">
        <f t="shared" ref="I771:I797" ca="1" si="113">IF(J771="Online", F771*(1-H771/100), G771)</f>
        <v>46750</v>
      </c>
      <c r="J771" s="10" t="str">
        <f t="shared" ref="J771:J797" ca="1" si="114">IF(RANDBETWEEN(1,2)=1,"Online","Offline")</f>
        <v>Online</v>
      </c>
      <c r="K771" s="10">
        <f t="shared" ref="K771:K797" ca="1" si="115">I771</f>
        <v>46750</v>
      </c>
      <c r="L771" s="10">
        <f t="shared" ref="L771:L797" ca="1" si="116">E771*K771</f>
        <v>187000</v>
      </c>
      <c r="M771" s="12" t="str" cm="1">
        <f t="array" aca="1" ref="M771" ca="1">INDEX($R$33:$R$82, RANDBETWEEN(1, COUNTA($R$33:$R$82)))</f>
        <v>NV31</v>
      </c>
      <c r="N771">
        <f t="shared" ref="N771:N797" ca="1" si="117" xml:space="preserve"> RANDBETWEEN(2,51)</f>
        <v>49</v>
      </c>
    </row>
    <row r="772" spans="1:14" ht="16.8" x14ac:dyDescent="0.3">
      <c r="A772" s="7" t="str">
        <f t="shared" si="109"/>
        <v>S0771</v>
      </c>
      <c r="B772" s="8">
        <f t="shared" ca="1" si="110"/>
        <v>45044</v>
      </c>
      <c r="C772" s="15" t="str" cm="1">
        <f t="array" aca="1" ref="C772" ca="1">INDEX($Q$2:$Q$31, RANDBETWEEN(1, COUNTA($Q$2:$Q$31)))</f>
        <v>Cappuccino</v>
      </c>
      <c r="D772" s="10" t="str" cm="1">
        <f t="array" aca="1" ref="D772" ca="1">INDEX($R$2:$R$310, RANDBETWEEN(1, COUNTA($Q$2:$Q$310)))</f>
        <v>M</v>
      </c>
      <c r="E772">
        <f t="shared" ca="1" si="111"/>
        <v>4</v>
      </c>
      <c r="F772" cm="1">
        <f t="array" aca="1" ref="F772" ca="1">INDEX($S$2:$S$31, RANDBETWEEN(1, COUNTA($S$2:$S$31)))</f>
        <v>59000</v>
      </c>
      <c r="G772" cm="1">
        <f t="array" aca="1" ref="G772" ca="1">INDEX($S$2:$S$31, RANDBETWEEN(1, COUNTA($S$2:$S$31)))</f>
        <v>29000</v>
      </c>
      <c r="H772">
        <f t="shared" ca="1" si="112"/>
        <v>9</v>
      </c>
      <c r="I772">
        <f t="shared" ca="1" si="113"/>
        <v>53690</v>
      </c>
      <c r="J772" s="10" t="str">
        <f t="shared" ca="1" si="114"/>
        <v>Online</v>
      </c>
      <c r="K772" s="10">
        <f t="shared" ca="1" si="115"/>
        <v>53690</v>
      </c>
      <c r="L772" s="10">
        <f t="shared" ca="1" si="116"/>
        <v>214760</v>
      </c>
      <c r="M772" s="12" t="str" cm="1">
        <f t="array" aca="1" ref="M772" ca="1">INDEX($R$33:$R$82, RANDBETWEEN(1, COUNTA($R$33:$R$82)))</f>
        <v>NV12</v>
      </c>
      <c r="N772">
        <f t="shared" ca="1" si="117"/>
        <v>6</v>
      </c>
    </row>
    <row r="773" spans="1:14" ht="16.8" x14ac:dyDescent="0.3">
      <c r="A773" s="7" t="str">
        <f t="shared" si="109"/>
        <v>S0772</v>
      </c>
      <c r="B773" s="8">
        <f t="shared" ca="1" si="110"/>
        <v>44506</v>
      </c>
      <c r="C773" s="15" t="str" cm="1">
        <f t="array" aca="1" ref="C773" ca="1">INDEX($Q$2:$Q$31, RANDBETWEEN(1, COUNTA($Q$2:$Q$31)))</f>
        <v>Latte</v>
      </c>
      <c r="D773" s="10" t="str" cm="1">
        <f t="array" aca="1" ref="D773" ca="1">INDEX($R$2:$R$310, RANDBETWEEN(1, COUNTA($Q$2:$Q$310)))</f>
        <v>L</v>
      </c>
      <c r="E773">
        <f t="shared" ca="1" si="111"/>
        <v>5</v>
      </c>
      <c r="F773" cm="1">
        <f t="array" aca="1" ref="F773" ca="1">INDEX($S$2:$S$31, RANDBETWEEN(1, COUNTA($S$2:$S$31)))</f>
        <v>49000</v>
      </c>
      <c r="G773" cm="1">
        <f t="array" aca="1" ref="G773" ca="1">INDEX($S$2:$S$31, RANDBETWEEN(1, COUNTA($S$2:$S$31)))</f>
        <v>69000</v>
      </c>
      <c r="H773">
        <f t="shared" ca="1" si="112"/>
        <v>7</v>
      </c>
      <c r="I773">
        <f t="shared" ca="1" si="113"/>
        <v>45570</v>
      </c>
      <c r="J773" s="10" t="str">
        <f t="shared" ca="1" si="114"/>
        <v>Online</v>
      </c>
      <c r="K773" s="10">
        <f t="shared" ca="1" si="115"/>
        <v>45570</v>
      </c>
      <c r="L773" s="10">
        <f t="shared" ca="1" si="116"/>
        <v>227850</v>
      </c>
      <c r="M773" s="12" t="str" cm="1">
        <f t="array" aca="1" ref="M773" ca="1">INDEX($R$33:$R$82, RANDBETWEEN(1, COUNTA($R$33:$R$82)))</f>
        <v>NV49</v>
      </c>
      <c r="N773">
        <f t="shared" ca="1" si="117"/>
        <v>30</v>
      </c>
    </row>
    <row r="774" spans="1:14" ht="16.8" x14ac:dyDescent="0.3">
      <c r="A774" s="7" t="str">
        <f t="shared" si="109"/>
        <v>S0773</v>
      </c>
      <c r="B774" s="8">
        <f t="shared" ca="1" si="110"/>
        <v>44737</v>
      </c>
      <c r="C774" s="15" t="str" cm="1">
        <f t="array" aca="1" ref="C774" ca="1">INDEX($Q$2:$Q$31, RANDBETWEEN(1, COUNTA($Q$2:$Q$31)))</f>
        <v>Cappuccino</v>
      </c>
      <c r="D774" s="10" t="str" cm="1">
        <f t="array" aca="1" ref="D774" ca="1">INDEX($R$2:$R$310, RANDBETWEEN(1, COUNTA($Q$2:$Q$310)))</f>
        <v>S</v>
      </c>
      <c r="E774">
        <f t="shared" ca="1" si="111"/>
        <v>4</v>
      </c>
      <c r="F774" cm="1">
        <f t="array" aca="1" ref="F774" ca="1">INDEX($S$2:$S$31, RANDBETWEEN(1, COUNTA($S$2:$S$31)))</f>
        <v>55000</v>
      </c>
      <c r="G774" cm="1">
        <f t="array" aca="1" ref="G774" ca="1">INDEX($S$2:$S$31, RANDBETWEEN(1, COUNTA($S$2:$S$31)))</f>
        <v>49000</v>
      </c>
      <c r="H774">
        <f t="shared" ca="1" si="112"/>
        <v>6</v>
      </c>
      <c r="I774">
        <f t="shared" ca="1" si="113"/>
        <v>49000</v>
      </c>
      <c r="J774" s="10" t="str">
        <f t="shared" ca="1" si="114"/>
        <v>Offline</v>
      </c>
      <c r="K774" s="10">
        <f t="shared" ca="1" si="115"/>
        <v>49000</v>
      </c>
      <c r="L774" s="10">
        <f t="shared" ca="1" si="116"/>
        <v>196000</v>
      </c>
      <c r="M774" s="12" t="str" cm="1">
        <f t="array" aca="1" ref="M774" ca="1">INDEX($R$33:$R$82, RANDBETWEEN(1, COUNTA($R$33:$R$82)))</f>
        <v>NV47</v>
      </c>
      <c r="N774">
        <f t="shared" ca="1" si="117"/>
        <v>37</v>
      </c>
    </row>
    <row r="775" spans="1:14" ht="16.8" x14ac:dyDescent="0.3">
      <c r="A775" s="7" t="str">
        <f t="shared" si="109"/>
        <v>S0774</v>
      </c>
      <c r="B775" s="8">
        <f t="shared" ca="1" si="110"/>
        <v>44963</v>
      </c>
      <c r="C775" s="15" t="str" cm="1">
        <f t="array" aca="1" ref="C775" ca="1">INDEX($Q$2:$Q$31, RANDBETWEEN(1, COUNTA($Q$2:$Q$31)))</f>
        <v>Latte</v>
      </c>
      <c r="D775" s="10" t="str" cm="1">
        <f t="array" aca="1" ref="D775" ca="1">INDEX($R$2:$R$310, RANDBETWEEN(1, COUNTA($Q$2:$Q$310)))</f>
        <v>L</v>
      </c>
      <c r="E775">
        <f t="shared" ca="1" si="111"/>
        <v>1</v>
      </c>
      <c r="F775" cm="1">
        <f t="array" aca="1" ref="F775" ca="1">INDEX($S$2:$S$31, RANDBETWEEN(1, COUNTA($S$2:$S$31)))</f>
        <v>69000</v>
      </c>
      <c r="G775" cm="1">
        <f t="array" aca="1" ref="G775" ca="1">INDEX($S$2:$S$31, RANDBETWEEN(1, COUNTA($S$2:$S$31)))</f>
        <v>49000</v>
      </c>
      <c r="H775">
        <f t="shared" ca="1" si="112"/>
        <v>11</v>
      </c>
      <c r="I775">
        <f t="shared" ca="1" si="113"/>
        <v>61410</v>
      </c>
      <c r="J775" s="10" t="str">
        <f t="shared" ca="1" si="114"/>
        <v>Online</v>
      </c>
      <c r="K775" s="10">
        <f t="shared" ca="1" si="115"/>
        <v>61410</v>
      </c>
      <c r="L775" s="10">
        <f t="shared" ca="1" si="116"/>
        <v>61410</v>
      </c>
      <c r="M775" s="12" t="str" cm="1">
        <f t="array" aca="1" ref="M775" ca="1">INDEX($R$33:$R$82, RANDBETWEEN(1, COUNTA($R$33:$R$82)))</f>
        <v>NV50</v>
      </c>
      <c r="N775">
        <f t="shared" ca="1" si="117"/>
        <v>6</v>
      </c>
    </row>
    <row r="776" spans="1:14" ht="16.8" x14ac:dyDescent="0.3">
      <c r="A776" s="7" t="str">
        <f t="shared" si="109"/>
        <v>S0775</v>
      </c>
      <c r="B776" s="8">
        <f t="shared" ca="1" si="110"/>
        <v>44823</v>
      </c>
      <c r="C776" s="15" t="str" cm="1">
        <f t="array" aca="1" ref="C776" ca="1">INDEX($Q$2:$Q$31, RANDBETWEEN(1, COUNTA($Q$2:$Q$31)))</f>
        <v xml:space="preserve">Green Tea Freeze </v>
      </c>
      <c r="D776" s="10" t="str" cm="1">
        <f t="array" aca="1" ref="D776" ca="1">INDEX($R$2:$R$310, RANDBETWEEN(1, COUNTA($Q$2:$Q$310)))</f>
        <v>L</v>
      </c>
      <c r="E776">
        <f t="shared" ca="1" si="111"/>
        <v>2</v>
      </c>
      <c r="F776" cm="1">
        <f t="array" aca="1" ref="F776" ca="1">INDEX($S$2:$S$31, RANDBETWEEN(1, COUNTA($S$2:$S$31)))</f>
        <v>75000</v>
      </c>
      <c r="G776" cm="1">
        <f t="array" aca="1" ref="G776" ca="1">INDEX($S$2:$S$31, RANDBETWEEN(1, COUNTA($S$2:$S$31)))</f>
        <v>65000</v>
      </c>
      <c r="H776">
        <f t="shared" ca="1" si="112"/>
        <v>7</v>
      </c>
      <c r="I776">
        <f t="shared" ca="1" si="113"/>
        <v>69750</v>
      </c>
      <c r="J776" s="10" t="str">
        <f t="shared" ca="1" si="114"/>
        <v>Online</v>
      </c>
      <c r="K776" s="10">
        <f t="shared" ca="1" si="115"/>
        <v>69750</v>
      </c>
      <c r="L776" s="10">
        <f t="shared" ca="1" si="116"/>
        <v>139500</v>
      </c>
      <c r="M776" s="12" t="str" cm="1">
        <f t="array" aca="1" ref="M776" ca="1">INDEX($R$33:$R$82, RANDBETWEEN(1, COUNTA($R$33:$R$82)))</f>
        <v>NV37</v>
      </c>
      <c r="N776">
        <f t="shared" ca="1" si="117"/>
        <v>24</v>
      </c>
    </row>
    <row r="777" spans="1:14" ht="16.8" x14ac:dyDescent="0.3">
      <c r="A777" s="7" t="str">
        <f t="shared" si="109"/>
        <v>S0776</v>
      </c>
      <c r="B777" s="8">
        <f t="shared" ca="1" si="110"/>
        <v>45083</v>
      </c>
      <c r="C777" s="15" t="str" cm="1">
        <f t="array" aca="1" ref="C777" ca="1">INDEX($Q$2:$Q$31, RANDBETWEEN(1, COUNTA($Q$2:$Q$31)))</f>
        <v>Latte</v>
      </c>
      <c r="D777" s="10" t="str" cm="1">
        <f t="array" aca="1" ref="D777" ca="1">INDEX($R$2:$R$310, RANDBETWEEN(1, COUNTA($Q$2:$Q$310)))</f>
        <v>L</v>
      </c>
      <c r="E777">
        <f t="shared" ca="1" si="111"/>
        <v>5</v>
      </c>
      <c r="F777" cm="1">
        <f t="array" aca="1" ref="F777" ca="1">INDEX($S$2:$S$31, RANDBETWEEN(1, COUNTA($S$2:$S$31)))</f>
        <v>65000</v>
      </c>
      <c r="G777" cm="1">
        <f t="array" aca="1" ref="G777" ca="1">INDEX($S$2:$S$31, RANDBETWEEN(1, COUNTA($S$2:$S$31)))</f>
        <v>65000</v>
      </c>
      <c r="H777">
        <f t="shared" ca="1" si="112"/>
        <v>5</v>
      </c>
      <c r="I777">
        <f t="shared" ca="1" si="113"/>
        <v>61750</v>
      </c>
      <c r="J777" s="10" t="str">
        <f t="shared" ca="1" si="114"/>
        <v>Online</v>
      </c>
      <c r="K777" s="10">
        <f t="shared" ca="1" si="115"/>
        <v>61750</v>
      </c>
      <c r="L777" s="10">
        <f t="shared" ca="1" si="116"/>
        <v>308750</v>
      </c>
      <c r="M777" s="12" t="str" cm="1">
        <f t="array" aca="1" ref="M777" ca="1">INDEX($R$33:$R$82, RANDBETWEEN(1, COUNTA($R$33:$R$82)))</f>
        <v>NV4</v>
      </c>
      <c r="N777">
        <f t="shared" ca="1" si="117"/>
        <v>46</v>
      </c>
    </row>
    <row r="778" spans="1:14" ht="16.8" x14ac:dyDescent="0.3">
      <c r="A778" s="7" t="str">
        <f t="shared" si="109"/>
        <v>S0777</v>
      </c>
      <c r="B778" s="8">
        <f t="shared" ca="1" si="110"/>
        <v>44817</v>
      </c>
      <c r="C778" s="15" t="str" cm="1">
        <f t="array" aca="1" ref="C778" ca="1">INDEX($Q$2:$Q$31, RANDBETWEEN(1, COUNTA($Q$2:$Q$31)))</f>
        <v>Cookies &amp; Cream</v>
      </c>
      <c r="D778" s="10" t="str" cm="1">
        <f t="array" aca="1" ref="D778" ca="1">INDEX($R$2:$R$310, RANDBETWEEN(1, COUNTA($Q$2:$Q$310)))</f>
        <v>M</v>
      </c>
      <c r="E778">
        <f t="shared" ca="1" si="111"/>
        <v>3</v>
      </c>
      <c r="F778" cm="1">
        <f t="array" aca="1" ref="F778" ca="1">INDEX($S$2:$S$31, RANDBETWEEN(1, COUNTA($S$2:$S$31)))</f>
        <v>65000</v>
      </c>
      <c r="G778" cm="1">
        <f t="array" aca="1" ref="G778" ca="1">INDEX($S$2:$S$31, RANDBETWEEN(1, COUNTA($S$2:$S$31)))</f>
        <v>65000</v>
      </c>
      <c r="H778">
        <f t="shared" ca="1" si="112"/>
        <v>6</v>
      </c>
      <c r="I778">
        <f t="shared" ca="1" si="113"/>
        <v>65000</v>
      </c>
      <c r="J778" s="10" t="str">
        <f t="shared" ca="1" si="114"/>
        <v>Offline</v>
      </c>
      <c r="K778" s="10">
        <f t="shared" ca="1" si="115"/>
        <v>65000</v>
      </c>
      <c r="L778" s="10">
        <f t="shared" ca="1" si="116"/>
        <v>195000</v>
      </c>
      <c r="M778" s="12" t="str" cm="1">
        <f t="array" aca="1" ref="M778" ca="1">INDEX($R$33:$R$82, RANDBETWEEN(1, COUNTA($R$33:$R$82)))</f>
        <v>NV46</v>
      </c>
      <c r="N778">
        <f t="shared" ca="1" si="117"/>
        <v>10</v>
      </c>
    </row>
    <row r="779" spans="1:14" ht="16.8" x14ac:dyDescent="0.3">
      <c r="A779" s="7" t="str">
        <f t="shared" si="109"/>
        <v>S0778</v>
      </c>
      <c r="B779" s="8">
        <f t="shared" ca="1" si="110"/>
        <v>44529</v>
      </c>
      <c r="C779" s="15" t="str" cm="1">
        <f t="array" aca="1" ref="C779" ca="1">INDEX($Q$2:$Q$31, RANDBETWEEN(1, COUNTA($Q$2:$Q$31)))</f>
        <v>Latte</v>
      </c>
      <c r="D779" s="10" t="str" cm="1">
        <f t="array" aca="1" ref="D779" ca="1">INDEX($R$2:$R$310, RANDBETWEEN(1, COUNTA($Q$2:$Q$310)))</f>
        <v>S</v>
      </c>
      <c r="E779">
        <f t="shared" ca="1" si="111"/>
        <v>3</v>
      </c>
      <c r="F779" cm="1">
        <f t="array" aca="1" ref="F779" ca="1">INDEX($S$2:$S$31, RANDBETWEEN(1, COUNTA($S$2:$S$31)))</f>
        <v>49000</v>
      </c>
      <c r="G779" cm="1">
        <f t="array" aca="1" ref="G779" ca="1">INDEX($S$2:$S$31, RANDBETWEEN(1, COUNTA($S$2:$S$31)))</f>
        <v>75000</v>
      </c>
      <c r="H779">
        <f t="shared" ca="1" si="112"/>
        <v>15</v>
      </c>
      <c r="I779">
        <f t="shared" ca="1" si="113"/>
        <v>75000</v>
      </c>
      <c r="J779" s="10" t="str">
        <f t="shared" ca="1" si="114"/>
        <v>Offline</v>
      </c>
      <c r="K779" s="10">
        <f t="shared" ca="1" si="115"/>
        <v>75000</v>
      </c>
      <c r="L779" s="10">
        <f t="shared" ca="1" si="116"/>
        <v>225000</v>
      </c>
      <c r="M779" s="12" t="str" cm="1">
        <f t="array" aca="1" ref="M779" ca="1">INDEX($R$33:$R$82, RANDBETWEEN(1, COUNTA($R$33:$R$82)))</f>
        <v>NV26</v>
      </c>
      <c r="N779">
        <f t="shared" ca="1" si="117"/>
        <v>32</v>
      </c>
    </row>
    <row r="780" spans="1:14" ht="16.8" x14ac:dyDescent="0.3">
      <c r="A780" s="7" t="str">
        <f t="shared" si="109"/>
        <v>S0779</v>
      </c>
      <c r="B780" s="8">
        <f t="shared" ca="1" si="110"/>
        <v>44526</v>
      </c>
      <c r="C780" s="15" t="str" cm="1">
        <f t="array" aca="1" ref="C780" ca="1">INDEX($Q$2:$Q$31, RANDBETWEEN(1, COUNTA($Q$2:$Q$31)))</f>
        <v xml:space="preserve">Green Tea Freeze </v>
      </c>
      <c r="D780" s="10" t="str" cm="1">
        <f t="array" aca="1" ref="D780" ca="1">INDEX($R$2:$R$310, RANDBETWEEN(1, COUNTA($Q$2:$Q$310)))</f>
        <v>L</v>
      </c>
      <c r="E780">
        <f t="shared" ca="1" si="111"/>
        <v>1</v>
      </c>
      <c r="F780" cm="1">
        <f t="array" aca="1" ref="F780" ca="1">INDEX($S$2:$S$31, RANDBETWEEN(1, COUNTA($S$2:$S$31)))</f>
        <v>59000</v>
      </c>
      <c r="G780" cm="1">
        <f t="array" aca="1" ref="G780" ca="1">INDEX($S$2:$S$31, RANDBETWEEN(1, COUNTA($S$2:$S$31)))</f>
        <v>65000</v>
      </c>
      <c r="H780">
        <f t="shared" ca="1" si="112"/>
        <v>8</v>
      </c>
      <c r="I780">
        <f t="shared" ca="1" si="113"/>
        <v>54280</v>
      </c>
      <c r="J780" s="10" t="str">
        <f t="shared" ca="1" si="114"/>
        <v>Online</v>
      </c>
      <c r="K780" s="10">
        <f t="shared" ca="1" si="115"/>
        <v>54280</v>
      </c>
      <c r="L780" s="10">
        <f t="shared" ca="1" si="116"/>
        <v>54280</v>
      </c>
      <c r="M780" s="12" t="str" cm="1">
        <f t="array" aca="1" ref="M780" ca="1">INDEX($R$33:$R$82, RANDBETWEEN(1, COUNTA($R$33:$R$82)))</f>
        <v>NV5</v>
      </c>
      <c r="N780">
        <f t="shared" ca="1" si="117"/>
        <v>17</v>
      </c>
    </row>
    <row r="781" spans="1:14" ht="16.8" x14ac:dyDescent="0.3">
      <c r="A781" s="7" t="str">
        <f t="shared" si="109"/>
        <v>S0780</v>
      </c>
      <c r="B781" s="8">
        <f t="shared" ca="1" si="110"/>
        <v>44223</v>
      </c>
      <c r="C781" s="15" t="str" cm="1">
        <f t="array" aca="1" ref="C781" ca="1">INDEX($Q$2:$Q$31, RANDBETWEEN(1, COUNTA($Q$2:$Q$31)))</f>
        <v>Caramel Phin Freeze</v>
      </c>
      <c r="D781" s="10" t="str" cm="1">
        <f t="array" aca="1" ref="D781" ca="1">INDEX($R$2:$R$310, RANDBETWEEN(1, COUNTA($Q$2:$Q$310)))</f>
        <v>S</v>
      </c>
      <c r="E781">
        <f t="shared" ca="1" si="111"/>
        <v>2</v>
      </c>
      <c r="F781" cm="1">
        <f t="array" aca="1" ref="F781" ca="1">INDEX($S$2:$S$31, RANDBETWEEN(1, COUNTA($S$2:$S$31)))</f>
        <v>59000</v>
      </c>
      <c r="G781" cm="1">
        <f t="array" aca="1" ref="G781" ca="1">INDEX($S$2:$S$31, RANDBETWEEN(1, COUNTA($S$2:$S$31)))</f>
        <v>55000</v>
      </c>
      <c r="H781">
        <f t="shared" ca="1" si="112"/>
        <v>8</v>
      </c>
      <c r="I781">
        <f t="shared" ca="1" si="113"/>
        <v>54280</v>
      </c>
      <c r="J781" s="10" t="str">
        <f t="shared" ca="1" si="114"/>
        <v>Online</v>
      </c>
      <c r="K781" s="10">
        <f t="shared" ca="1" si="115"/>
        <v>54280</v>
      </c>
      <c r="L781" s="10">
        <f t="shared" ca="1" si="116"/>
        <v>108560</v>
      </c>
      <c r="M781" s="12" t="str" cm="1">
        <f t="array" aca="1" ref="M781" ca="1">INDEX($R$33:$R$82, RANDBETWEEN(1, COUNTA($R$33:$R$82)))</f>
        <v>NV34</v>
      </c>
      <c r="N781">
        <f t="shared" ca="1" si="117"/>
        <v>34</v>
      </c>
    </row>
    <row r="782" spans="1:14" ht="16.8" x14ac:dyDescent="0.3">
      <c r="A782" s="7" t="str">
        <f t="shared" si="109"/>
        <v>S0781</v>
      </c>
      <c r="B782" s="8">
        <f t="shared" ca="1" si="110"/>
        <v>44720</v>
      </c>
      <c r="C782" s="15" t="str" cm="1">
        <f t="array" aca="1" ref="C782" ca="1">INDEX($Q$2:$Q$31, RANDBETWEEN(1, COUNTA($Q$2:$Q$31)))</f>
        <v xml:space="preserve">Green Tea Freeze </v>
      </c>
      <c r="D782" s="10" t="str" cm="1">
        <f t="array" aca="1" ref="D782" ca="1">INDEX($R$2:$R$310, RANDBETWEEN(1, COUNTA($Q$2:$Q$310)))</f>
        <v>S</v>
      </c>
      <c r="E782">
        <f t="shared" ca="1" si="111"/>
        <v>2</v>
      </c>
      <c r="F782" cm="1">
        <f t="array" aca="1" ref="F782" ca="1">INDEX($S$2:$S$31, RANDBETWEEN(1, COUNTA($S$2:$S$31)))</f>
        <v>35000</v>
      </c>
      <c r="G782" cm="1">
        <f t="array" aca="1" ref="G782" ca="1">INDEX($S$2:$S$31, RANDBETWEEN(1, COUNTA($S$2:$S$31)))</f>
        <v>49000</v>
      </c>
      <c r="H782">
        <f t="shared" ca="1" si="112"/>
        <v>9</v>
      </c>
      <c r="I782">
        <f t="shared" ca="1" si="113"/>
        <v>49000</v>
      </c>
      <c r="J782" s="10" t="str">
        <f t="shared" ca="1" si="114"/>
        <v>Offline</v>
      </c>
      <c r="K782" s="10">
        <f t="shared" ca="1" si="115"/>
        <v>49000</v>
      </c>
      <c r="L782" s="10">
        <f t="shared" ca="1" si="116"/>
        <v>98000</v>
      </c>
      <c r="M782" s="12" t="str" cm="1">
        <f t="array" aca="1" ref="M782" ca="1">INDEX($R$33:$R$82, RANDBETWEEN(1, COUNTA($R$33:$R$82)))</f>
        <v>NV18</v>
      </c>
      <c r="N782">
        <f t="shared" ca="1" si="117"/>
        <v>5</v>
      </c>
    </row>
    <row r="783" spans="1:14" ht="16.8" x14ac:dyDescent="0.3">
      <c r="A783" s="7" t="str">
        <f t="shared" si="109"/>
        <v>S0782</v>
      </c>
      <c r="B783" s="8">
        <f t="shared" ca="1" si="110"/>
        <v>44464</v>
      </c>
      <c r="C783" s="15" t="str" cm="1">
        <f t="array" aca="1" ref="C783" ca="1">INDEX($Q$2:$Q$31, RANDBETWEEN(1, COUNTA($Q$2:$Q$31)))</f>
        <v>Caramel Phin Freeze</v>
      </c>
      <c r="D783" s="10" t="str" cm="1">
        <f t="array" aca="1" ref="D783" ca="1">INDEX($R$2:$R$310, RANDBETWEEN(1, COUNTA($Q$2:$Q$310)))</f>
        <v>S</v>
      </c>
      <c r="E783">
        <f t="shared" ca="1" si="111"/>
        <v>2</v>
      </c>
      <c r="F783" cm="1">
        <f t="array" aca="1" ref="F783" ca="1">INDEX($S$2:$S$31, RANDBETWEEN(1, COUNTA($S$2:$S$31)))</f>
        <v>55000</v>
      </c>
      <c r="G783" cm="1">
        <f t="array" aca="1" ref="G783" ca="1">INDEX($S$2:$S$31, RANDBETWEEN(1, COUNTA($S$2:$S$31)))</f>
        <v>49000</v>
      </c>
      <c r="H783">
        <f t="shared" ca="1" si="112"/>
        <v>10</v>
      </c>
      <c r="I783">
        <f t="shared" ca="1" si="113"/>
        <v>49500</v>
      </c>
      <c r="J783" s="10" t="str">
        <f t="shared" ca="1" si="114"/>
        <v>Online</v>
      </c>
      <c r="K783" s="10">
        <f t="shared" ca="1" si="115"/>
        <v>49500</v>
      </c>
      <c r="L783" s="10">
        <f t="shared" ca="1" si="116"/>
        <v>99000</v>
      </c>
      <c r="M783" s="12" t="str" cm="1">
        <f t="array" aca="1" ref="M783" ca="1">INDEX($R$33:$R$82, RANDBETWEEN(1, COUNTA($R$33:$R$82)))</f>
        <v>NV38</v>
      </c>
      <c r="N783">
        <f t="shared" ca="1" si="117"/>
        <v>24</v>
      </c>
    </row>
    <row r="784" spans="1:14" ht="16.8" x14ac:dyDescent="0.3">
      <c r="A784" s="7" t="str">
        <f t="shared" si="109"/>
        <v>S0783</v>
      </c>
      <c r="B784" s="8">
        <f t="shared" ca="1" si="110"/>
        <v>44480</v>
      </c>
      <c r="C784" s="15" t="str" cm="1">
        <f t="array" aca="1" ref="C784" ca="1">INDEX($Q$2:$Q$31, RANDBETWEEN(1, COUNTA($Q$2:$Q$31)))</f>
        <v>Cookies &amp; Cream</v>
      </c>
      <c r="D784" s="10" t="str" cm="1">
        <f t="array" aca="1" ref="D784" ca="1">INDEX($R$2:$R$310, RANDBETWEEN(1, COUNTA($Q$2:$Q$310)))</f>
        <v>S</v>
      </c>
      <c r="E784">
        <f t="shared" ca="1" si="111"/>
        <v>4</v>
      </c>
      <c r="F784" cm="1">
        <f t="array" aca="1" ref="F784" ca="1">INDEX($S$2:$S$31, RANDBETWEEN(1, COUNTA($S$2:$S$31)))</f>
        <v>65000</v>
      </c>
      <c r="G784" cm="1">
        <f t="array" aca="1" ref="G784" ca="1">INDEX($S$2:$S$31, RANDBETWEEN(1, COUNTA($S$2:$S$31)))</f>
        <v>65000</v>
      </c>
      <c r="H784">
        <f t="shared" ca="1" si="112"/>
        <v>10</v>
      </c>
      <c r="I784">
        <f t="shared" ca="1" si="113"/>
        <v>58500</v>
      </c>
      <c r="J784" s="10" t="str">
        <f t="shared" ca="1" si="114"/>
        <v>Online</v>
      </c>
      <c r="K784" s="10">
        <f t="shared" ca="1" si="115"/>
        <v>58500</v>
      </c>
      <c r="L784" s="10">
        <f t="shared" ca="1" si="116"/>
        <v>234000</v>
      </c>
      <c r="M784" s="12" t="str" cm="1">
        <f t="array" aca="1" ref="M784" ca="1">INDEX($R$33:$R$82, RANDBETWEEN(1, COUNTA($R$33:$R$82)))</f>
        <v>NV27</v>
      </c>
      <c r="N784">
        <f t="shared" ca="1" si="117"/>
        <v>39</v>
      </c>
    </row>
    <row r="785" spans="1:14" ht="16.8" x14ac:dyDescent="0.3">
      <c r="A785" s="7" t="str">
        <f t="shared" si="109"/>
        <v>S0784</v>
      </c>
      <c r="B785" s="8">
        <f t="shared" ca="1" si="110"/>
        <v>44505</v>
      </c>
      <c r="C785" s="15" t="str" cm="1">
        <f t="array" aca="1" ref="C785" ca="1">INDEX($Q$2:$Q$31, RANDBETWEEN(1, COUNTA($Q$2:$Q$31)))</f>
        <v>Latte</v>
      </c>
      <c r="D785" s="10" t="str" cm="1">
        <f t="array" aca="1" ref="D785" ca="1">INDEX($R$2:$R$310, RANDBETWEEN(1, COUNTA($Q$2:$Q$310)))</f>
        <v>L</v>
      </c>
      <c r="E785">
        <f t="shared" ca="1" si="111"/>
        <v>3</v>
      </c>
      <c r="F785" cm="1">
        <f t="array" aca="1" ref="F785" ca="1">INDEX($S$2:$S$31, RANDBETWEEN(1, COUNTA($S$2:$S$31)))</f>
        <v>59000</v>
      </c>
      <c r="G785" cm="1">
        <f t="array" aca="1" ref="G785" ca="1">INDEX($S$2:$S$31, RANDBETWEEN(1, COUNTA($S$2:$S$31)))</f>
        <v>29000</v>
      </c>
      <c r="H785">
        <f t="shared" ca="1" si="112"/>
        <v>15</v>
      </c>
      <c r="I785">
        <f t="shared" ca="1" si="113"/>
        <v>50150</v>
      </c>
      <c r="J785" s="10" t="str">
        <f t="shared" ca="1" si="114"/>
        <v>Online</v>
      </c>
      <c r="K785" s="10">
        <f t="shared" ca="1" si="115"/>
        <v>50150</v>
      </c>
      <c r="L785" s="10">
        <f t="shared" ca="1" si="116"/>
        <v>150450</v>
      </c>
      <c r="M785" s="12" t="str" cm="1">
        <f t="array" aca="1" ref="M785" ca="1">INDEX($R$33:$R$82, RANDBETWEEN(1, COUNTA($R$33:$R$82)))</f>
        <v>NV13</v>
      </c>
      <c r="N785">
        <f t="shared" ca="1" si="117"/>
        <v>38</v>
      </c>
    </row>
    <row r="786" spans="1:14" ht="16.8" x14ac:dyDescent="0.3">
      <c r="A786" s="7" t="str">
        <f t="shared" si="109"/>
        <v>S0785</v>
      </c>
      <c r="B786" s="8">
        <f t="shared" ca="1" si="110"/>
        <v>45094</v>
      </c>
      <c r="C786" s="15" t="str" cm="1">
        <f t="array" aca="1" ref="C786" ca="1">INDEX($Q$2:$Q$31, RANDBETWEEN(1, COUNTA($Q$2:$Q$31)))</f>
        <v>Latte</v>
      </c>
      <c r="D786" s="10" t="str" cm="1">
        <f t="array" aca="1" ref="D786" ca="1">INDEX($R$2:$R$310, RANDBETWEEN(1, COUNTA($Q$2:$Q$310)))</f>
        <v>S</v>
      </c>
      <c r="E786">
        <f t="shared" ca="1" si="111"/>
        <v>5</v>
      </c>
      <c r="F786" cm="1">
        <f t="array" aca="1" ref="F786" ca="1">INDEX($S$2:$S$31, RANDBETWEEN(1, COUNTA($S$2:$S$31)))</f>
        <v>35000</v>
      </c>
      <c r="G786" cm="1">
        <f t="array" aca="1" ref="G786" ca="1">INDEX($S$2:$S$31, RANDBETWEEN(1, COUNTA($S$2:$S$31)))</f>
        <v>69000</v>
      </c>
      <c r="H786">
        <f t="shared" ca="1" si="112"/>
        <v>9</v>
      </c>
      <c r="I786">
        <f t="shared" ca="1" si="113"/>
        <v>69000</v>
      </c>
      <c r="J786" s="10" t="str">
        <f t="shared" ca="1" si="114"/>
        <v>Offline</v>
      </c>
      <c r="K786" s="10">
        <f t="shared" ca="1" si="115"/>
        <v>69000</v>
      </c>
      <c r="L786" s="10">
        <f t="shared" ca="1" si="116"/>
        <v>345000</v>
      </c>
      <c r="M786" s="12" t="str" cm="1">
        <f t="array" aca="1" ref="M786" ca="1">INDEX($R$33:$R$82, RANDBETWEEN(1, COUNTA($R$33:$R$82)))</f>
        <v>NV29</v>
      </c>
      <c r="N786">
        <f t="shared" ca="1" si="117"/>
        <v>18</v>
      </c>
    </row>
    <row r="787" spans="1:14" ht="16.8" x14ac:dyDescent="0.3">
      <c r="A787" s="7" t="str">
        <f t="shared" si="109"/>
        <v>S0786</v>
      </c>
      <c r="B787" s="8">
        <f t="shared" ca="1" si="110"/>
        <v>44395</v>
      </c>
      <c r="C787" s="15" t="str" cm="1">
        <f t="array" aca="1" ref="C787" ca="1">INDEX($Q$2:$Q$31, RANDBETWEEN(1, COUNTA($Q$2:$Q$31)))</f>
        <v xml:space="preserve">Chocolate Freeze </v>
      </c>
      <c r="D787" s="10" t="str" cm="1">
        <f t="array" aca="1" ref="D787" ca="1">INDEX($R$2:$R$310, RANDBETWEEN(1, COUNTA($Q$2:$Q$310)))</f>
        <v>M</v>
      </c>
      <c r="E787">
        <f t="shared" ca="1" si="111"/>
        <v>4</v>
      </c>
      <c r="F787" cm="1">
        <f t="array" aca="1" ref="F787" ca="1">INDEX($S$2:$S$31, RANDBETWEEN(1, COUNTA($S$2:$S$31)))</f>
        <v>49000</v>
      </c>
      <c r="G787" cm="1">
        <f t="array" aca="1" ref="G787" ca="1">INDEX($S$2:$S$31, RANDBETWEEN(1, COUNTA($S$2:$S$31)))</f>
        <v>65000</v>
      </c>
      <c r="H787">
        <f t="shared" ca="1" si="112"/>
        <v>15</v>
      </c>
      <c r="I787">
        <f t="shared" ca="1" si="113"/>
        <v>41650</v>
      </c>
      <c r="J787" s="10" t="str">
        <f t="shared" ca="1" si="114"/>
        <v>Online</v>
      </c>
      <c r="K787" s="10">
        <f t="shared" ca="1" si="115"/>
        <v>41650</v>
      </c>
      <c r="L787" s="10">
        <f t="shared" ca="1" si="116"/>
        <v>166600</v>
      </c>
      <c r="M787" s="12" t="str" cm="1">
        <f t="array" aca="1" ref="M787" ca="1">INDEX($R$33:$R$82, RANDBETWEEN(1, COUNTA($R$33:$R$82)))</f>
        <v>NV19</v>
      </c>
      <c r="N787">
        <f t="shared" ca="1" si="117"/>
        <v>26</v>
      </c>
    </row>
    <row r="788" spans="1:14" ht="16.8" x14ac:dyDescent="0.3">
      <c r="A788" s="7" t="str">
        <f t="shared" si="109"/>
        <v>S0787</v>
      </c>
      <c r="B788" s="8">
        <f t="shared" ca="1" si="110"/>
        <v>44426</v>
      </c>
      <c r="C788" s="15" t="str" cm="1">
        <f t="array" aca="1" ref="C788" ca="1">INDEX($Q$2:$Q$31, RANDBETWEEN(1, COUNTA($Q$2:$Q$31)))</f>
        <v>Cookies &amp; Cream</v>
      </c>
      <c r="D788" s="10" t="str" cm="1">
        <f t="array" aca="1" ref="D788" ca="1">INDEX($R$2:$R$310, RANDBETWEEN(1, COUNTA($Q$2:$Q$310)))</f>
        <v>M</v>
      </c>
      <c r="E788">
        <f t="shared" ca="1" si="111"/>
        <v>5</v>
      </c>
      <c r="F788" cm="1">
        <f t="array" aca="1" ref="F788" ca="1">INDEX($S$2:$S$31, RANDBETWEEN(1, COUNTA($S$2:$S$31)))</f>
        <v>49000</v>
      </c>
      <c r="G788" cm="1">
        <f t="array" aca="1" ref="G788" ca="1">INDEX($S$2:$S$31, RANDBETWEEN(1, COUNTA($S$2:$S$31)))</f>
        <v>69000</v>
      </c>
      <c r="H788">
        <f t="shared" ca="1" si="112"/>
        <v>12</v>
      </c>
      <c r="I788">
        <f t="shared" ca="1" si="113"/>
        <v>43120</v>
      </c>
      <c r="J788" s="10" t="str">
        <f t="shared" ca="1" si="114"/>
        <v>Online</v>
      </c>
      <c r="K788" s="10">
        <f t="shared" ca="1" si="115"/>
        <v>43120</v>
      </c>
      <c r="L788" s="10">
        <f t="shared" ca="1" si="116"/>
        <v>215600</v>
      </c>
      <c r="M788" s="12" t="str" cm="1">
        <f t="array" aca="1" ref="M788" ca="1">INDEX($R$33:$R$82, RANDBETWEEN(1, COUNTA($R$33:$R$82)))</f>
        <v>NV13</v>
      </c>
      <c r="N788">
        <f t="shared" ca="1" si="117"/>
        <v>5</v>
      </c>
    </row>
    <row r="789" spans="1:14" ht="16.8" x14ac:dyDescent="0.3">
      <c r="A789" s="7" t="str">
        <f t="shared" si="109"/>
        <v>S0788</v>
      </c>
      <c r="B789" s="8">
        <f t="shared" ca="1" si="110"/>
        <v>44931</v>
      </c>
      <c r="C789" s="15" t="str" cm="1">
        <f t="array" aca="1" ref="C789" ca="1">INDEX($Q$2:$Q$31, RANDBETWEEN(1, COUNTA($Q$2:$Q$31)))</f>
        <v>Mocha</v>
      </c>
      <c r="D789" s="10" t="str" cm="1">
        <f t="array" aca="1" ref="D789" ca="1">INDEX($R$2:$R$310, RANDBETWEEN(1, COUNTA($Q$2:$Q$310)))</f>
        <v>L</v>
      </c>
      <c r="E789">
        <f t="shared" ca="1" si="111"/>
        <v>3</v>
      </c>
      <c r="F789" cm="1">
        <f t="array" aca="1" ref="F789" ca="1">INDEX($S$2:$S$31, RANDBETWEEN(1, COUNTA($S$2:$S$31)))</f>
        <v>69000</v>
      </c>
      <c r="G789" cm="1">
        <f t="array" aca="1" ref="G789" ca="1">INDEX($S$2:$S$31, RANDBETWEEN(1, COUNTA($S$2:$S$31)))</f>
        <v>59000</v>
      </c>
      <c r="H789">
        <f t="shared" ca="1" si="112"/>
        <v>13</v>
      </c>
      <c r="I789">
        <f t="shared" ca="1" si="113"/>
        <v>59000</v>
      </c>
      <c r="J789" s="10" t="str">
        <f t="shared" ca="1" si="114"/>
        <v>Offline</v>
      </c>
      <c r="K789" s="10">
        <f t="shared" ca="1" si="115"/>
        <v>59000</v>
      </c>
      <c r="L789" s="10">
        <f t="shared" ca="1" si="116"/>
        <v>177000</v>
      </c>
      <c r="M789" s="12" t="str" cm="1">
        <f t="array" aca="1" ref="M789" ca="1">INDEX($R$33:$R$82, RANDBETWEEN(1, COUNTA($R$33:$R$82)))</f>
        <v>NV6</v>
      </c>
      <c r="N789">
        <f t="shared" ca="1" si="117"/>
        <v>36</v>
      </c>
    </row>
    <row r="790" spans="1:14" ht="16.8" x14ac:dyDescent="0.3">
      <c r="A790" s="7" t="str">
        <f t="shared" si="109"/>
        <v>S0789</v>
      </c>
      <c r="B790" s="8">
        <f t="shared" ca="1" si="110"/>
        <v>45021</v>
      </c>
      <c r="C790" s="15" t="str" cm="1">
        <f t="array" aca="1" ref="C790" ca="1">INDEX($Q$2:$Q$31, RANDBETWEEN(1, COUNTA($Q$2:$Q$31)))</f>
        <v>Mocha</v>
      </c>
      <c r="D790" s="10" t="str" cm="1">
        <f t="array" aca="1" ref="D790" ca="1">INDEX($R$2:$R$310, RANDBETWEEN(1, COUNTA($Q$2:$Q$310)))</f>
        <v>M</v>
      </c>
      <c r="E790">
        <f t="shared" ca="1" si="111"/>
        <v>4</v>
      </c>
      <c r="F790" cm="1">
        <f t="array" aca="1" ref="F790" ca="1">INDEX($S$2:$S$31, RANDBETWEEN(1, COUNTA($S$2:$S$31)))</f>
        <v>39000</v>
      </c>
      <c r="G790" cm="1">
        <f t="array" aca="1" ref="G790" ca="1">INDEX($S$2:$S$31, RANDBETWEEN(1, COUNTA($S$2:$S$31)))</f>
        <v>59000</v>
      </c>
      <c r="H790">
        <f t="shared" ca="1" si="112"/>
        <v>15</v>
      </c>
      <c r="I790">
        <f t="shared" ca="1" si="113"/>
        <v>59000</v>
      </c>
      <c r="J790" s="10" t="str">
        <f t="shared" ca="1" si="114"/>
        <v>Offline</v>
      </c>
      <c r="K790" s="10">
        <f t="shared" ca="1" si="115"/>
        <v>59000</v>
      </c>
      <c r="L790" s="10">
        <f t="shared" ca="1" si="116"/>
        <v>236000</v>
      </c>
      <c r="M790" s="12" t="str" cm="1">
        <f t="array" aca="1" ref="M790" ca="1">INDEX($R$33:$R$82, RANDBETWEEN(1, COUNTA($R$33:$R$82)))</f>
        <v>NV42</v>
      </c>
      <c r="N790">
        <f t="shared" ca="1" si="117"/>
        <v>25</v>
      </c>
    </row>
    <row r="791" spans="1:14" ht="16.8" x14ac:dyDescent="0.3">
      <c r="A791" s="7" t="str">
        <f t="shared" si="109"/>
        <v>S0790</v>
      </c>
      <c r="B791" s="8">
        <f t="shared" ca="1" si="110"/>
        <v>44883</v>
      </c>
      <c r="C791" s="15" t="str" cm="1">
        <f t="array" aca="1" ref="C791" ca="1">INDEX($Q$2:$Q$31, RANDBETWEEN(1, COUNTA($Q$2:$Q$31)))</f>
        <v>Iced Black Coffee</v>
      </c>
      <c r="D791" s="10" t="str" cm="1">
        <f t="array" aca="1" ref="D791" ca="1">INDEX($R$2:$R$310, RANDBETWEEN(1, COUNTA($Q$2:$Q$310)))</f>
        <v>M</v>
      </c>
      <c r="E791">
        <f t="shared" ca="1" si="111"/>
        <v>4</v>
      </c>
      <c r="F791" cm="1">
        <f t="array" aca="1" ref="F791" ca="1">INDEX($S$2:$S$31, RANDBETWEEN(1, COUNTA($S$2:$S$31)))</f>
        <v>49000</v>
      </c>
      <c r="G791" cm="1">
        <f t="array" aca="1" ref="G791" ca="1">INDEX($S$2:$S$31, RANDBETWEEN(1, COUNTA($S$2:$S$31)))</f>
        <v>65000</v>
      </c>
      <c r="H791">
        <f t="shared" ca="1" si="112"/>
        <v>7</v>
      </c>
      <c r="I791">
        <f t="shared" ca="1" si="113"/>
        <v>45570</v>
      </c>
      <c r="J791" s="10" t="str">
        <f t="shared" ca="1" si="114"/>
        <v>Online</v>
      </c>
      <c r="K791" s="10">
        <f t="shared" ca="1" si="115"/>
        <v>45570</v>
      </c>
      <c r="L791" s="10">
        <f t="shared" ca="1" si="116"/>
        <v>182280</v>
      </c>
      <c r="M791" s="12" t="str" cm="1">
        <f t="array" aca="1" ref="M791" ca="1">INDEX($R$33:$R$82, RANDBETWEEN(1, COUNTA($R$33:$R$82)))</f>
        <v>NV27</v>
      </c>
      <c r="N791">
        <f t="shared" ca="1" si="117"/>
        <v>35</v>
      </c>
    </row>
    <row r="792" spans="1:14" ht="16.8" x14ac:dyDescent="0.3">
      <c r="A792" s="7" t="str">
        <f t="shared" si="109"/>
        <v>S0791</v>
      </c>
      <c r="B792" s="8">
        <f t="shared" ca="1" si="110"/>
        <v>45031</v>
      </c>
      <c r="C792" s="15" t="str" cm="1">
        <f t="array" aca="1" ref="C792" ca="1">INDEX($Q$2:$Q$31, RANDBETWEEN(1, COUNTA($Q$2:$Q$31)))</f>
        <v>Caramel Phin Freeze</v>
      </c>
      <c r="D792" s="10" t="str" cm="1">
        <f t="array" aca="1" ref="D792" ca="1">INDEX($R$2:$R$310, RANDBETWEEN(1, COUNTA($Q$2:$Q$310)))</f>
        <v>M</v>
      </c>
      <c r="E792">
        <f t="shared" ca="1" si="111"/>
        <v>1</v>
      </c>
      <c r="F792" cm="1">
        <f t="array" aca="1" ref="F792" ca="1">INDEX($S$2:$S$31, RANDBETWEEN(1, COUNTA($S$2:$S$31)))</f>
        <v>69000</v>
      </c>
      <c r="G792" cm="1">
        <f t="array" aca="1" ref="G792" ca="1">INDEX($S$2:$S$31, RANDBETWEEN(1, COUNTA($S$2:$S$31)))</f>
        <v>49000</v>
      </c>
      <c r="H792">
        <f t="shared" ca="1" si="112"/>
        <v>14</v>
      </c>
      <c r="I792">
        <f t="shared" ca="1" si="113"/>
        <v>49000</v>
      </c>
      <c r="J792" s="10" t="str">
        <f t="shared" ca="1" si="114"/>
        <v>Offline</v>
      </c>
      <c r="K792" s="10">
        <f t="shared" ca="1" si="115"/>
        <v>49000</v>
      </c>
      <c r="L792" s="10">
        <f t="shared" ca="1" si="116"/>
        <v>49000</v>
      </c>
      <c r="M792" s="12" t="str" cm="1">
        <f t="array" aca="1" ref="M792" ca="1">INDEX($R$33:$R$82, RANDBETWEEN(1, COUNTA($R$33:$R$82)))</f>
        <v>NV23</v>
      </c>
      <c r="N792">
        <f t="shared" ca="1" si="117"/>
        <v>40</v>
      </c>
    </row>
    <row r="793" spans="1:14" ht="16.8" x14ac:dyDescent="0.3">
      <c r="A793" s="7" t="str">
        <f t="shared" si="109"/>
        <v>S0792</v>
      </c>
      <c r="B793" s="8">
        <f t="shared" ca="1" si="110"/>
        <v>45018</v>
      </c>
      <c r="C793" s="15" t="str" cm="1">
        <f t="array" aca="1" ref="C793" ca="1">INDEX($Q$2:$Q$31, RANDBETWEEN(1, COUNTA($Q$2:$Q$31)))</f>
        <v>Cookies &amp; Cream</v>
      </c>
      <c r="D793" s="10" t="str" cm="1">
        <f t="array" aca="1" ref="D793" ca="1">INDEX($R$2:$R$310, RANDBETWEEN(1, COUNTA($Q$2:$Q$310)))</f>
        <v>M</v>
      </c>
      <c r="E793">
        <f t="shared" ca="1" si="111"/>
        <v>3</v>
      </c>
      <c r="F793" cm="1">
        <f t="array" aca="1" ref="F793" ca="1">INDEX($S$2:$S$31, RANDBETWEEN(1, COUNTA($S$2:$S$31)))</f>
        <v>59000</v>
      </c>
      <c r="G793" cm="1">
        <f t="array" aca="1" ref="G793" ca="1">INDEX($S$2:$S$31, RANDBETWEEN(1, COUNTA($S$2:$S$31)))</f>
        <v>69000</v>
      </c>
      <c r="H793">
        <f t="shared" ca="1" si="112"/>
        <v>12</v>
      </c>
      <c r="I793">
        <f t="shared" ca="1" si="113"/>
        <v>51920</v>
      </c>
      <c r="J793" s="10" t="str">
        <f t="shared" ca="1" si="114"/>
        <v>Online</v>
      </c>
      <c r="K793" s="10">
        <f t="shared" ca="1" si="115"/>
        <v>51920</v>
      </c>
      <c r="L793" s="10">
        <f t="shared" ca="1" si="116"/>
        <v>155760</v>
      </c>
      <c r="M793" s="12" t="str" cm="1">
        <f t="array" aca="1" ref="M793" ca="1">INDEX($R$33:$R$82, RANDBETWEEN(1, COUNTA($R$33:$R$82)))</f>
        <v>NV38</v>
      </c>
      <c r="N793">
        <f t="shared" ca="1" si="117"/>
        <v>36</v>
      </c>
    </row>
    <row r="794" spans="1:14" ht="16.8" x14ac:dyDescent="0.3">
      <c r="A794" s="7" t="str">
        <f t="shared" si="109"/>
        <v>S0793</v>
      </c>
      <c r="B794" s="8">
        <f t="shared" ca="1" si="110"/>
        <v>44436</v>
      </c>
      <c r="C794" s="15" t="str" cm="1">
        <f t="array" aca="1" ref="C794" ca="1">INDEX($Q$2:$Q$31, RANDBETWEEN(1, COUNTA($Q$2:$Q$31)))</f>
        <v>Classic Phin Freeze</v>
      </c>
      <c r="D794" s="10" t="str" cm="1">
        <f t="array" aca="1" ref="D794" ca="1">INDEX($R$2:$R$310, RANDBETWEEN(1, COUNTA($Q$2:$Q$310)))</f>
        <v>M</v>
      </c>
      <c r="E794">
        <f t="shared" ca="1" si="111"/>
        <v>4</v>
      </c>
      <c r="F794" cm="1">
        <f t="array" aca="1" ref="F794" ca="1">INDEX($S$2:$S$31, RANDBETWEEN(1, COUNTA($S$2:$S$31)))</f>
        <v>65000</v>
      </c>
      <c r="G794" cm="1">
        <f t="array" aca="1" ref="G794" ca="1">INDEX($S$2:$S$31, RANDBETWEEN(1, COUNTA($S$2:$S$31)))</f>
        <v>59000</v>
      </c>
      <c r="H794">
        <f t="shared" ca="1" si="112"/>
        <v>6</v>
      </c>
      <c r="I794">
        <f t="shared" ca="1" si="113"/>
        <v>59000</v>
      </c>
      <c r="J794" s="10" t="str">
        <f t="shared" ca="1" si="114"/>
        <v>Offline</v>
      </c>
      <c r="K794" s="10">
        <f t="shared" ca="1" si="115"/>
        <v>59000</v>
      </c>
      <c r="L794" s="10">
        <f t="shared" ca="1" si="116"/>
        <v>236000</v>
      </c>
      <c r="M794" s="12" t="str" cm="1">
        <f t="array" aca="1" ref="M794" ca="1">INDEX($R$33:$R$82, RANDBETWEEN(1, COUNTA($R$33:$R$82)))</f>
        <v>NV9</v>
      </c>
      <c r="N794">
        <f t="shared" ca="1" si="117"/>
        <v>4</v>
      </c>
    </row>
    <row r="795" spans="1:14" ht="16.8" x14ac:dyDescent="0.3">
      <c r="A795" s="7" t="str">
        <f t="shared" si="109"/>
        <v>S0794</v>
      </c>
      <c r="B795" s="8">
        <f t="shared" ca="1" si="110"/>
        <v>44776</v>
      </c>
      <c r="C795" s="15" t="str" cm="1">
        <f t="array" aca="1" ref="C795" ca="1">INDEX($Q$2:$Q$31, RANDBETWEEN(1, COUNTA($Q$2:$Q$31)))</f>
        <v>Cookies &amp; Cream</v>
      </c>
      <c r="D795" s="10" t="str" cm="1">
        <f t="array" aca="1" ref="D795" ca="1">INDEX($R$2:$R$310, RANDBETWEEN(1, COUNTA($Q$2:$Q$310)))</f>
        <v>L</v>
      </c>
      <c r="E795">
        <f t="shared" ca="1" si="111"/>
        <v>5</v>
      </c>
      <c r="F795" cm="1">
        <f t="array" aca="1" ref="F795" ca="1">INDEX($S$2:$S$31, RANDBETWEEN(1, COUNTA($S$2:$S$31)))</f>
        <v>29000</v>
      </c>
      <c r="G795" cm="1">
        <f t="array" aca="1" ref="G795" ca="1">INDEX($S$2:$S$31, RANDBETWEEN(1, COUNTA($S$2:$S$31)))</f>
        <v>75000</v>
      </c>
      <c r="H795">
        <f t="shared" ca="1" si="112"/>
        <v>7</v>
      </c>
      <c r="I795">
        <f t="shared" ca="1" si="113"/>
        <v>26970</v>
      </c>
      <c r="J795" s="10" t="str">
        <f t="shared" ca="1" si="114"/>
        <v>Online</v>
      </c>
      <c r="K795" s="10">
        <f t="shared" ca="1" si="115"/>
        <v>26970</v>
      </c>
      <c r="L795" s="10">
        <f t="shared" ca="1" si="116"/>
        <v>134850</v>
      </c>
      <c r="M795" s="12" t="str" cm="1">
        <f t="array" aca="1" ref="M795" ca="1">INDEX($R$33:$R$82, RANDBETWEEN(1, COUNTA($R$33:$R$82)))</f>
        <v>NV6</v>
      </c>
      <c r="N795">
        <f t="shared" ca="1" si="117"/>
        <v>9</v>
      </c>
    </row>
    <row r="796" spans="1:14" ht="16.8" x14ac:dyDescent="0.3">
      <c r="A796" s="7" t="str">
        <f t="shared" si="109"/>
        <v>S0795</v>
      </c>
      <c r="B796" s="8">
        <f t="shared" ca="1" si="110"/>
        <v>44427</v>
      </c>
      <c r="C796" s="15" t="str" cm="1">
        <f t="array" aca="1" ref="C796" ca="1">INDEX($Q$2:$Q$31, RANDBETWEEN(1, COUNTA($Q$2:$Q$31)))</f>
        <v>Mocha</v>
      </c>
      <c r="D796" s="10" t="str" cm="1">
        <f t="array" aca="1" ref="D796" ca="1">INDEX($R$2:$R$310, RANDBETWEEN(1, COUNTA($Q$2:$Q$310)))</f>
        <v>L</v>
      </c>
      <c r="E796">
        <f t="shared" ca="1" si="111"/>
        <v>3</v>
      </c>
      <c r="F796" cm="1">
        <f t="array" aca="1" ref="F796" ca="1">INDEX($S$2:$S$31, RANDBETWEEN(1, COUNTA($S$2:$S$31)))</f>
        <v>39000</v>
      </c>
      <c r="G796" cm="1">
        <f t="array" aca="1" ref="G796" ca="1">INDEX($S$2:$S$31, RANDBETWEEN(1, COUNTA($S$2:$S$31)))</f>
        <v>75000</v>
      </c>
      <c r="H796">
        <f t="shared" ca="1" si="112"/>
        <v>10</v>
      </c>
      <c r="I796">
        <f t="shared" ca="1" si="113"/>
        <v>75000</v>
      </c>
      <c r="J796" s="10" t="str">
        <f t="shared" ca="1" si="114"/>
        <v>Offline</v>
      </c>
      <c r="K796" s="10">
        <f t="shared" ca="1" si="115"/>
        <v>75000</v>
      </c>
      <c r="L796" s="10">
        <f t="shared" ca="1" si="116"/>
        <v>225000</v>
      </c>
      <c r="M796" s="12" t="str" cm="1">
        <f t="array" aca="1" ref="M796" ca="1">INDEX($R$33:$R$82, RANDBETWEEN(1, COUNTA($R$33:$R$82)))</f>
        <v>NV7</v>
      </c>
      <c r="N796">
        <f t="shared" ca="1" si="117"/>
        <v>28</v>
      </c>
    </row>
    <row r="797" spans="1:14" ht="16.8" x14ac:dyDescent="0.3">
      <c r="A797" s="7" t="str">
        <f t="shared" si="109"/>
        <v>S0796</v>
      </c>
      <c r="B797" s="8">
        <f t="shared" ca="1" si="110"/>
        <v>45159</v>
      </c>
      <c r="C797" s="15" t="str" cm="1">
        <f t="array" aca="1" ref="C797" ca="1">INDEX($Q$2:$Q$31, RANDBETWEEN(1, COUNTA($Q$2:$Q$31)))</f>
        <v>Latte</v>
      </c>
      <c r="D797" s="10" t="str" cm="1">
        <f t="array" aca="1" ref="D797" ca="1">INDEX($R$2:$R$310, RANDBETWEEN(1, COUNTA($Q$2:$Q$310)))</f>
        <v>M</v>
      </c>
      <c r="E797">
        <f t="shared" ca="1" si="111"/>
        <v>3</v>
      </c>
      <c r="F797" cm="1">
        <f t="array" aca="1" ref="F797" ca="1">INDEX($S$2:$S$31, RANDBETWEEN(1, COUNTA($S$2:$S$31)))</f>
        <v>59000</v>
      </c>
      <c r="G797" cm="1">
        <f t="array" aca="1" ref="G797" ca="1">INDEX($S$2:$S$31, RANDBETWEEN(1, COUNTA($S$2:$S$31)))</f>
        <v>39000</v>
      </c>
      <c r="H797">
        <f t="shared" ca="1" si="112"/>
        <v>14</v>
      </c>
      <c r="I797">
        <f t="shared" ca="1" si="113"/>
        <v>50740</v>
      </c>
      <c r="J797" s="10" t="str">
        <f t="shared" ca="1" si="114"/>
        <v>Online</v>
      </c>
      <c r="K797" s="10">
        <f t="shared" ca="1" si="115"/>
        <v>50740</v>
      </c>
      <c r="L797" s="10">
        <f t="shared" ca="1" si="116"/>
        <v>152220</v>
      </c>
      <c r="M797" s="12" t="str" cm="1">
        <f t="array" aca="1" ref="M797" ca="1">INDEX($R$33:$R$82, RANDBETWEEN(1, COUNTA($R$33:$R$82)))</f>
        <v>NV34</v>
      </c>
      <c r="N797">
        <f t="shared" ca="1" si="117"/>
        <v>3</v>
      </c>
    </row>
  </sheetData>
  <phoneticPr fontId="5" type="noConversion"/>
  <conditionalFormatting sqref="A1:M1 A2:B797 D2:M797 A798:M1048576">
    <cfRule type="containsBlanks" priority="1">
      <formula>LEN(TRIM(A1))=0</formula>
    </cfRule>
  </conditionalFormatting>
  <conditionalFormatting sqref="M1 A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{5C4517A0-842A-4432-91D6-7B95944A0CB1}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517A0-842A-4432-91D6-7B95944A0C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8100-6704-4971-B45D-3DE32CE267F7}">
  <dimension ref="A1:M74"/>
  <sheetViews>
    <sheetView topLeftCell="A63" zoomScale="42" workbookViewId="0">
      <selection activeCell="G96" sqref="G96"/>
    </sheetView>
  </sheetViews>
  <sheetFormatPr defaultRowHeight="14.4" x14ac:dyDescent="0.3"/>
  <cols>
    <col min="1" max="1" width="23.5546875" customWidth="1"/>
    <col min="2" max="2" width="20.5546875" customWidth="1"/>
    <col min="5" max="5" width="20.21875" customWidth="1"/>
    <col min="6" max="6" width="17.77734375" customWidth="1"/>
    <col min="9" max="9" width="23.88671875" customWidth="1"/>
    <col min="10" max="10" width="14.109375" customWidth="1"/>
    <col min="12" max="12" width="8.88671875" customWidth="1"/>
    <col min="13" max="13" width="21.33203125" customWidth="1"/>
  </cols>
  <sheetData>
    <row r="1" spans="1:13" x14ac:dyDescent="0.3">
      <c r="A1" s="29" t="s">
        <v>888</v>
      </c>
      <c r="E1" s="21" t="s">
        <v>889</v>
      </c>
      <c r="I1" s="21" t="s">
        <v>892</v>
      </c>
    </row>
    <row r="4" spans="1:13" x14ac:dyDescent="0.3">
      <c r="A4" s="19" t="s">
        <v>877</v>
      </c>
      <c r="B4" s="19" t="s">
        <v>883</v>
      </c>
      <c r="E4" s="19" t="s">
        <v>877</v>
      </c>
      <c r="F4" s="19" t="s">
        <v>876</v>
      </c>
      <c r="I4" s="25" t="s">
        <v>877</v>
      </c>
      <c r="J4" s="25" t="s">
        <v>222</v>
      </c>
      <c r="K4" s="25" t="s">
        <v>223</v>
      </c>
      <c r="L4" s="25" t="s">
        <v>224</v>
      </c>
      <c r="M4" s="25" t="s">
        <v>878</v>
      </c>
    </row>
    <row r="5" spans="1:13" x14ac:dyDescent="0.3">
      <c r="A5" s="11" t="s">
        <v>6</v>
      </c>
      <c r="B5" s="24">
        <v>213</v>
      </c>
      <c r="E5" s="11" t="s">
        <v>278</v>
      </c>
      <c r="F5" s="24">
        <v>57218560</v>
      </c>
      <c r="I5" s="11" t="s">
        <v>3</v>
      </c>
      <c r="J5" s="24">
        <v>70</v>
      </c>
      <c r="K5" s="24">
        <v>82</v>
      </c>
      <c r="L5" s="24">
        <v>71</v>
      </c>
      <c r="M5" s="24">
        <v>223</v>
      </c>
    </row>
    <row r="6" spans="1:13" x14ac:dyDescent="0.3">
      <c r="A6" s="11" t="s">
        <v>4</v>
      </c>
      <c r="B6" s="24">
        <v>249</v>
      </c>
      <c r="E6" s="11" t="s">
        <v>279</v>
      </c>
      <c r="F6" s="24">
        <v>68222000</v>
      </c>
      <c r="I6" s="11" t="s">
        <v>5</v>
      </c>
      <c r="J6" s="24">
        <v>107</v>
      </c>
      <c r="K6" s="24">
        <v>78</v>
      </c>
      <c r="L6" s="24">
        <v>111</v>
      </c>
      <c r="M6" s="24">
        <v>296</v>
      </c>
    </row>
    <row r="7" spans="1:13" x14ac:dyDescent="0.3">
      <c r="A7" s="11" t="s">
        <v>270</v>
      </c>
      <c r="B7" s="24">
        <v>236</v>
      </c>
      <c r="E7" s="11" t="s">
        <v>878</v>
      </c>
      <c r="F7" s="24">
        <v>125440560</v>
      </c>
      <c r="I7" s="11" t="s">
        <v>272</v>
      </c>
      <c r="J7" s="24">
        <v>82</v>
      </c>
      <c r="K7" s="24">
        <v>71</v>
      </c>
      <c r="L7" s="24">
        <v>63</v>
      </c>
      <c r="M7" s="24">
        <v>216</v>
      </c>
    </row>
    <row r="8" spans="1:13" x14ac:dyDescent="0.3">
      <c r="A8" s="11" t="s">
        <v>271</v>
      </c>
      <c r="B8" s="24">
        <v>263</v>
      </c>
      <c r="I8" s="11" t="s">
        <v>275</v>
      </c>
      <c r="J8" s="24">
        <v>60</v>
      </c>
      <c r="K8" s="24">
        <v>61</v>
      </c>
      <c r="L8" s="24">
        <v>79</v>
      </c>
      <c r="M8" s="24">
        <v>200</v>
      </c>
    </row>
    <row r="9" spans="1:13" x14ac:dyDescent="0.3">
      <c r="A9" s="11" t="s">
        <v>273</v>
      </c>
      <c r="B9" s="24">
        <v>262</v>
      </c>
      <c r="I9" s="11" t="s">
        <v>274</v>
      </c>
      <c r="J9" s="24">
        <v>75</v>
      </c>
      <c r="K9" s="24">
        <v>99</v>
      </c>
      <c r="L9" s="24">
        <v>68</v>
      </c>
      <c r="M9" s="24">
        <v>242</v>
      </c>
    </row>
    <row r="10" spans="1:13" x14ac:dyDescent="0.3">
      <c r="A10" s="11" t="s">
        <v>274</v>
      </c>
      <c r="B10" s="24">
        <v>242</v>
      </c>
      <c r="I10" s="11" t="s">
        <v>273</v>
      </c>
      <c r="J10" s="24">
        <v>78</v>
      </c>
      <c r="K10" s="24">
        <v>83</v>
      </c>
      <c r="L10" s="24">
        <v>101</v>
      </c>
      <c r="M10" s="24">
        <v>262</v>
      </c>
    </row>
    <row r="11" spans="1:13" x14ac:dyDescent="0.3">
      <c r="A11" s="11" t="s">
        <v>275</v>
      </c>
      <c r="B11" s="24">
        <v>200</v>
      </c>
      <c r="I11" s="11" t="s">
        <v>271</v>
      </c>
      <c r="J11" s="24">
        <v>93</v>
      </c>
      <c r="K11" s="24">
        <v>108</v>
      </c>
      <c r="L11" s="24">
        <v>62</v>
      </c>
      <c r="M11" s="24">
        <v>263</v>
      </c>
    </row>
    <row r="12" spans="1:13" x14ac:dyDescent="0.3">
      <c r="A12" s="11" t="s">
        <v>272</v>
      </c>
      <c r="B12" s="24">
        <v>216</v>
      </c>
      <c r="I12" s="11" t="s">
        <v>270</v>
      </c>
      <c r="J12" s="24">
        <v>84</v>
      </c>
      <c r="K12" s="24">
        <v>99</v>
      </c>
      <c r="L12" s="24">
        <v>53</v>
      </c>
      <c r="M12" s="24">
        <v>236</v>
      </c>
    </row>
    <row r="13" spans="1:13" x14ac:dyDescent="0.3">
      <c r="A13" s="11" t="s">
        <v>5</v>
      </c>
      <c r="B13" s="24">
        <v>296</v>
      </c>
      <c r="I13" s="11" t="s">
        <v>4</v>
      </c>
      <c r="J13" s="24">
        <v>70</v>
      </c>
      <c r="K13" s="24">
        <v>82</v>
      </c>
      <c r="L13" s="24">
        <v>97</v>
      </c>
      <c r="M13" s="24">
        <v>249</v>
      </c>
    </row>
    <row r="14" spans="1:13" x14ac:dyDescent="0.3">
      <c r="A14" s="11" t="s">
        <v>3</v>
      </c>
      <c r="B14" s="24">
        <v>223</v>
      </c>
      <c r="I14" s="11" t="s">
        <v>6</v>
      </c>
      <c r="J14" s="24">
        <v>72</v>
      </c>
      <c r="K14" s="24">
        <v>81</v>
      </c>
      <c r="L14" s="24">
        <v>60</v>
      </c>
      <c r="M14" s="24">
        <v>213</v>
      </c>
    </row>
    <row r="15" spans="1:13" x14ac:dyDescent="0.3">
      <c r="A15" s="11" t="s">
        <v>878</v>
      </c>
      <c r="B15" s="24">
        <v>2400</v>
      </c>
      <c r="I15" s="26" t="s">
        <v>878</v>
      </c>
      <c r="J15" s="27">
        <v>791</v>
      </c>
      <c r="K15" s="27">
        <v>844</v>
      </c>
      <c r="L15" s="27">
        <v>765</v>
      </c>
      <c r="M15" s="27">
        <v>2400</v>
      </c>
    </row>
    <row r="17" spans="1:6" x14ac:dyDescent="0.3">
      <c r="A17" s="22" t="s">
        <v>890</v>
      </c>
      <c r="E17" s="21" t="s">
        <v>891</v>
      </c>
    </row>
    <row r="19" spans="1:6" x14ac:dyDescent="0.3">
      <c r="A19" s="19" t="s">
        <v>877</v>
      </c>
      <c r="B19" s="19" t="s">
        <v>876</v>
      </c>
      <c r="E19" s="19" t="s">
        <v>877</v>
      </c>
      <c r="F19" s="19" t="s">
        <v>876</v>
      </c>
    </row>
    <row r="20" spans="1:6" x14ac:dyDescent="0.3">
      <c r="A20" s="11" t="s">
        <v>879</v>
      </c>
      <c r="B20" s="24">
        <v>40527190</v>
      </c>
      <c r="E20" s="11" t="s">
        <v>21</v>
      </c>
      <c r="F20" s="24">
        <v>2592090</v>
      </c>
    </row>
    <row r="21" spans="1:6" x14ac:dyDescent="0.3">
      <c r="A21" s="20" t="s">
        <v>884</v>
      </c>
      <c r="B21" s="24">
        <v>9586060</v>
      </c>
      <c r="E21" s="11" t="s">
        <v>20</v>
      </c>
      <c r="F21" s="24">
        <v>1231350</v>
      </c>
    </row>
    <row r="22" spans="1:6" x14ac:dyDescent="0.3">
      <c r="A22" s="28" t="s">
        <v>895</v>
      </c>
      <c r="B22" s="24">
        <v>4075390</v>
      </c>
      <c r="E22" s="11" t="s">
        <v>19</v>
      </c>
      <c r="F22" s="24">
        <v>1832860</v>
      </c>
    </row>
    <row r="23" spans="1:6" x14ac:dyDescent="0.3">
      <c r="A23" s="28" t="s">
        <v>894</v>
      </c>
      <c r="B23" s="24">
        <v>2707050</v>
      </c>
      <c r="E23" s="11" t="s">
        <v>18</v>
      </c>
      <c r="F23" s="24">
        <v>2942360</v>
      </c>
    </row>
    <row r="24" spans="1:6" x14ac:dyDescent="0.3">
      <c r="A24" s="28" t="s">
        <v>893</v>
      </c>
      <c r="B24" s="24">
        <v>2803620</v>
      </c>
      <c r="E24" s="11" t="s">
        <v>262</v>
      </c>
      <c r="F24" s="24">
        <v>3439990</v>
      </c>
    </row>
    <row r="25" spans="1:6" x14ac:dyDescent="0.3">
      <c r="A25" s="20" t="s">
        <v>885</v>
      </c>
      <c r="B25" s="24">
        <v>11517730</v>
      </c>
      <c r="E25" s="11" t="s">
        <v>17</v>
      </c>
      <c r="F25" s="24">
        <v>1988520</v>
      </c>
    </row>
    <row r="26" spans="1:6" x14ac:dyDescent="0.3">
      <c r="A26" s="28" t="s">
        <v>898</v>
      </c>
      <c r="B26" s="24">
        <v>4334480</v>
      </c>
      <c r="E26" s="11" t="s">
        <v>261</v>
      </c>
      <c r="F26" s="24">
        <v>2578660</v>
      </c>
    </row>
    <row r="27" spans="1:6" x14ac:dyDescent="0.3">
      <c r="A27" s="28" t="s">
        <v>897</v>
      </c>
      <c r="B27" s="24">
        <v>3716460</v>
      </c>
      <c r="E27" s="11" t="s">
        <v>260</v>
      </c>
      <c r="F27" s="24">
        <v>2884530</v>
      </c>
    </row>
    <row r="28" spans="1:6" x14ac:dyDescent="0.3">
      <c r="A28" s="28" t="s">
        <v>896</v>
      </c>
      <c r="B28" s="24">
        <v>3466790</v>
      </c>
      <c r="E28" s="11" t="s">
        <v>259</v>
      </c>
      <c r="F28" s="24">
        <v>2991940</v>
      </c>
    </row>
    <row r="29" spans="1:6" x14ac:dyDescent="0.3">
      <c r="A29" s="20" t="s">
        <v>886</v>
      </c>
      <c r="B29" s="24">
        <v>8843280</v>
      </c>
      <c r="E29" s="11" t="s">
        <v>258</v>
      </c>
      <c r="F29" s="24">
        <v>1742440</v>
      </c>
    </row>
    <row r="30" spans="1:6" x14ac:dyDescent="0.3">
      <c r="A30" s="28" t="s">
        <v>901</v>
      </c>
      <c r="B30" s="24">
        <v>1797770</v>
      </c>
      <c r="E30" s="11" t="s">
        <v>257</v>
      </c>
      <c r="F30" s="24">
        <v>2378560</v>
      </c>
    </row>
    <row r="31" spans="1:6" x14ac:dyDescent="0.3">
      <c r="A31" s="28" t="s">
        <v>900</v>
      </c>
      <c r="B31" s="24">
        <v>3959980</v>
      </c>
      <c r="E31" s="11" t="s">
        <v>256</v>
      </c>
      <c r="F31" s="24">
        <v>3028360</v>
      </c>
    </row>
    <row r="32" spans="1:6" x14ac:dyDescent="0.3">
      <c r="A32" s="28" t="s">
        <v>899</v>
      </c>
      <c r="B32" s="24">
        <v>3085530</v>
      </c>
      <c r="E32" s="11" t="s">
        <v>255</v>
      </c>
      <c r="F32" s="24">
        <v>2336630</v>
      </c>
    </row>
    <row r="33" spans="1:6" x14ac:dyDescent="0.3">
      <c r="A33" s="20" t="s">
        <v>887</v>
      </c>
      <c r="B33" s="24">
        <v>10580120</v>
      </c>
      <c r="E33" s="11" t="s">
        <v>254</v>
      </c>
      <c r="F33" s="24">
        <v>2924790</v>
      </c>
    </row>
    <row r="34" spans="1:6" x14ac:dyDescent="0.3">
      <c r="A34" s="28" t="s">
        <v>904</v>
      </c>
      <c r="B34" s="24">
        <v>3835340</v>
      </c>
      <c r="E34" s="11" t="s">
        <v>253</v>
      </c>
      <c r="F34" s="24">
        <v>2851390</v>
      </c>
    </row>
    <row r="35" spans="1:6" x14ac:dyDescent="0.3">
      <c r="A35" s="28" t="s">
        <v>903</v>
      </c>
      <c r="B35" s="24">
        <v>3284940</v>
      </c>
      <c r="E35" s="11" t="s">
        <v>252</v>
      </c>
      <c r="F35" s="24">
        <v>1266970</v>
      </c>
    </row>
    <row r="36" spans="1:6" x14ac:dyDescent="0.3">
      <c r="A36" s="28" t="s">
        <v>902</v>
      </c>
      <c r="B36" s="24">
        <v>3459840</v>
      </c>
      <c r="E36" s="11" t="s">
        <v>16</v>
      </c>
      <c r="F36" s="24">
        <v>2907110</v>
      </c>
    </row>
    <row r="37" spans="1:6" x14ac:dyDescent="0.3">
      <c r="A37" s="11" t="s">
        <v>881</v>
      </c>
      <c r="B37" s="24">
        <v>44343010</v>
      </c>
      <c r="E37" s="11" t="s">
        <v>251</v>
      </c>
      <c r="F37" s="24">
        <v>1895050</v>
      </c>
    </row>
    <row r="38" spans="1:6" x14ac:dyDescent="0.3">
      <c r="A38" s="20" t="s">
        <v>884</v>
      </c>
      <c r="B38" s="24">
        <v>11735230</v>
      </c>
      <c r="E38" s="11" t="s">
        <v>250</v>
      </c>
      <c r="F38" s="24">
        <v>2769060</v>
      </c>
    </row>
    <row r="39" spans="1:6" x14ac:dyDescent="0.3">
      <c r="A39" s="28" t="s">
        <v>895</v>
      </c>
      <c r="B39" s="24">
        <v>5398060</v>
      </c>
      <c r="E39" s="11" t="s">
        <v>249</v>
      </c>
      <c r="F39" s="24">
        <v>2331640</v>
      </c>
    </row>
    <row r="40" spans="1:6" x14ac:dyDescent="0.3">
      <c r="A40" s="28" t="s">
        <v>894</v>
      </c>
      <c r="B40" s="24">
        <v>3740640</v>
      </c>
      <c r="E40" s="11" t="s">
        <v>248</v>
      </c>
      <c r="F40" s="24">
        <v>2873720</v>
      </c>
    </row>
    <row r="41" spans="1:6" x14ac:dyDescent="0.3">
      <c r="A41" s="28" t="s">
        <v>893</v>
      </c>
      <c r="B41" s="24">
        <v>2596530</v>
      </c>
      <c r="E41" s="11" t="s">
        <v>247</v>
      </c>
      <c r="F41" s="24">
        <v>2581400</v>
      </c>
    </row>
    <row r="42" spans="1:6" x14ac:dyDescent="0.3">
      <c r="A42" s="20" t="s">
        <v>885</v>
      </c>
      <c r="B42" s="24">
        <v>10058170</v>
      </c>
      <c r="E42" s="11" t="s">
        <v>246</v>
      </c>
      <c r="F42" s="24">
        <v>4836850</v>
      </c>
    </row>
    <row r="43" spans="1:6" x14ac:dyDescent="0.3">
      <c r="A43" s="28" t="s">
        <v>898</v>
      </c>
      <c r="B43" s="24">
        <v>4584220</v>
      </c>
      <c r="E43" s="11" t="s">
        <v>245</v>
      </c>
      <c r="F43" s="24">
        <v>3028100</v>
      </c>
    </row>
    <row r="44" spans="1:6" x14ac:dyDescent="0.3">
      <c r="A44" s="28" t="s">
        <v>897</v>
      </c>
      <c r="B44" s="24">
        <v>3477000</v>
      </c>
      <c r="E44" s="11" t="s">
        <v>244</v>
      </c>
      <c r="F44" s="24">
        <v>1539810</v>
      </c>
    </row>
    <row r="45" spans="1:6" x14ac:dyDescent="0.3">
      <c r="A45" s="28" t="s">
        <v>896</v>
      </c>
      <c r="B45" s="24">
        <v>1996950</v>
      </c>
      <c r="E45" s="11" t="s">
        <v>243</v>
      </c>
      <c r="F45" s="24">
        <v>2725200</v>
      </c>
    </row>
    <row r="46" spans="1:6" x14ac:dyDescent="0.3">
      <c r="A46" s="20" t="s">
        <v>886</v>
      </c>
      <c r="B46" s="24">
        <v>10144180</v>
      </c>
      <c r="E46" s="11" t="s">
        <v>242</v>
      </c>
      <c r="F46" s="24">
        <v>3285590</v>
      </c>
    </row>
    <row r="47" spans="1:6" x14ac:dyDescent="0.3">
      <c r="A47" s="28" t="s">
        <v>901</v>
      </c>
      <c r="B47" s="24">
        <v>4263970</v>
      </c>
      <c r="E47" s="11" t="s">
        <v>15</v>
      </c>
      <c r="F47" s="24">
        <v>2478490</v>
      </c>
    </row>
    <row r="48" spans="1:6" x14ac:dyDescent="0.3">
      <c r="A48" s="28" t="s">
        <v>900</v>
      </c>
      <c r="B48" s="24">
        <v>3002040</v>
      </c>
      <c r="E48" s="11" t="s">
        <v>241</v>
      </c>
      <c r="F48" s="24">
        <v>2529790</v>
      </c>
    </row>
    <row r="49" spans="1:6" x14ac:dyDescent="0.3">
      <c r="A49" s="28" t="s">
        <v>899</v>
      </c>
      <c r="B49" s="24">
        <v>2878170</v>
      </c>
      <c r="E49" s="11" t="s">
        <v>240</v>
      </c>
      <c r="F49" s="24">
        <v>1644430</v>
      </c>
    </row>
    <row r="50" spans="1:6" x14ac:dyDescent="0.3">
      <c r="A50" s="20" t="s">
        <v>887</v>
      </c>
      <c r="B50" s="24">
        <v>12405430</v>
      </c>
      <c r="E50" s="11" t="s">
        <v>239</v>
      </c>
      <c r="F50" s="24">
        <v>1892660</v>
      </c>
    </row>
    <row r="51" spans="1:6" x14ac:dyDescent="0.3">
      <c r="A51" s="28" t="s">
        <v>904</v>
      </c>
      <c r="B51" s="24">
        <v>4125190</v>
      </c>
      <c r="E51" s="11" t="s">
        <v>238</v>
      </c>
      <c r="F51" s="24">
        <v>2474870</v>
      </c>
    </row>
    <row r="52" spans="1:6" x14ac:dyDescent="0.3">
      <c r="A52" s="28" t="s">
        <v>903</v>
      </c>
      <c r="B52" s="24">
        <v>3981710</v>
      </c>
      <c r="E52" s="11" t="s">
        <v>237</v>
      </c>
      <c r="F52" s="24">
        <v>1728310</v>
      </c>
    </row>
    <row r="53" spans="1:6" x14ac:dyDescent="0.3">
      <c r="A53" s="28" t="s">
        <v>902</v>
      </c>
      <c r="B53" s="24">
        <v>4298530</v>
      </c>
      <c r="E53" s="11" t="s">
        <v>236</v>
      </c>
      <c r="F53" s="24">
        <v>2360330</v>
      </c>
    </row>
    <row r="54" spans="1:6" x14ac:dyDescent="0.3">
      <c r="A54" s="11" t="s">
        <v>880</v>
      </c>
      <c r="B54" s="24">
        <v>40118860</v>
      </c>
      <c r="E54" s="11" t="s">
        <v>235</v>
      </c>
      <c r="F54" s="24">
        <v>1501750</v>
      </c>
    </row>
    <row r="55" spans="1:6" x14ac:dyDescent="0.3">
      <c r="A55" s="20" t="s">
        <v>884</v>
      </c>
      <c r="B55" s="24">
        <v>12399610</v>
      </c>
      <c r="E55" s="11" t="s">
        <v>234</v>
      </c>
      <c r="F55" s="24">
        <v>2951850</v>
      </c>
    </row>
    <row r="56" spans="1:6" x14ac:dyDescent="0.3">
      <c r="A56" s="28" t="s">
        <v>895</v>
      </c>
      <c r="B56" s="24">
        <v>4265960</v>
      </c>
      <c r="E56" s="11" t="s">
        <v>233</v>
      </c>
      <c r="F56" s="24">
        <v>1490690</v>
      </c>
    </row>
    <row r="57" spans="1:6" x14ac:dyDescent="0.3">
      <c r="A57" s="28" t="s">
        <v>894</v>
      </c>
      <c r="B57" s="24">
        <v>5179260</v>
      </c>
      <c r="E57" s="11" t="s">
        <v>232</v>
      </c>
      <c r="F57" s="24">
        <v>2223880</v>
      </c>
    </row>
    <row r="58" spans="1:6" x14ac:dyDescent="0.3">
      <c r="A58" s="28" t="s">
        <v>893</v>
      </c>
      <c r="B58" s="24">
        <v>2954390</v>
      </c>
      <c r="E58" s="11" t="s">
        <v>14</v>
      </c>
      <c r="F58" s="24">
        <v>3030320</v>
      </c>
    </row>
    <row r="59" spans="1:6" x14ac:dyDescent="0.3">
      <c r="A59" s="20" t="s">
        <v>885</v>
      </c>
      <c r="B59" s="24">
        <v>9677960</v>
      </c>
      <c r="E59" s="11" t="s">
        <v>231</v>
      </c>
      <c r="F59" s="24">
        <v>2327500</v>
      </c>
    </row>
    <row r="60" spans="1:6" x14ac:dyDescent="0.3">
      <c r="A60" s="28" t="s">
        <v>898</v>
      </c>
      <c r="B60" s="24">
        <v>3765550</v>
      </c>
      <c r="E60" s="11" t="s">
        <v>230</v>
      </c>
      <c r="F60" s="24">
        <v>2169910</v>
      </c>
    </row>
    <row r="61" spans="1:6" x14ac:dyDescent="0.3">
      <c r="A61" s="28" t="s">
        <v>897</v>
      </c>
      <c r="B61" s="24">
        <v>4001620</v>
      </c>
      <c r="E61" s="11" t="s">
        <v>229</v>
      </c>
      <c r="F61" s="24">
        <v>1649380</v>
      </c>
    </row>
    <row r="62" spans="1:6" x14ac:dyDescent="0.3">
      <c r="A62" s="28" t="s">
        <v>896</v>
      </c>
      <c r="B62" s="24">
        <v>1910790</v>
      </c>
      <c r="E62" s="11" t="s">
        <v>228</v>
      </c>
      <c r="F62" s="24">
        <v>3071280</v>
      </c>
    </row>
    <row r="63" spans="1:6" x14ac:dyDescent="0.3">
      <c r="A63" s="20" t="s">
        <v>886</v>
      </c>
      <c r="B63" s="24">
        <v>10390880</v>
      </c>
      <c r="E63" s="11" t="s">
        <v>227</v>
      </c>
      <c r="F63" s="24">
        <v>2007510</v>
      </c>
    </row>
    <row r="64" spans="1:6" x14ac:dyDescent="0.3">
      <c r="A64" s="28" t="s">
        <v>901</v>
      </c>
      <c r="B64" s="24">
        <v>2967140</v>
      </c>
      <c r="E64" s="11" t="s">
        <v>226</v>
      </c>
      <c r="F64" s="24">
        <v>1602540</v>
      </c>
    </row>
    <row r="65" spans="1:6" x14ac:dyDescent="0.3">
      <c r="A65" s="28" t="s">
        <v>900</v>
      </c>
      <c r="B65" s="24">
        <v>3022160</v>
      </c>
      <c r="E65" s="11" t="s">
        <v>225</v>
      </c>
      <c r="F65" s="24">
        <v>4136340</v>
      </c>
    </row>
    <row r="66" spans="1:6" x14ac:dyDescent="0.3">
      <c r="A66" s="28" t="s">
        <v>899</v>
      </c>
      <c r="B66" s="24">
        <v>4401580</v>
      </c>
      <c r="E66" s="11" t="s">
        <v>12</v>
      </c>
      <c r="F66" s="24">
        <v>2593140</v>
      </c>
    </row>
    <row r="67" spans="1:6" x14ac:dyDescent="0.3">
      <c r="A67" s="20" t="s">
        <v>887</v>
      </c>
      <c r="B67" s="24">
        <v>7650410</v>
      </c>
      <c r="E67" s="11" t="s">
        <v>11</v>
      </c>
      <c r="F67" s="24">
        <v>3385490</v>
      </c>
    </row>
    <row r="68" spans="1:6" x14ac:dyDescent="0.3">
      <c r="A68" s="28" t="s">
        <v>904</v>
      </c>
      <c r="B68" s="24">
        <v>2727090</v>
      </c>
      <c r="E68" s="11" t="s">
        <v>10</v>
      </c>
      <c r="F68" s="24">
        <v>2399220</v>
      </c>
    </row>
    <row r="69" spans="1:6" x14ac:dyDescent="0.3">
      <c r="A69" s="28" t="s">
        <v>903</v>
      </c>
      <c r="B69" s="24">
        <v>2589260</v>
      </c>
      <c r="E69" s="11" t="s">
        <v>13</v>
      </c>
      <c r="F69" s="24">
        <v>4005910</v>
      </c>
    </row>
    <row r="70" spans="1:6" x14ac:dyDescent="0.3">
      <c r="A70" s="28" t="s">
        <v>902</v>
      </c>
      <c r="B70" s="24">
        <v>2334060</v>
      </c>
      <c r="E70" s="11" t="s">
        <v>878</v>
      </c>
      <c r="F70" s="24">
        <v>125440560</v>
      </c>
    </row>
    <row r="71" spans="1:6" x14ac:dyDescent="0.3">
      <c r="A71" s="11" t="s">
        <v>882</v>
      </c>
      <c r="B71" s="24">
        <v>451500</v>
      </c>
    </row>
    <row r="72" spans="1:6" x14ac:dyDescent="0.3">
      <c r="A72" s="20" t="s">
        <v>884</v>
      </c>
      <c r="B72" s="24">
        <v>451500</v>
      </c>
    </row>
    <row r="73" spans="1:6" x14ac:dyDescent="0.3">
      <c r="A73" s="28" t="s">
        <v>893</v>
      </c>
      <c r="B73" s="24">
        <v>451500</v>
      </c>
    </row>
    <row r="74" spans="1:6" x14ac:dyDescent="0.3">
      <c r="A74" s="11" t="s">
        <v>878</v>
      </c>
      <c r="B74" s="24">
        <v>125440560</v>
      </c>
    </row>
  </sheetData>
  <pageMargins left="0.7" right="0.7" top="0.75" bottom="0.75" header="0.3" footer="0.3"/>
  <pageSetup paperSize="9" orientation="portrait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470D-87BC-4EE6-9480-525539465B73}">
  <dimension ref="A1"/>
  <sheetViews>
    <sheetView tabSelected="1" topLeftCell="D1" zoomScale="76" workbookViewId="0">
      <selection activeCell="K27" sqref="K2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REPORT</vt:lpstr>
      <vt:lpstr>Master 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2025-11-27T08:02:38Z</dcterms:created>
  <dcterms:modified xsi:type="dcterms:W3CDTF">2025-12-21T17:36:00Z</dcterms:modified>
</cp:coreProperties>
</file>